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D324782C-1A39-4779-954A-12B55EB239D6}" xr6:coauthVersionLast="47" xr6:coauthVersionMax="47" xr10:uidLastSave="{00000000-0000-0000-0000-000000000000}"/>
  <bookViews>
    <workbookView xWindow="-110" yWindow="-110" windowWidth="19420" windowHeight="115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6" i="1" l="1"/>
  <c r="AR46" i="1"/>
  <c r="AS46" i="1" s="1"/>
  <c r="AF46" i="1"/>
  <c r="AH46" i="1" s="1"/>
  <c r="AJ46" i="1" s="1"/>
  <c r="AM46" i="1" s="1"/>
  <c r="AO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<sst xmlns="http://schemas.openxmlformats.org/spreadsheetml/2006/main" count="638" uniqueCount="173">
  <si>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</si>
  <si>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</si>
  <si>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</si>
  <si>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</si>
  <si>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</si>
  <si>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</si>
  <si>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</si>
  <si>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</si>
  <si>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</si>
  <si>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</si>
  <si>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</si>
  <si>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</si>
  <si>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</si>
  <si>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</si>
  <si>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</si>
  <si>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</si>
  <si>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</si>
  <si>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</si>
  <si>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</si>
  <si>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</si>
  <si>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</si>
  <si>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</si>
  <si>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</si>
  <si>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</si>
  <si>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</si>
  <si>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</si>
  <si>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</si>
  <si>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</si>
  <si>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</si>
  <si>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</si>
  <si>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</si>
  <si>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</si>
  <si>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</si>
  <si>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</si>
  <si>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</si>
  <si>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</si>
  <si>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</si>
  <si>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</si>
  <si>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</si>
  <si>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</si>
  <si>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</si>
  <si>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</si>
  <si>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</si>
  <si>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</si>
  <si>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</si>
  <si>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</si>
  <si>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</si>
  <si>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</si>
  <si>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</si>
  <si>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</si>
  <si>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</si>
  <si>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</si>
  <si>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</si>
  <si>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</si>
  <si>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</si>
  <si>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</si>
  <si>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</si>
  <si>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</si>
  <si>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</si>
  <si>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</si>
  <si>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</si>
  <si>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</si>
  <si>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</si>
  <si>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</si>
  <si>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</si>
  <si>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</si>
  <si>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</si>
  <si>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</si>
  <si>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</si>
  <si>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</si>
  <si>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</si>
  <si>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</si>
  <si>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</si>
  <si>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</si>
  <si>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</si>
  <si>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</si>
  <si>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</si>
  <si>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</si>
  <si>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</si>
  <si>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</si>
  <si>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</si>
  <si>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</si>
  <si>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</si>
  <si>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</si>
  <si>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</si>
  <si>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</si>
  <si>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</si>
  <si>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</si>
  <si>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</si>
  <si>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</si>
  <si>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</si>
  <si>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</si>
  <si>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</si>
  <si>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</si>
  <si>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</si>
  <si>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</si>
  <si>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</si>
  <si>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</si>
  <si>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</si>
  <si>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</si>
  <si>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</si>
  <si>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</si>
  <si>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</si>
  <si>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</si>
  <si>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</si>
  <si>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</si>
  <si>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</si>
  <si>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</si>
  <si>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</si>
  <si>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</si>
  <si>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</si>
  <si>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</si>
  <si>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</si>
  <si>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</si>
  <si>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</si>
  <si>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</si>
  <si>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</si>
  <si>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</si>
  <si>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</si>
  <si>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</si>
  <si>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</si>
  <si>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</si>
  <si>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</si>
  <si>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</si>
  <si>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</si>
  <si>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</si>
  <si>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</si>
  <si>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</si>
  <si>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</si>
  <si>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</si>
  <si>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</si>
  <si>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</si>
  <si>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</si>
  <si>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</si>
  <si>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</si>
  <si>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</si>
  <si>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</si>
  <si>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</si>
  <si>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</si>
  <si>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</si>
  <si>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</si>
  <si>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</si>
  <si>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</si>
  <si>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</si>
  <si>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</si>
  <si>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</si>
  <si>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</si>
  <si>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</si>
  <si>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</si>
  <si>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</si>
  <si>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</si>
  <si>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</si>
  <si>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</si>
  <si>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</si>
  <si>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</si>
  <si>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</si>
  <si>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</si>
  <si>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</si>
  <si>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</si>
  <si>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</si>
  <si>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</si>
  <si>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</si>
  <si>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</si>
  <si>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</si>
  <si>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</si>
  <si>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</si>
  <si>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</si>
  <si>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</si>
  <si>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</si>
  <si>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</si>
  <si>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</si>
  <si>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O010</t>
  </si>
  <si>
    <t>Hapag-Lloyd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</si>
</sst>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V48" activePane="bottomRight" state="frozen"/>
      <selection pane="topRight" activeCell="L1" sqref="L1"/>
      <selection pane="bottomLeft" activeCell="A2" sqref="A2"/>
      <selection pane="bottomRight" activeCell="AX57" sqref="AX57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41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171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ref="O46" si="36">IF(I46="SFK Freight Forwarder",M46,M46+N46-1)</f>
        <v>8</v>
      </c>
      <c r="P46" s="3">
        <v>6</v>
      </c>
      <c r="Q46" s="3">
        <f t="shared" ref="Q46" si="37">+IF(I46="SFK Freight Forwarder",O46,O46+P46-1)</f>
        <v>13</v>
      </c>
      <c r="R46" s="23">
        <v>9</v>
      </c>
      <c r="S46" s="23">
        <v>12</v>
      </c>
      <c r="T46" s="23">
        <f t="shared" ref="T46" si="38">+R46+S46-1</f>
        <v>20</v>
      </c>
      <c r="U46" s="23">
        <f>+T46+2</f>
        <v>22</v>
      </c>
      <c r="V46" s="23">
        <v>5</v>
      </c>
      <c r="W46" s="23">
        <f t="shared" ref="W46" si="39"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ref="AF46" si="40">+AE46+AA46-1</f>
        <v>69</v>
      </c>
      <c r="AG46" s="23">
        <v>3</v>
      </c>
      <c r="AH46" s="23">
        <f t="shared" ref="AH46" si="41">+AF46+AG46</f>
        <v>72</v>
      </c>
      <c r="AI46" s="23">
        <v>7</v>
      </c>
      <c r="AJ46" s="23">
        <f t="shared" ref="AJ46" si="42">+AI46+AH46</f>
        <v>79</v>
      </c>
      <c r="AK46" s="23"/>
      <c r="AL46" s="23">
        <v>3</v>
      </c>
      <c r="AM46" s="23">
        <f t="shared" ref="AM46" si="43">+AJ46+AL46</f>
        <v>82</v>
      </c>
      <c r="AN46" s="23">
        <v>5</v>
      </c>
      <c r="AO46" s="23">
        <f>+AM46+AN46</f>
        <v>87</v>
      </c>
      <c r="AP46" s="23">
        <v>6</v>
      </c>
      <c r="AQ46" s="23">
        <v>92</v>
      </c>
      <c r="AR46" s="23">
        <f>+AQ46+4</f>
        <v>96</v>
      </c>
      <c r="AS46" s="23">
        <f t="shared" ref="AS46" si="44">+AR46+7+AT46</f>
        <v>117</v>
      </c>
      <c r="AT46" s="23">
        <v>14</v>
      </c>
      <c r="AU46" s="3">
        <f t="shared" ref="AU46" si="45">+AA46-R46</f>
        <v>27</v>
      </c>
      <c r="AV46" s="23" t="s">
        <v>133</v>
      </c>
      <c r="AW46" s="23" t="s">
        <v>131</v>
      </c>
      <c r="AX46" s="20" t="s">
        <v>56</v>
      </c>
      <c r="AY46" s="37">
        <v>46508</v>
      </c>
    </row>
    <row r="47" spans="1:51" hidden="1" x14ac:dyDescent="0.25">
      <c r="A47" s="5" t="s">
        <v>143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46">+IF(I47="SFK Freight Forwarder",0,5)</f>
        <v>5</v>
      </c>
      <c r="Q47" s="3">
        <f t="shared" si="23"/>
        <v>26</v>
      </c>
      <c r="R47" s="3">
        <f t="shared" ref="R47:R52" si="47">9+N47</f>
        <v>23</v>
      </c>
      <c r="S47" s="3">
        <v>7</v>
      </c>
      <c r="T47" s="3">
        <f t="shared" si="24"/>
        <v>29</v>
      </c>
      <c r="U47" s="3">
        <f t="shared" ref="U47:U52" si="48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ref="Z46:Z52" si="49">+Y47+X47-1</f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x14ac:dyDescent="0.25">
      <c r="A48" s="5" t="s">
        <v>144</v>
      </c>
      <c r="B48" s="39" t="s">
        <v>76</v>
      </c>
      <c r="C48" s="38" t="s">
        <v>98</v>
      </c>
      <c r="D48" s="38" t="s">
        <v>77</v>
      </c>
      <c r="E48" s="38" t="s">
        <v>172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46"/>
        <v>5</v>
      </c>
      <c r="Q48" s="3">
        <f t="shared" si="23"/>
        <v>26</v>
      </c>
      <c r="R48" s="3">
        <f t="shared" si="47"/>
        <v>23</v>
      </c>
      <c r="S48" s="3">
        <v>7</v>
      </c>
      <c r="T48" s="3">
        <f t="shared" si="24"/>
        <v>29</v>
      </c>
      <c r="U48" s="3">
        <f t="shared" si="48"/>
        <v>30</v>
      </c>
      <c r="V48" s="3">
        <v>2</v>
      </c>
      <c r="W48" s="3">
        <f t="shared" si="25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6"/>
        <v>103</v>
      </c>
      <c r="AG48" s="6">
        <v>3</v>
      </c>
      <c r="AH48" s="6">
        <f t="shared" si="27"/>
        <v>106</v>
      </c>
      <c r="AI48" s="3">
        <v>0</v>
      </c>
      <c r="AJ48" s="3">
        <f t="shared" si="28"/>
        <v>106</v>
      </c>
      <c r="AK48" s="3" t="s">
        <v>60</v>
      </c>
      <c r="AL48" s="3">
        <v>2</v>
      </c>
      <c r="AM48" s="3">
        <f t="shared" si="29"/>
        <v>108</v>
      </c>
      <c r="AN48" s="3">
        <v>7</v>
      </c>
      <c r="AO48" s="3">
        <f t="shared" si="30"/>
        <v>115</v>
      </c>
      <c r="AP48" s="3">
        <v>5</v>
      </c>
      <c r="AQ48" s="3">
        <f t="shared" si="31"/>
        <v>120</v>
      </c>
      <c r="AR48" s="3">
        <f t="shared" si="32"/>
        <v>127</v>
      </c>
      <c r="AS48" s="3">
        <f t="shared" si="33"/>
        <v>134</v>
      </c>
      <c r="AT48" s="3">
        <v>0</v>
      </c>
      <c r="AU48" s="3">
        <f t="shared" si="34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25">
      <c r="A49" s="5" t="s">
        <v>145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46"/>
        <v>5</v>
      </c>
      <c r="Q49" s="3">
        <f t="shared" si="23"/>
        <v>26</v>
      </c>
      <c r="R49" s="3">
        <f t="shared" si="47"/>
        <v>23</v>
      </c>
      <c r="S49" s="3">
        <v>7</v>
      </c>
      <c r="T49" s="3">
        <f t="shared" si="24"/>
        <v>29</v>
      </c>
      <c r="U49" s="3">
        <f t="shared" si="48"/>
        <v>30</v>
      </c>
      <c r="V49" s="3">
        <v>2</v>
      </c>
      <c r="W49" s="3">
        <f t="shared" si="25"/>
        <v>31</v>
      </c>
      <c r="X49" s="3">
        <v>2</v>
      </c>
      <c r="Y49" s="3">
        <v>33</v>
      </c>
      <c r="Z49" s="6">
        <v>33</v>
      </c>
      <c r="AA49" s="6">
        <f t="shared" si="18"/>
        <v>38</v>
      </c>
      <c r="AB49" s="3">
        <v>6</v>
      </c>
      <c r="AC49" s="3">
        <v>7</v>
      </c>
      <c r="AD49" s="3">
        <v>7</v>
      </c>
      <c r="AE49" s="3">
        <v>45</v>
      </c>
      <c r="AF49" s="3">
        <f t="shared" si="26"/>
        <v>82</v>
      </c>
      <c r="AG49" s="6">
        <v>3</v>
      </c>
      <c r="AH49" s="6">
        <f t="shared" si="27"/>
        <v>85</v>
      </c>
      <c r="AI49" s="3">
        <v>0</v>
      </c>
      <c r="AJ49" s="3">
        <f t="shared" si="28"/>
        <v>85</v>
      </c>
      <c r="AK49" s="3" t="s">
        <v>60</v>
      </c>
      <c r="AL49" s="3">
        <v>1</v>
      </c>
      <c r="AM49" s="3">
        <f t="shared" si="29"/>
        <v>86</v>
      </c>
      <c r="AN49" s="3">
        <v>1</v>
      </c>
      <c r="AO49" s="3">
        <f t="shared" si="30"/>
        <v>87</v>
      </c>
      <c r="AP49" s="3">
        <v>3</v>
      </c>
      <c r="AQ49" s="3">
        <f t="shared" si="31"/>
        <v>90</v>
      </c>
      <c r="AR49" s="3">
        <f t="shared" si="32"/>
        <v>97</v>
      </c>
      <c r="AS49" s="3">
        <f t="shared" si="33"/>
        <v>104</v>
      </c>
      <c r="AT49" s="3">
        <v>0</v>
      </c>
      <c r="AU49" s="3">
        <f t="shared" si="34"/>
        <v>15</v>
      </c>
      <c r="AV49" s="3" t="s">
        <v>133</v>
      </c>
      <c r="AW49" s="3" t="s">
        <v>131</v>
      </c>
      <c r="AX49" s="20" t="s">
        <v>88</v>
      </c>
      <c r="AY49" s="41">
        <v>46507</v>
      </c>
    </row>
    <row r="50" spans="1:51" hidden="1" x14ac:dyDescent="0.25">
      <c r="A50" s="5" t="s">
        <v>146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46"/>
        <v>5</v>
      </c>
      <c r="Q50" s="3">
        <f t="shared" si="23"/>
        <v>26</v>
      </c>
      <c r="R50" s="3">
        <f t="shared" si="47"/>
        <v>23</v>
      </c>
      <c r="S50" s="3">
        <v>7</v>
      </c>
      <c r="T50" s="3">
        <f t="shared" si="24"/>
        <v>29</v>
      </c>
      <c r="U50" s="3">
        <f t="shared" si="48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49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46"/>
        <v>5</v>
      </c>
      <c r="Q51" s="3">
        <f t="shared" si="23"/>
        <v>26</v>
      </c>
      <c r="R51" s="3">
        <f t="shared" si="47"/>
        <v>23</v>
      </c>
      <c r="S51" s="3">
        <v>7</v>
      </c>
      <c r="T51" s="3">
        <f t="shared" si="24"/>
        <v>29</v>
      </c>
      <c r="U51" s="3">
        <f t="shared" si="48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49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hidden="1" x14ac:dyDescent="0.25">
      <c r="A52" s="5" t="s">
        <v>152</v>
      </c>
      <c r="B52" s="38" t="s">
        <v>83</v>
      </c>
      <c r="C52" s="38" t="s">
        <v>72</v>
      </c>
      <c r="D52" s="38" t="s">
        <v>86</v>
      </c>
      <c r="E52" s="38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46"/>
        <v>5</v>
      </c>
      <c r="Q52" s="3">
        <f t="shared" si="23"/>
        <v>19</v>
      </c>
      <c r="R52" s="3">
        <f t="shared" si="47"/>
        <v>16</v>
      </c>
      <c r="S52" s="3">
        <v>3</v>
      </c>
      <c r="T52" s="3">
        <f t="shared" si="24"/>
        <v>18</v>
      </c>
      <c r="U52" s="3">
        <f t="shared" si="48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v>23</v>
      </c>
      <c r="AA52" s="6">
        <f t="shared" si="18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6"/>
        <v>64</v>
      </c>
      <c r="AG52" s="6">
        <v>3</v>
      </c>
      <c r="AH52" s="6">
        <f t="shared" si="27"/>
        <v>67</v>
      </c>
      <c r="AI52" s="3">
        <v>7</v>
      </c>
      <c r="AJ52" s="3">
        <f t="shared" si="28"/>
        <v>74</v>
      </c>
      <c r="AK52" s="3">
        <v>0</v>
      </c>
      <c r="AL52" s="3">
        <v>6</v>
      </c>
      <c r="AM52" s="3">
        <f t="shared" si="29"/>
        <v>80</v>
      </c>
      <c r="AN52" s="3">
        <v>2</v>
      </c>
      <c r="AO52" s="3">
        <f t="shared" si="30"/>
        <v>82</v>
      </c>
      <c r="AP52" s="3">
        <v>0</v>
      </c>
      <c r="AQ52" s="3">
        <f t="shared" si="31"/>
        <v>82</v>
      </c>
      <c r="AR52" s="3">
        <f t="shared" si="32"/>
        <v>89</v>
      </c>
      <c r="AS52" s="3">
        <f t="shared" si="33"/>
        <v>96</v>
      </c>
      <c r="AT52" s="3">
        <v>0</v>
      </c>
      <c r="AU52" s="3">
        <f t="shared" si="34"/>
        <v>9</v>
      </c>
      <c r="AV52" s="3" t="s">
        <v>133</v>
      </c>
      <c r="AW52" s="3" t="s">
        <v>134</v>
      </c>
      <c r="AX52" s="20" t="s">
        <v>56</v>
      </c>
      <c r="AY52" s="41">
        <v>46507</v>
      </c>
    </row>
    <row r="53" spans="1:51" hidden="1" x14ac:dyDescent="0.25">
      <c r="A53" s="5" t="s">
        <v>168</v>
      </c>
      <c r="B53" s="38" t="s">
        <v>61</v>
      </c>
      <c r="C53" s="39" t="s">
        <v>68</v>
      </c>
      <c r="D53" s="38" t="s">
        <v>64</v>
      </c>
      <c r="E53" s="33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50">+IF(I53="SFK Freight Forwarder",L53,9)</f>
        <v>9</v>
      </c>
      <c r="N53" s="23">
        <v>2</v>
      </c>
      <c r="O53" s="3">
        <f t="shared" ref="O53" si="51">IF(I53="SFK Freight Forwarder",M53,M53+N53-1)</f>
        <v>10</v>
      </c>
      <c r="P53" s="3">
        <v>5</v>
      </c>
      <c r="Q53" s="3">
        <f t="shared" ref="Q53" si="5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53">+U53+V53-1</f>
        <v>18</v>
      </c>
      <c r="X53" s="23">
        <v>1</v>
      </c>
      <c r="Y53" s="3">
        <v>18</v>
      </c>
      <c r="Z53" s="6">
        <v>19</v>
      </c>
      <c r="AA53" s="6">
        <f t="shared" ref="AA53" si="54">+Z53+AB53-1</f>
        <v>22</v>
      </c>
      <c r="AB53" s="23">
        <v>4</v>
      </c>
      <c r="AC53" s="23"/>
      <c r="AD53" s="23"/>
      <c r="AE53" s="23">
        <v>46</v>
      </c>
      <c r="AF53" s="23">
        <f t="shared" ref="AF53" si="55">+AE53+AA53-1</f>
        <v>67</v>
      </c>
      <c r="AG53" s="23">
        <v>3</v>
      </c>
      <c r="AH53" s="23">
        <f t="shared" ref="AH53" si="56">+AF53+AG53</f>
        <v>70</v>
      </c>
      <c r="AI53" s="23">
        <v>7</v>
      </c>
      <c r="AJ53" s="23">
        <f t="shared" ref="AJ53" si="57">+AI53+AH53</f>
        <v>77</v>
      </c>
      <c r="AK53" s="23"/>
      <c r="AL53" s="23">
        <v>3</v>
      </c>
      <c r="AM53" s="23">
        <f t="shared" ref="AM53" si="58">+AJ53+AL53</f>
        <v>80</v>
      </c>
      <c r="AN53" s="23">
        <v>2</v>
      </c>
      <c r="AO53" s="23">
        <f t="shared" ref="AO53" si="59">+AM53+AN53</f>
        <v>82</v>
      </c>
      <c r="AP53" s="23">
        <v>2</v>
      </c>
      <c r="AQ53" s="23">
        <f t="shared" ref="AQ53" si="60">+AO53+AP53</f>
        <v>84</v>
      </c>
      <c r="AR53" s="23">
        <f t="shared" ref="AR53" si="61">+AQ53+7</f>
        <v>91</v>
      </c>
      <c r="AS53" s="23">
        <f t="shared" ref="AS53" si="62">+AR53+7+AT53</f>
        <v>112</v>
      </c>
      <c r="AT53" s="23">
        <v>14</v>
      </c>
      <c r="AU53" s="3">
        <f t="shared" ref="AU53" si="6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>
    <filterColumn colId="0">
      <filters>
        <filter val="O004"/>
      </filters>
    </filterColumn>
    <filterColumn colId="2">
      <filters>
        <filter val="JPYOK"/>
      </filters>
    </filterColumn>
  </autoFilter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K2:K53 J12:J53 I2:I53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2026-05-12T10:30:09Z</dcterms:modified>
</cp:coreProperties>
</file>