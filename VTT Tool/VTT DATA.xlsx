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A5D8FA55-00D3-49FB-BC7F-CC936D077B8A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6" i="1"/>
  <c r="O46" i="1" s="1"/>
  <c r="Q46" i="1" s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s="1"/>
  <c r="W46" i="1" s="1"/>
  <c r="Y46" i="1" s="1"/>
  <c r="Z46" i="1" l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<sst xmlns="http://schemas.openxmlformats.org/spreadsheetml/2006/main" count="638" uniqueCount="170">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</sst>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W46" activePane="bottomRight" state="frozen"/>
      <selection pane="topRight" activeCell="L1" sqref="L1"/>
      <selection pane="bottomLeft" activeCell="A2" sqref="A2"/>
      <selection pane="bottomRight" activeCell="Z69" sqref="Z69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5.5703125" customWidth="1" outlineLevel="1"/>
    <col min="12" max="12" width="15.42578125" style="9" customWidth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6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2</v>
      </c>
      <c r="Y25" s="3">
        <f t="shared" si="18"/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65" si="22">+IF(I34="SFK Freight Forwarder",L34,9)</f>
        <v>7</v>
      </c>
      <c r="N34" s="3">
        <v>14</v>
      </c>
      <c r="O34" s="3">
        <f t="shared" ref="O34:O65" si="23">IF(I34="SFK Freight Forwarder",M34,M34+N34-1)</f>
        <v>7</v>
      </c>
      <c r="P34" s="3">
        <f t="shared" si="20"/>
        <v>0</v>
      </c>
      <c r="Q34" s="3">
        <f t="shared" ref="Q34:Q65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65" si="25">+R34+S34-1</f>
        <v>29</v>
      </c>
      <c r="U34" s="3">
        <f t="shared" si="6"/>
        <v>30</v>
      </c>
      <c r="V34" s="3">
        <v>1</v>
      </c>
      <c r="W34" s="3">
        <f t="shared" ref="W34:W65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65" si="27">+AE34+AA34-1</f>
        <v>93</v>
      </c>
      <c r="AG34" s="6">
        <v>3</v>
      </c>
      <c r="AH34" s="6">
        <f t="shared" ref="AH34:AH65" si="28">+AF34+AG34</f>
        <v>96</v>
      </c>
      <c r="AI34" s="3">
        <v>0</v>
      </c>
      <c r="AJ34" s="3">
        <f t="shared" ref="AJ34:AJ65" si="29">+AI34+AH34</f>
        <v>96</v>
      </c>
      <c r="AK34" s="3" t="s">
        <v>61</v>
      </c>
      <c r="AL34" s="3">
        <v>2</v>
      </c>
      <c r="AM34" s="3">
        <f t="shared" ref="AM34:AM65" si="30">+AJ34+AL34</f>
        <v>98</v>
      </c>
      <c r="AN34" s="3">
        <v>2</v>
      </c>
      <c r="AO34" s="3">
        <f t="shared" ref="AO34:AO65" si="31">+AM34+AN34</f>
        <v>100</v>
      </c>
      <c r="AP34" s="3">
        <v>0</v>
      </c>
      <c r="AQ34" s="3">
        <f t="shared" ref="AQ34:AQ65" si="32">+AO34+AP34</f>
        <v>100</v>
      </c>
      <c r="AR34" s="3">
        <f t="shared" ref="AR34:AR65" si="33">+AQ34+7</f>
        <v>107</v>
      </c>
      <c r="AS34" s="3">
        <f t="shared" ref="AS34:AS65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f t="shared" si="22"/>
        <v>9</v>
      </c>
      <c r="N46" s="23">
        <v>2</v>
      </c>
      <c r="O46" s="3">
        <f t="shared" si="23"/>
        <v>10</v>
      </c>
      <c r="P46" s="3">
        <v>5</v>
      </c>
      <c r="Q46" s="3">
        <f t="shared" si="24"/>
        <v>14</v>
      </c>
      <c r="R46" s="23">
        <v>9</v>
      </c>
      <c r="S46" s="23">
        <v>13</v>
      </c>
      <c r="T46" s="23">
        <f t="shared" si="25"/>
        <v>21</v>
      </c>
      <c r="U46" s="23">
        <f t="shared" si="6"/>
        <v>22</v>
      </c>
      <c r="V46" s="23">
        <v>7</v>
      </c>
      <c r="W46" s="23">
        <f t="shared" si="26"/>
        <v>28</v>
      </c>
      <c r="X46" s="23">
        <v>1</v>
      </c>
      <c r="Y46" s="3">
        <f t="shared" si="18"/>
        <v>29</v>
      </c>
      <c r="Z46" s="6">
        <f t="shared" ref="Z46:Z53" si="36">+Y46+X46-1</f>
        <v>29</v>
      </c>
      <c r="AA46" s="6">
        <v>31</v>
      </c>
      <c r="AB46" s="23">
        <v>4</v>
      </c>
      <c r="AC46" s="23"/>
      <c r="AD46" s="23"/>
      <c r="AE46" s="33">
        <v>40</v>
      </c>
      <c r="AF46" s="23">
        <f t="shared" si="27"/>
        <v>70</v>
      </c>
      <c r="AG46" s="23">
        <v>3</v>
      </c>
      <c r="AH46" s="23">
        <f t="shared" si="28"/>
        <v>73</v>
      </c>
      <c r="AI46" s="23">
        <v>7</v>
      </c>
      <c r="AJ46" s="23">
        <f t="shared" si="29"/>
        <v>80</v>
      </c>
      <c r="AK46" s="23"/>
      <c r="AL46" s="23">
        <v>3</v>
      </c>
      <c r="AM46" s="23">
        <f t="shared" si="30"/>
        <v>83</v>
      </c>
      <c r="AN46" s="23">
        <v>2</v>
      </c>
      <c r="AO46" s="23">
        <f t="shared" si="31"/>
        <v>85</v>
      </c>
      <c r="AP46" s="23">
        <v>2</v>
      </c>
      <c r="AQ46" s="23">
        <f t="shared" si="32"/>
        <v>87</v>
      </c>
      <c r="AR46" s="23">
        <f t="shared" si="33"/>
        <v>94</v>
      </c>
      <c r="AS46" s="23">
        <f t="shared" si="34"/>
        <v>115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46143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si="36"/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10">
      <filters>
        <filter val="INFIMOTION"/>
      </filters>
    </filterColumn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2026-04-28T10:34:24Z</dcterms:modified>
</cp:coreProperties>
</file>