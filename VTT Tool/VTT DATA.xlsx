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4836CB71-1AF2-4E4E-A6D4-E64D71C60F22}" xr6:coauthVersionLast="47" xr6:coauthVersionMax="47" xr10:uidLastSave="{00000000-0000-0000-0000-000000000000}"/>
  <bookViews>
    <workbookView xWindow="19090" yWindow="-1340" windowWidth="19420" windowHeight="11500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6" i="1" l="1"/>
  <c r="AO46" i="1"/>
  <c r="O46" i="1"/>
  <c r="M9" i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Q46" i="1"/>
  <c r="M47" i="1"/>
  <c r="O47" i="1" s="1"/>
  <c r="Q47" i="1" s="1"/>
  <c r="M6" i="1"/>
  <c r="O6" i="1" s="1"/>
  <c r="W47" i="1"/>
  <c r="Y47" i="1" s="1"/>
  <c r="Z47" i="1" s="1"/>
  <c r="T47" i="1"/>
  <c r="AA47" i="1" l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l="1"/>
  <c r="W46" i="1" s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S46" i="1" l="1"/>
  <c r="AU45" i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<sst xmlns="http://schemas.openxmlformats.org/spreadsheetml/2006/main" count="638" uniqueCount="170">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</sst>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AM43" activePane="bottomRight" state="frozen"/>
      <selection pane="topRight" activeCell="L1" sqref="L1"/>
      <selection pane="bottomLeft" activeCell="A2" sqref="A2"/>
      <selection pane="bottomRight" activeCell="AR46" sqref="AR46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5.570312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 t="shared" ref="M2:M33" si="0">+IF(I2="SFK Freight Forwarder",L2,9)</f>
        <v>9</v>
      </c>
      <c r="N2" s="3">
        <v>7</v>
      </c>
      <c r="O2" s="3">
        <f t="shared" ref="O2:O33" si="1">IF(I2="SFK Freight Forwarder",M2,M2+N2-1)</f>
        <v>15</v>
      </c>
      <c r="P2" s="3">
        <f t="shared" ref="P2:P26" si="2">+IF(I2="SFK Freight Forwarder",0,5)</f>
        <v>5</v>
      </c>
      <c r="Q2" s="3">
        <f t="shared" ref="Q2:Q33" si="3">+IF(I2="SFK Freight Forwarder",O2,O2+P2-1)</f>
        <v>19</v>
      </c>
      <c r="R2" s="3">
        <f t="shared" ref="R2:R45" si="4">9+N2</f>
        <v>16</v>
      </c>
      <c r="S2" s="3">
        <v>7</v>
      </c>
      <c r="T2" s="3">
        <f t="shared" ref="T2:T33" si="5">+R2+S2-1</f>
        <v>22</v>
      </c>
      <c r="U2" s="3">
        <f t="shared" ref="U2:U45" si="6">+T2+1</f>
        <v>23</v>
      </c>
      <c r="V2" s="3">
        <v>1</v>
      </c>
      <c r="W2" s="3">
        <f t="shared" ref="W2:W33" si="7">+U2+V2-1</f>
        <v>23</v>
      </c>
      <c r="X2" s="3">
        <v>4</v>
      </c>
      <c r="Y2" s="3">
        <f>+ROUNDDOWN(W2/7,0)*7+X2</f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9">+AE2+AA2-1</f>
        <v>72</v>
      </c>
      <c r="AG2" s="6">
        <v>3</v>
      </c>
      <c r="AH2" s="6">
        <f t="shared" ref="AH2:AH33" si="10">+AF2+AG2</f>
        <v>75</v>
      </c>
      <c r="AI2" s="3">
        <v>7</v>
      </c>
      <c r="AJ2" s="3">
        <f t="shared" ref="AJ2:AJ33" si="11">+AI2+AH2</f>
        <v>82</v>
      </c>
      <c r="AK2" s="3" t="s">
        <v>56</v>
      </c>
      <c r="AL2" s="3">
        <v>2</v>
      </c>
      <c r="AM2" s="3">
        <f t="shared" ref="AM2:AM33" si="12">+AJ2+AL2</f>
        <v>84</v>
      </c>
      <c r="AN2" s="3">
        <v>2</v>
      </c>
      <c r="AO2" s="3">
        <f t="shared" ref="AO2:AO33" si="13">+AM2+AN2</f>
        <v>86</v>
      </c>
      <c r="AP2" s="3">
        <v>5</v>
      </c>
      <c r="AQ2" s="3">
        <f t="shared" ref="AQ2:AQ33" si="14">+AO2+AP2</f>
        <v>91</v>
      </c>
      <c r="AR2" s="3">
        <f t="shared" ref="AR2:AR33" si="15">+AQ2+7</f>
        <v>98</v>
      </c>
      <c r="AS2" s="3">
        <f t="shared" ref="AS2:AS33" si="16">+AR2+7+AT2</f>
        <v>115</v>
      </c>
      <c r="AT2" s="3">
        <v>10</v>
      </c>
      <c r="AU2" s="3">
        <f t="shared" ref="AU2:AU33" si="17"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5</v>
      </c>
      <c r="Y3" s="3">
        <f>+ROUNDDOWN(W3/7,0)*7+X3</f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56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5</v>
      </c>
      <c r="Y4" s="3">
        <f>+ROUNDDOWN(W4/7,0)*7+X4</f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56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61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66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 t="shared" si="0"/>
        <v>7</v>
      </c>
      <c r="N7" s="3">
        <v>7</v>
      </c>
      <c r="O7" s="3">
        <f t="shared" si="1"/>
        <v>7</v>
      </c>
      <c r="P7" s="3">
        <f t="shared" si="2"/>
        <v>0</v>
      </c>
      <c r="Q7" s="3">
        <f t="shared" si="3"/>
        <v>7</v>
      </c>
      <c r="R7" s="3">
        <f t="shared" si="4"/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3</v>
      </c>
      <c r="Y7" s="26">
        <f>+W7+1</f>
        <v>31</v>
      </c>
      <c r="Z7" s="6">
        <f>+Y7+X7-1</f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39</v>
      </c>
      <c r="AF7" s="3">
        <f t="shared" si="9"/>
        <v>73</v>
      </c>
      <c r="AG7" s="6">
        <v>3</v>
      </c>
      <c r="AH7" s="6">
        <f t="shared" si="10"/>
        <v>76</v>
      </c>
      <c r="AI7" s="3">
        <v>0</v>
      </c>
      <c r="AJ7" s="3">
        <f t="shared" si="11"/>
        <v>76</v>
      </c>
      <c r="AK7" s="3" t="s">
        <v>61</v>
      </c>
      <c r="AL7" s="3">
        <v>2</v>
      </c>
      <c r="AM7" s="3">
        <f t="shared" si="12"/>
        <v>78</v>
      </c>
      <c r="AN7" s="3">
        <v>2</v>
      </c>
      <c r="AO7" s="3">
        <f t="shared" si="13"/>
        <v>80</v>
      </c>
      <c r="AP7" s="3">
        <v>6</v>
      </c>
      <c r="AQ7" s="3">
        <f t="shared" si="14"/>
        <v>86</v>
      </c>
      <c r="AR7" s="3">
        <f t="shared" si="15"/>
        <v>93</v>
      </c>
      <c r="AS7" s="3">
        <f t="shared" si="16"/>
        <v>114</v>
      </c>
      <c r="AT7" s="3">
        <v>14</v>
      </c>
      <c r="AU7" s="3">
        <f t="shared" si="17"/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 t="shared" si="0"/>
        <v>7</v>
      </c>
      <c r="N8" s="3">
        <v>7</v>
      </c>
      <c r="O8" s="3">
        <f t="shared" si="1"/>
        <v>7</v>
      </c>
      <c r="P8" s="3">
        <f t="shared" si="2"/>
        <v>0</v>
      </c>
      <c r="Q8" s="3">
        <f t="shared" si="3"/>
        <v>7</v>
      </c>
      <c r="R8" s="3">
        <f t="shared" si="4"/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 t="shared" si="8"/>
        <v>36</v>
      </c>
      <c r="AB8" s="3">
        <v>4</v>
      </c>
      <c r="AC8" s="3">
        <v>6</v>
      </c>
      <c r="AD8" s="3">
        <v>6</v>
      </c>
      <c r="AE8" s="3">
        <v>37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61</v>
      </c>
      <c r="AL8" s="3">
        <v>3</v>
      </c>
      <c r="AM8" s="3">
        <f t="shared" si="12"/>
        <v>85</v>
      </c>
      <c r="AN8" s="3">
        <v>4</v>
      </c>
      <c r="AO8" s="3">
        <f t="shared" si="13"/>
        <v>89</v>
      </c>
      <c r="AP8" s="3">
        <v>2</v>
      </c>
      <c r="AQ8" s="3">
        <f t="shared" si="14"/>
        <v>91</v>
      </c>
      <c r="AR8" s="3">
        <f t="shared" si="15"/>
        <v>98</v>
      </c>
      <c r="AS8" s="3">
        <f t="shared" si="16"/>
        <v>119</v>
      </c>
      <c r="AT8" s="3">
        <v>14</v>
      </c>
      <c r="AU8" s="3">
        <f t="shared" si="17"/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 t="shared" si="0"/>
        <v>5</v>
      </c>
      <c r="N9" s="3">
        <v>7</v>
      </c>
      <c r="O9" s="3">
        <f t="shared" si="1"/>
        <v>5</v>
      </c>
      <c r="P9" s="3">
        <f t="shared" si="2"/>
        <v>0</v>
      </c>
      <c r="Q9" s="3">
        <f t="shared" si="3"/>
        <v>5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5</v>
      </c>
      <c r="Y9" s="26">
        <f>+W9+1</f>
        <v>31</v>
      </c>
      <c r="Z9" s="27">
        <f>+Y9+X9</f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56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5</v>
      </c>
      <c r="Y10" s="3">
        <f t="shared" ref="Y10:Y53" si="18">+ROUNDDOWN(W10/7,0)*7+X10</f>
        <v>26</v>
      </c>
      <c r="Z10" s="6">
        <f>+Y10+X10-1</f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66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3</v>
      </c>
      <c r="Y11" s="3">
        <f t="shared" si="18"/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56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5</v>
      </c>
      <c r="Y12" s="3">
        <f t="shared" si="18"/>
        <v>33</v>
      </c>
      <c r="Z12" s="6">
        <f>+Y12+X12-1</f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56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5</v>
      </c>
      <c r="Y13" s="3">
        <f t="shared" si="18"/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61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5</v>
      </c>
      <c r="Y14" s="3">
        <f t="shared" si="18"/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80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8</v>
      </c>
      <c r="Y15" s="3">
        <f t="shared" si="18"/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66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5</v>
      </c>
      <c r="Y16" s="3">
        <f t="shared" si="18"/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56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4</v>
      </c>
      <c r="Y17" s="3">
        <f t="shared" si="18"/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56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5</v>
      </c>
      <c r="Y18" s="3">
        <f t="shared" si="18"/>
        <v>26</v>
      </c>
      <c r="Z18" s="6">
        <v>31</v>
      </c>
      <c r="AA18" s="6">
        <f t="shared" ref="AA18:AA53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66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5</v>
      </c>
      <c r="Y19" s="3">
        <f t="shared" si="18"/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56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3</v>
      </c>
      <c r="Y20" s="3">
        <f t="shared" si="18"/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56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5</v>
      </c>
      <c r="Y21" s="3">
        <f t="shared" si="18"/>
        <v>33</v>
      </c>
      <c r="Z21" s="6">
        <f>+Y21+X21-1</f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56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hidden="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5</v>
      </c>
      <c r="Y22" s="3">
        <f t="shared" si="18"/>
        <v>33</v>
      </c>
      <c r="Z22" s="6">
        <f>+Y22+X22-1</f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56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4</v>
      </c>
      <c r="Y23" s="3">
        <f t="shared" si="18"/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80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4</v>
      </c>
      <c r="Y24" s="3">
        <f t="shared" si="18"/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56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hidden="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2</v>
      </c>
      <c r="Y25" s="3">
        <f t="shared" si="18"/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56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5</v>
      </c>
      <c r="Y26" s="3">
        <f t="shared" si="18"/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61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2</v>
      </c>
      <c r="Y27" s="3">
        <f t="shared" si="18"/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56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5" si="20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2</v>
      </c>
      <c r="Y28" s="3">
        <f t="shared" si="18"/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56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20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2</v>
      </c>
      <c r="Y29" s="3">
        <f t="shared" si="18"/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56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 t="shared" si="0"/>
        <v>7</v>
      </c>
      <c r="N30" s="3">
        <v>14</v>
      </c>
      <c r="O30" s="3">
        <f t="shared" si="1"/>
        <v>7</v>
      </c>
      <c r="P30" s="3">
        <f t="shared" si="20"/>
        <v>0</v>
      </c>
      <c r="Q30" s="3">
        <f t="shared" si="3"/>
        <v>7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3</v>
      </c>
      <c r="Y30" s="3">
        <f t="shared" si="18"/>
        <v>31</v>
      </c>
      <c r="Z30" s="6">
        <f t="shared" ref="Z30:Z41" si="21">+Y30+X30-1</f>
        <v>33</v>
      </c>
      <c r="AA30" s="6">
        <f t="shared" si="19"/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 t="shared" si="9"/>
        <v>68</v>
      </c>
      <c r="AG30" s="6">
        <v>3</v>
      </c>
      <c r="AH30" s="6">
        <f t="shared" si="10"/>
        <v>71</v>
      </c>
      <c r="AI30" s="3">
        <v>7</v>
      </c>
      <c r="AJ30" s="3">
        <f t="shared" si="11"/>
        <v>78</v>
      </c>
      <c r="AK30" s="3" t="s">
        <v>61</v>
      </c>
      <c r="AL30" s="3">
        <v>0</v>
      </c>
      <c r="AM30" s="3">
        <f t="shared" si="12"/>
        <v>78</v>
      </c>
      <c r="AN30" s="3">
        <v>0</v>
      </c>
      <c r="AO30" s="3">
        <f t="shared" si="13"/>
        <v>78</v>
      </c>
      <c r="AP30" s="3">
        <v>1</v>
      </c>
      <c r="AQ30" s="3">
        <f t="shared" si="14"/>
        <v>79</v>
      </c>
      <c r="AR30" s="3">
        <f t="shared" si="15"/>
        <v>86</v>
      </c>
      <c r="AS30" s="3">
        <f t="shared" si="16"/>
        <v>93</v>
      </c>
      <c r="AT30" s="3">
        <v>0</v>
      </c>
      <c r="AU30" s="3">
        <f t="shared" si="17"/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 t="shared" si="0"/>
        <v>7</v>
      </c>
      <c r="N31" s="3">
        <v>14</v>
      </c>
      <c r="O31" s="3">
        <f t="shared" si="1"/>
        <v>7</v>
      </c>
      <c r="P31" s="3">
        <f t="shared" si="20"/>
        <v>0</v>
      </c>
      <c r="Q31" s="3">
        <f t="shared" si="3"/>
        <v>7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3</v>
      </c>
      <c r="Y31" s="3">
        <f t="shared" si="18"/>
        <v>31</v>
      </c>
      <c r="Z31" s="6">
        <f t="shared" si="21"/>
        <v>33</v>
      </c>
      <c r="AA31" s="6">
        <f t="shared" si="19"/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 t="shared" si="9"/>
        <v>90</v>
      </c>
      <c r="AG31" s="6">
        <v>3</v>
      </c>
      <c r="AH31" s="6">
        <f t="shared" si="10"/>
        <v>93</v>
      </c>
      <c r="AI31" s="3">
        <v>0</v>
      </c>
      <c r="AJ31" s="3">
        <f t="shared" si="11"/>
        <v>93</v>
      </c>
      <c r="AK31" s="3" t="s">
        <v>61</v>
      </c>
      <c r="AL31" s="3">
        <v>1</v>
      </c>
      <c r="AM31" s="3">
        <f t="shared" si="12"/>
        <v>94</v>
      </c>
      <c r="AN31" s="3">
        <v>4</v>
      </c>
      <c r="AO31" s="3">
        <f t="shared" si="13"/>
        <v>98</v>
      </c>
      <c r="AP31" s="3">
        <v>2</v>
      </c>
      <c r="AQ31" s="3">
        <f t="shared" si="14"/>
        <v>100</v>
      </c>
      <c r="AR31" s="3">
        <f t="shared" si="15"/>
        <v>107</v>
      </c>
      <c r="AS31" s="3">
        <f t="shared" si="16"/>
        <v>130</v>
      </c>
      <c r="AT31" s="3">
        <v>16</v>
      </c>
      <c r="AU31" s="3">
        <f t="shared" si="17"/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 t="shared" si="0"/>
        <v>7</v>
      </c>
      <c r="N32" s="3">
        <v>14</v>
      </c>
      <c r="O32" s="3">
        <f t="shared" si="1"/>
        <v>7</v>
      </c>
      <c r="P32" s="3">
        <f t="shared" si="20"/>
        <v>0</v>
      </c>
      <c r="Q32" s="3">
        <f t="shared" si="3"/>
        <v>7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si="18"/>
        <v>31</v>
      </c>
      <c r="Z32" s="6">
        <f t="shared" si="21"/>
        <v>33</v>
      </c>
      <c r="AA32" s="6">
        <f t="shared" si="19"/>
        <v>38</v>
      </c>
      <c r="AB32" s="3">
        <v>6</v>
      </c>
      <c r="AC32" s="3">
        <v>7</v>
      </c>
      <c r="AD32" s="3">
        <v>7</v>
      </c>
      <c r="AE32" s="3">
        <v>44</v>
      </c>
      <c r="AF32" s="3">
        <f t="shared" si="9"/>
        <v>81</v>
      </c>
      <c r="AG32" s="6">
        <v>3</v>
      </c>
      <c r="AH32" s="6">
        <f t="shared" si="10"/>
        <v>84</v>
      </c>
      <c r="AI32" s="3">
        <v>7</v>
      </c>
      <c r="AJ32" s="3">
        <f t="shared" si="11"/>
        <v>91</v>
      </c>
      <c r="AK32" s="3" t="s">
        <v>61</v>
      </c>
      <c r="AL32" s="3">
        <v>3</v>
      </c>
      <c r="AM32" s="3">
        <f t="shared" si="12"/>
        <v>94</v>
      </c>
      <c r="AN32" s="3">
        <v>1</v>
      </c>
      <c r="AO32" s="3">
        <f t="shared" si="13"/>
        <v>95</v>
      </c>
      <c r="AP32" s="3">
        <v>6</v>
      </c>
      <c r="AQ32" s="3">
        <f t="shared" si="14"/>
        <v>101</v>
      </c>
      <c r="AR32" s="3">
        <f t="shared" si="15"/>
        <v>108</v>
      </c>
      <c r="AS32" s="3">
        <f t="shared" si="16"/>
        <v>132</v>
      </c>
      <c r="AT32" s="3">
        <v>17</v>
      </c>
      <c r="AU32" s="3">
        <f t="shared" si="17"/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 t="shared" si="0"/>
        <v>7</v>
      </c>
      <c r="N33" s="3">
        <v>14</v>
      </c>
      <c r="O33" s="3">
        <f t="shared" si="1"/>
        <v>7</v>
      </c>
      <c r="P33" s="3">
        <f t="shared" si="20"/>
        <v>0</v>
      </c>
      <c r="Q33" s="3">
        <f t="shared" si="3"/>
        <v>7</v>
      </c>
      <c r="R33" s="3">
        <f t="shared" si="4"/>
        <v>23</v>
      </c>
      <c r="S33" s="3">
        <v>7</v>
      </c>
      <c r="T33" s="3">
        <f t="shared" si="5"/>
        <v>29</v>
      </c>
      <c r="U33" s="3">
        <f t="shared" si="6"/>
        <v>30</v>
      </c>
      <c r="V33" s="3">
        <v>1</v>
      </c>
      <c r="W33" s="3">
        <f t="shared" si="7"/>
        <v>30</v>
      </c>
      <c r="X33" s="3">
        <v>3</v>
      </c>
      <c r="Y33" s="3">
        <f t="shared" si="18"/>
        <v>31</v>
      </c>
      <c r="Z33" s="6">
        <f t="shared" si="21"/>
        <v>33</v>
      </c>
      <c r="AA33" s="6">
        <f t="shared" si="19"/>
        <v>35</v>
      </c>
      <c r="AB33" s="3">
        <v>3</v>
      </c>
      <c r="AC33" s="3">
        <v>5</v>
      </c>
      <c r="AD33" s="3">
        <v>5</v>
      </c>
      <c r="AE33" s="3">
        <v>78</v>
      </c>
      <c r="AF33" s="3">
        <f t="shared" si="9"/>
        <v>112</v>
      </c>
      <c r="AG33" s="6">
        <v>3</v>
      </c>
      <c r="AH33" s="6">
        <f t="shared" si="10"/>
        <v>115</v>
      </c>
      <c r="AI33" s="3">
        <v>0</v>
      </c>
      <c r="AJ33" s="3">
        <f t="shared" si="11"/>
        <v>115</v>
      </c>
      <c r="AK33" s="3" t="s">
        <v>61</v>
      </c>
      <c r="AL33" s="3">
        <v>1</v>
      </c>
      <c r="AM33" s="3">
        <f t="shared" si="12"/>
        <v>116</v>
      </c>
      <c r="AN33" s="3">
        <v>1</v>
      </c>
      <c r="AO33" s="3">
        <f t="shared" si="13"/>
        <v>117</v>
      </c>
      <c r="AP33" s="3">
        <v>4</v>
      </c>
      <c r="AQ33" s="3">
        <f t="shared" si="14"/>
        <v>121</v>
      </c>
      <c r="AR33" s="3">
        <f t="shared" si="15"/>
        <v>128</v>
      </c>
      <c r="AS33" s="3">
        <f t="shared" si="16"/>
        <v>147</v>
      </c>
      <c r="AT33" s="3">
        <v>12</v>
      </c>
      <c r="AU33" s="3">
        <f t="shared" si="17"/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 t="shared" ref="M34:M53" si="22">+IF(I34="SFK Freight Forwarder",L34,9)</f>
        <v>7</v>
      </c>
      <c r="N34" s="3">
        <v>14</v>
      </c>
      <c r="O34" s="3">
        <f t="shared" ref="O34:O53" si="23">IF(I34="SFK Freight Forwarder",M34,M34+N34-1)</f>
        <v>7</v>
      </c>
      <c r="P34" s="3">
        <f t="shared" si="20"/>
        <v>0</v>
      </c>
      <c r="Q34" s="3">
        <f t="shared" ref="Q34:Q53" si="24">+IF(I34="SFK Freight Forwarder",O34,O34+P34-1)</f>
        <v>7</v>
      </c>
      <c r="R34" s="3">
        <f t="shared" si="4"/>
        <v>23</v>
      </c>
      <c r="S34" s="3">
        <v>7</v>
      </c>
      <c r="T34" s="3">
        <f t="shared" ref="T34:T53" si="25">+R34+S34-1</f>
        <v>29</v>
      </c>
      <c r="U34" s="3">
        <f t="shared" si="6"/>
        <v>30</v>
      </c>
      <c r="V34" s="3">
        <v>1</v>
      </c>
      <c r="W34" s="3">
        <f t="shared" ref="W34:W53" si="26">+U34+V34-1</f>
        <v>30</v>
      </c>
      <c r="X34" s="3">
        <v>3</v>
      </c>
      <c r="Y34" s="3">
        <f t="shared" si="18"/>
        <v>31</v>
      </c>
      <c r="Z34" s="6">
        <f t="shared" si="21"/>
        <v>33</v>
      </c>
      <c r="AA34" s="6">
        <f t="shared" si="19"/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 t="shared" ref="AF34:AF53" si="27">+AE34+AA34-1</f>
        <v>93</v>
      </c>
      <c r="AG34" s="6">
        <v>3</v>
      </c>
      <c r="AH34" s="6">
        <f t="shared" ref="AH34:AH53" si="28">+AF34+AG34</f>
        <v>96</v>
      </c>
      <c r="AI34" s="3">
        <v>0</v>
      </c>
      <c r="AJ34" s="3">
        <f t="shared" ref="AJ34:AJ53" si="29">+AI34+AH34</f>
        <v>96</v>
      </c>
      <c r="AK34" s="3" t="s">
        <v>61</v>
      </c>
      <c r="AL34" s="3">
        <v>2</v>
      </c>
      <c r="AM34" s="3">
        <f t="shared" ref="AM34:AM53" si="30">+AJ34+AL34</f>
        <v>98</v>
      </c>
      <c r="AN34" s="3">
        <v>2</v>
      </c>
      <c r="AO34" s="3">
        <f t="shared" ref="AO34:AO53" si="31">+AM34+AN34</f>
        <v>100</v>
      </c>
      <c r="AP34" s="3">
        <v>0</v>
      </c>
      <c r="AQ34" s="3">
        <f t="shared" ref="AQ34:AQ53" si="32">+AO34+AP34</f>
        <v>100</v>
      </c>
      <c r="AR34" s="3">
        <f t="shared" ref="AR34:AR53" si="33">+AQ34+7</f>
        <v>107</v>
      </c>
      <c r="AS34" s="3">
        <f t="shared" ref="AS34:AS53" si="34">+AR34+7+AT34</f>
        <v>127</v>
      </c>
      <c r="AT34" s="3">
        <v>13</v>
      </c>
      <c r="AU34" s="3">
        <f t="shared" ref="AU34:AU53" si="35"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 t="shared" si="22"/>
        <v>7</v>
      </c>
      <c r="N35" s="3">
        <v>14</v>
      </c>
      <c r="O35" s="3">
        <f t="shared" si="23"/>
        <v>7</v>
      </c>
      <c r="P35" s="3">
        <f t="shared" si="20"/>
        <v>0</v>
      </c>
      <c r="Q35" s="3">
        <f t="shared" si="24"/>
        <v>7</v>
      </c>
      <c r="R35" s="3">
        <f t="shared" si="4"/>
        <v>23</v>
      </c>
      <c r="S35" s="3">
        <v>7</v>
      </c>
      <c r="T35" s="3">
        <f t="shared" si="25"/>
        <v>29</v>
      </c>
      <c r="U35" s="3">
        <f t="shared" si="6"/>
        <v>30</v>
      </c>
      <c r="V35" s="3">
        <v>1</v>
      </c>
      <c r="W35" s="3">
        <f t="shared" si="26"/>
        <v>30</v>
      </c>
      <c r="X35" s="3">
        <v>3</v>
      </c>
      <c r="Y35" s="3">
        <f t="shared" si="18"/>
        <v>31</v>
      </c>
      <c r="Z35" s="6">
        <f t="shared" si="21"/>
        <v>33</v>
      </c>
      <c r="AA35" s="6">
        <f t="shared" si="19"/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 t="shared" si="27"/>
        <v>95</v>
      </c>
      <c r="AG35" s="6">
        <v>3</v>
      </c>
      <c r="AH35" s="6">
        <f t="shared" si="28"/>
        <v>98</v>
      </c>
      <c r="AI35" s="3">
        <v>0</v>
      </c>
      <c r="AJ35" s="3">
        <f t="shared" si="29"/>
        <v>98</v>
      </c>
      <c r="AK35" s="3" t="s">
        <v>61</v>
      </c>
      <c r="AL35" s="3">
        <v>4</v>
      </c>
      <c r="AM35" s="3">
        <f t="shared" si="30"/>
        <v>102</v>
      </c>
      <c r="AN35" s="3">
        <v>2</v>
      </c>
      <c r="AO35" s="3">
        <f t="shared" si="31"/>
        <v>104</v>
      </c>
      <c r="AP35" s="3">
        <v>3</v>
      </c>
      <c r="AQ35" s="3">
        <f t="shared" si="32"/>
        <v>107</v>
      </c>
      <c r="AR35" s="3">
        <f t="shared" si="33"/>
        <v>114</v>
      </c>
      <c r="AS35" s="3">
        <f t="shared" si="34"/>
        <v>135</v>
      </c>
      <c r="AT35" s="3">
        <v>14</v>
      </c>
      <c r="AU35" s="3">
        <f t="shared" si="35"/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 t="shared" si="22"/>
        <v>7</v>
      </c>
      <c r="N36" s="3">
        <v>14</v>
      </c>
      <c r="O36" s="3">
        <f t="shared" si="23"/>
        <v>7</v>
      </c>
      <c r="P36" s="3">
        <f t="shared" si="20"/>
        <v>0</v>
      </c>
      <c r="Q36" s="3">
        <f t="shared" si="24"/>
        <v>7</v>
      </c>
      <c r="R36" s="3">
        <f t="shared" si="4"/>
        <v>23</v>
      </c>
      <c r="S36" s="3">
        <v>7</v>
      </c>
      <c r="T36" s="3">
        <f t="shared" si="25"/>
        <v>29</v>
      </c>
      <c r="U36" s="3">
        <f t="shared" si="6"/>
        <v>30</v>
      </c>
      <c r="V36" s="3">
        <v>1</v>
      </c>
      <c r="W36" s="3">
        <f t="shared" si="26"/>
        <v>30</v>
      </c>
      <c r="X36" s="3">
        <v>3</v>
      </c>
      <c r="Y36" s="3">
        <f t="shared" si="18"/>
        <v>31</v>
      </c>
      <c r="Z36" s="6">
        <f t="shared" si="21"/>
        <v>33</v>
      </c>
      <c r="AA36" s="6">
        <f t="shared" si="19"/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 t="shared" si="27"/>
        <v>90</v>
      </c>
      <c r="AG36" s="6">
        <v>3</v>
      </c>
      <c r="AH36" s="6">
        <f t="shared" si="28"/>
        <v>93</v>
      </c>
      <c r="AI36" s="3">
        <v>0</v>
      </c>
      <c r="AJ36" s="3">
        <f t="shared" si="29"/>
        <v>93</v>
      </c>
      <c r="AK36" s="3" t="s">
        <v>61</v>
      </c>
      <c r="AL36" s="3">
        <v>2</v>
      </c>
      <c r="AM36" s="3">
        <f t="shared" si="30"/>
        <v>95</v>
      </c>
      <c r="AN36" s="3">
        <v>2</v>
      </c>
      <c r="AO36" s="3">
        <f t="shared" si="31"/>
        <v>97</v>
      </c>
      <c r="AP36" s="3">
        <v>3</v>
      </c>
      <c r="AQ36" s="3">
        <f t="shared" si="32"/>
        <v>100</v>
      </c>
      <c r="AR36" s="3">
        <f t="shared" si="33"/>
        <v>107</v>
      </c>
      <c r="AS36" s="3">
        <f t="shared" si="34"/>
        <v>124</v>
      </c>
      <c r="AT36" s="3">
        <v>10</v>
      </c>
      <c r="AU36" s="3">
        <f t="shared" si="35"/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 t="shared" si="22"/>
        <v>7</v>
      </c>
      <c r="N37" s="3">
        <v>14</v>
      </c>
      <c r="O37" s="3">
        <f t="shared" si="23"/>
        <v>7</v>
      </c>
      <c r="P37" s="3">
        <f t="shared" si="20"/>
        <v>0</v>
      </c>
      <c r="Q37" s="3">
        <f t="shared" si="24"/>
        <v>7</v>
      </c>
      <c r="R37" s="3">
        <f t="shared" si="4"/>
        <v>23</v>
      </c>
      <c r="S37" s="3">
        <v>7</v>
      </c>
      <c r="T37" s="3">
        <f t="shared" si="25"/>
        <v>29</v>
      </c>
      <c r="U37" s="3">
        <f t="shared" si="6"/>
        <v>30</v>
      </c>
      <c r="V37" s="3">
        <v>2</v>
      </c>
      <c r="W37" s="3">
        <f t="shared" si="26"/>
        <v>31</v>
      </c>
      <c r="X37" s="3">
        <v>5</v>
      </c>
      <c r="Y37" s="3">
        <f t="shared" si="18"/>
        <v>33</v>
      </c>
      <c r="Z37" s="6">
        <f t="shared" si="21"/>
        <v>37</v>
      </c>
      <c r="AA37" s="6">
        <f t="shared" si="19"/>
        <v>42</v>
      </c>
      <c r="AB37" s="3">
        <v>6</v>
      </c>
      <c r="AC37" s="3">
        <v>8</v>
      </c>
      <c r="AD37" s="3">
        <v>8</v>
      </c>
      <c r="AE37" s="3">
        <v>13</v>
      </c>
      <c r="AF37" s="3">
        <f t="shared" si="27"/>
        <v>54</v>
      </c>
      <c r="AG37" s="6">
        <v>3</v>
      </c>
      <c r="AH37" s="6">
        <f t="shared" si="28"/>
        <v>57</v>
      </c>
      <c r="AI37" s="3">
        <v>7</v>
      </c>
      <c r="AJ37" s="3">
        <f t="shared" si="29"/>
        <v>64</v>
      </c>
      <c r="AK37" s="3" t="s">
        <v>61</v>
      </c>
      <c r="AL37" s="3">
        <v>0</v>
      </c>
      <c r="AM37" s="3">
        <f t="shared" si="30"/>
        <v>64</v>
      </c>
      <c r="AN37" s="3">
        <v>0</v>
      </c>
      <c r="AO37" s="3">
        <f t="shared" si="31"/>
        <v>64</v>
      </c>
      <c r="AP37" s="3">
        <v>5</v>
      </c>
      <c r="AQ37" s="3">
        <f t="shared" si="32"/>
        <v>69</v>
      </c>
      <c r="AR37" s="3">
        <f t="shared" si="33"/>
        <v>76</v>
      </c>
      <c r="AS37" s="3">
        <f t="shared" si="34"/>
        <v>83</v>
      </c>
      <c r="AT37" s="3">
        <v>0</v>
      </c>
      <c r="AU37" s="3">
        <f t="shared" si="35"/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 t="shared" si="22"/>
        <v>7</v>
      </c>
      <c r="N38" s="3">
        <v>14</v>
      </c>
      <c r="O38" s="3">
        <f t="shared" si="23"/>
        <v>7</v>
      </c>
      <c r="P38" s="3">
        <f t="shared" si="20"/>
        <v>0</v>
      </c>
      <c r="Q38" s="3">
        <f t="shared" si="24"/>
        <v>7</v>
      </c>
      <c r="R38" s="3">
        <f t="shared" si="4"/>
        <v>23</v>
      </c>
      <c r="S38" s="3">
        <v>7</v>
      </c>
      <c r="T38" s="3">
        <f t="shared" si="25"/>
        <v>29</v>
      </c>
      <c r="U38" s="3">
        <f t="shared" si="6"/>
        <v>30</v>
      </c>
      <c r="V38" s="3">
        <v>2</v>
      </c>
      <c r="W38" s="3">
        <f t="shared" si="26"/>
        <v>31</v>
      </c>
      <c r="X38" s="3">
        <v>5</v>
      </c>
      <c r="Y38" s="3">
        <f t="shared" si="18"/>
        <v>33</v>
      </c>
      <c r="Z38" s="6">
        <f t="shared" si="21"/>
        <v>37</v>
      </c>
      <c r="AA38" s="6">
        <f t="shared" si="19"/>
        <v>42</v>
      </c>
      <c r="AB38" s="3">
        <v>6</v>
      </c>
      <c r="AC38" s="3">
        <v>8</v>
      </c>
      <c r="AD38" s="3">
        <v>8</v>
      </c>
      <c r="AE38" s="3">
        <v>32</v>
      </c>
      <c r="AF38" s="3">
        <f t="shared" si="27"/>
        <v>73</v>
      </c>
      <c r="AG38" s="6">
        <v>3</v>
      </c>
      <c r="AH38" s="6">
        <f t="shared" si="28"/>
        <v>76</v>
      </c>
      <c r="AI38" s="3">
        <v>7</v>
      </c>
      <c r="AJ38" s="3">
        <f t="shared" si="29"/>
        <v>83</v>
      </c>
      <c r="AK38" s="3" t="s">
        <v>61</v>
      </c>
      <c r="AL38" s="3">
        <v>2</v>
      </c>
      <c r="AM38" s="3">
        <f t="shared" si="30"/>
        <v>85</v>
      </c>
      <c r="AN38" s="3">
        <v>2</v>
      </c>
      <c r="AO38" s="3">
        <f t="shared" si="31"/>
        <v>87</v>
      </c>
      <c r="AP38" s="3">
        <v>3</v>
      </c>
      <c r="AQ38" s="3">
        <f t="shared" si="32"/>
        <v>90</v>
      </c>
      <c r="AR38" s="3">
        <f t="shared" si="33"/>
        <v>97</v>
      </c>
      <c r="AS38" s="3">
        <f t="shared" si="34"/>
        <v>104</v>
      </c>
      <c r="AT38" s="3">
        <v>0</v>
      </c>
      <c r="AU38" s="3">
        <f t="shared" si="35"/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 t="shared" si="22"/>
        <v>7</v>
      </c>
      <c r="N39" s="3">
        <v>14</v>
      </c>
      <c r="O39" s="3">
        <f t="shared" si="23"/>
        <v>7</v>
      </c>
      <c r="P39" s="3">
        <f t="shared" si="20"/>
        <v>0</v>
      </c>
      <c r="Q39" s="3">
        <f t="shared" si="24"/>
        <v>7</v>
      </c>
      <c r="R39" s="3">
        <f t="shared" si="4"/>
        <v>23</v>
      </c>
      <c r="S39" s="3">
        <v>7</v>
      </c>
      <c r="T39" s="3">
        <f t="shared" si="25"/>
        <v>29</v>
      </c>
      <c r="U39" s="3">
        <f t="shared" si="6"/>
        <v>30</v>
      </c>
      <c r="V39" s="3">
        <v>1</v>
      </c>
      <c r="W39" s="3">
        <f t="shared" si="26"/>
        <v>30</v>
      </c>
      <c r="X39" s="3">
        <v>3</v>
      </c>
      <c r="Y39" s="3">
        <f t="shared" si="18"/>
        <v>31</v>
      </c>
      <c r="Z39" s="6">
        <f t="shared" si="21"/>
        <v>33</v>
      </c>
      <c r="AA39" s="6">
        <f t="shared" si="19"/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 t="shared" si="27"/>
        <v>85</v>
      </c>
      <c r="AG39" s="6">
        <v>3</v>
      </c>
      <c r="AH39" s="6">
        <f t="shared" si="28"/>
        <v>88</v>
      </c>
      <c r="AI39" s="3">
        <v>0</v>
      </c>
      <c r="AJ39" s="3">
        <f t="shared" si="29"/>
        <v>88</v>
      </c>
      <c r="AK39" s="3" t="s">
        <v>61</v>
      </c>
      <c r="AL39" s="3">
        <v>2</v>
      </c>
      <c r="AM39" s="3">
        <f t="shared" si="30"/>
        <v>90</v>
      </c>
      <c r="AN39" s="3">
        <v>3</v>
      </c>
      <c r="AO39" s="3">
        <f t="shared" si="31"/>
        <v>93</v>
      </c>
      <c r="AP39" s="3">
        <v>0</v>
      </c>
      <c r="AQ39" s="3">
        <f t="shared" si="32"/>
        <v>93</v>
      </c>
      <c r="AR39" s="3">
        <f t="shared" si="33"/>
        <v>100</v>
      </c>
      <c r="AS39" s="3">
        <f t="shared" si="34"/>
        <v>107</v>
      </c>
      <c r="AT39" s="3">
        <v>0</v>
      </c>
      <c r="AU39" s="3">
        <f t="shared" si="35"/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 t="shared" si="22"/>
        <v>7</v>
      </c>
      <c r="N40" s="3">
        <v>14</v>
      </c>
      <c r="O40" s="3">
        <f t="shared" si="23"/>
        <v>7</v>
      </c>
      <c r="P40" s="3">
        <f t="shared" si="20"/>
        <v>0</v>
      </c>
      <c r="Q40" s="3">
        <f t="shared" si="24"/>
        <v>7</v>
      </c>
      <c r="R40" s="3">
        <f t="shared" si="4"/>
        <v>23</v>
      </c>
      <c r="S40" s="3">
        <v>7</v>
      </c>
      <c r="T40" s="3">
        <f t="shared" si="25"/>
        <v>29</v>
      </c>
      <c r="U40" s="3">
        <f t="shared" si="6"/>
        <v>30</v>
      </c>
      <c r="V40" s="3">
        <v>2</v>
      </c>
      <c r="W40" s="3">
        <f t="shared" si="26"/>
        <v>31</v>
      </c>
      <c r="X40" s="3">
        <v>5</v>
      </c>
      <c r="Y40" s="3">
        <f t="shared" si="18"/>
        <v>33</v>
      </c>
      <c r="Z40" s="6">
        <f t="shared" si="21"/>
        <v>37</v>
      </c>
      <c r="AA40" s="6">
        <f t="shared" si="19"/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 t="shared" si="27"/>
        <v>66</v>
      </c>
      <c r="AG40" s="6">
        <v>3</v>
      </c>
      <c r="AH40" s="6">
        <f t="shared" si="28"/>
        <v>69</v>
      </c>
      <c r="AI40" s="3">
        <v>0</v>
      </c>
      <c r="AJ40" s="3">
        <f t="shared" si="29"/>
        <v>69</v>
      </c>
      <c r="AK40" s="3" t="s">
        <v>61</v>
      </c>
      <c r="AL40" s="3">
        <v>2</v>
      </c>
      <c r="AM40" s="3">
        <f t="shared" si="30"/>
        <v>71</v>
      </c>
      <c r="AN40" s="3">
        <v>2</v>
      </c>
      <c r="AO40" s="3">
        <f t="shared" si="31"/>
        <v>73</v>
      </c>
      <c r="AP40" s="3">
        <v>1</v>
      </c>
      <c r="AQ40" s="3">
        <f t="shared" si="32"/>
        <v>74</v>
      </c>
      <c r="AR40" s="3">
        <f t="shared" si="33"/>
        <v>81</v>
      </c>
      <c r="AS40" s="3">
        <f t="shared" si="34"/>
        <v>88</v>
      </c>
      <c r="AT40" s="3">
        <v>0</v>
      </c>
      <c r="AU40" s="3">
        <f t="shared" si="35"/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 t="shared" si="22"/>
        <v>7</v>
      </c>
      <c r="N41" s="3">
        <v>14</v>
      </c>
      <c r="O41" s="3">
        <f t="shared" si="23"/>
        <v>7</v>
      </c>
      <c r="P41" s="3">
        <f t="shared" si="20"/>
        <v>0</v>
      </c>
      <c r="Q41" s="3">
        <f t="shared" si="24"/>
        <v>7</v>
      </c>
      <c r="R41" s="3">
        <f t="shared" si="4"/>
        <v>23</v>
      </c>
      <c r="S41" s="3">
        <v>7</v>
      </c>
      <c r="T41" s="3">
        <f t="shared" si="25"/>
        <v>29</v>
      </c>
      <c r="U41" s="3">
        <f t="shared" si="6"/>
        <v>30</v>
      </c>
      <c r="V41" s="3">
        <v>1</v>
      </c>
      <c r="W41" s="3">
        <f t="shared" si="26"/>
        <v>30</v>
      </c>
      <c r="X41" s="3">
        <v>3</v>
      </c>
      <c r="Y41" s="3">
        <f t="shared" si="18"/>
        <v>31</v>
      </c>
      <c r="Z41" s="6">
        <f t="shared" si="21"/>
        <v>33</v>
      </c>
      <c r="AA41" s="6">
        <f t="shared" si="19"/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 t="shared" si="27"/>
        <v>95</v>
      </c>
      <c r="AG41" s="6">
        <v>3</v>
      </c>
      <c r="AH41" s="6">
        <f t="shared" si="28"/>
        <v>98</v>
      </c>
      <c r="AI41" s="3">
        <v>7</v>
      </c>
      <c r="AJ41" s="3">
        <f t="shared" si="29"/>
        <v>105</v>
      </c>
      <c r="AK41" s="3" t="s">
        <v>61</v>
      </c>
      <c r="AL41" s="3">
        <v>3</v>
      </c>
      <c r="AM41" s="3">
        <f t="shared" si="30"/>
        <v>108</v>
      </c>
      <c r="AN41" s="3">
        <v>3</v>
      </c>
      <c r="AO41" s="3">
        <f t="shared" si="31"/>
        <v>111</v>
      </c>
      <c r="AP41" s="3">
        <v>3</v>
      </c>
      <c r="AQ41" s="3">
        <f t="shared" si="32"/>
        <v>114</v>
      </c>
      <c r="AR41" s="3">
        <f t="shared" si="33"/>
        <v>121</v>
      </c>
      <c r="AS41" s="3">
        <f t="shared" si="34"/>
        <v>136</v>
      </c>
      <c r="AT41" s="3">
        <v>8</v>
      </c>
      <c r="AU41" s="3">
        <f t="shared" si="35"/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 t="shared" si="22"/>
        <v>9</v>
      </c>
      <c r="N42" s="3">
        <v>21</v>
      </c>
      <c r="O42" s="3">
        <f t="shared" si="23"/>
        <v>29</v>
      </c>
      <c r="P42" s="3">
        <f t="shared" si="20"/>
        <v>5</v>
      </c>
      <c r="Q42" s="3">
        <f t="shared" si="24"/>
        <v>33</v>
      </c>
      <c r="R42" s="3">
        <f t="shared" si="4"/>
        <v>30</v>
      </c>
      <c r="S42" s="3">
        <v>7</v>
      </c>
      <c r="T42" s="3">
        <f t="shared" si="25"/>
        <v>36</v>
      </c>
      <c r="U42" s="3">
        <f t="shared" si="6"/>
        <v>37</v>
      </c>
      <c r="V42" s="3">
        <v>1</v>
      </c>
      <c r="W42" s="3">
        <f t="shared" si="26"/>
        <v>37</v>
      </c>
      <c r="X42" s="3">
        <v>2</v>
      </c>
      <c r="Y42" s="3">
        <f t="shared" si="18"/>
        <v>37</v>
      </c>
      <c r="Z42" s="6">
        <v>42</v>
      </c>
      <c r="AA42" s="6">
        <f t="shared" si="19"/>
        <v>44</v>
      </c>
      <c r="AB42" s="3">
        <v>3</v>
      </c>
      <c r="AC42" s="3">
        <v>4</v>
      </c>
      <c r="AD42" s="3">
        <v>4</v>
      </c>
      <c r="AE42" s="3">
        <v>40</v>
      </c>
      <c r="AF42" s="3">
        <f t="shared" si="27"/>
        <v>83</v>
      </c>
      <c r="AG42" s="6">
        <v>3</v>
      </c>
      <c r="AH42" s="6">
        <f t="shared" si="28"/>
        <v>86</v>
      </c>
      <c r="AI42" s="3">
        <v>0</v>
      </c>
      <c r="AJ42" s="3">
        <f t="shared" si="29"/>
        <v>86</v>
      </c>
      <c r="AK42" s="3" t="s">
        <v>56</v>
      </c>
      <c r="AL42" s="3">
        <v>2</v>
      </c>
      <c r="AM42" s="3">
        <f t="shared" si="30"/>
        <v>88</v>
      </c>
      <c r="AN42" s="3">
        <v>3</v>
      </c>
      <c r="AO42" s="3">
        <f t="shared" si="31"/>
        <v>91</v>
      </c>
      <c r="AP42" s="3">
        <v>0</v>
      </c>
      <c r="AQ42" s="3">
        <f t="shared" si="32"/>
        <v>91</v>
      </c>
      <c r="AR42" s="3">
        <f t="shared" si="33"/>
        <v>98</v>
      </c>
      <c r="AS42" s="3">
        <f t="shared" si="34"/>
        <v>105</v>
      </c>
      <c r="AT42" s="3">
        <v>0</v>
      </c>
      <c r="AU42" s="3">
        <f t="shared" si="35"/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 t="shared" si="22"/>
        <v>7</v>
      </c>
      <c r="N43" s="3">
        <v>14</v>
      </c>
      <c r="O43" s="3">
        <f t="shared" si="23"/>
        <v>7</v>
      </c>
      <c r="P43" s="3">
        <f t="shared" si="20"/>
        <v>0</v>
      </c>
      <c r="Q43" s="3">
        <f t="shared" si="24"/>
        <v>7</v>
      </c>
      <c r="R43" s="3">
        <f t="shared" si="4"/>
        <v>23</v>
      </c>
      <c r="S43" s="3">
        <v>7</v>
      </c>
      <c r="T43" s="3">
        <f t="shared" si="25"/>
        <v>29</v>
      </c>
      <c r="U43" s="3">
        <f t="shared" si="6"/>
        <v>30</v>
      </c>
      <c r="V43" s="3">
        <v>1</v>
      </c>
      <c r="W43" s="3">
        <f t="shared" si="26"/>
        <v>30</v>
      </c>
      <c r="X43" s="3">
        <v>3</v>
      </c>
      <c r="Y43" s="3">
        <f t="shared" si="18"/>
        <v>31</v>
      </c>
      <c r="Z43" s="6">
        <f>+Y43+X43-1</f>
        <v>33</v>
      </c>
      <c r="AA43" s="6">
        <f t="shared" si="19"/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 t="shared" si="27"/>
        <v>68</v>
      </c>
      <c r="AG43" s="6">
        <v>3</v>
      </c>
      <c r="AH43" s="6">
        <f t="shared" si="28"/>
        <v>71</v>
      </c>
      <c r="AI43" s="3">
        <v>0</v>
      </c>
      <c r="AJ43" s="3">
        <f t="shared" si="29"/>
        <v>71</v>
      </c>
      <c r="AK43" s="3" t="s">
        <v>61</v>
      </c>
      <c r="AL43" s="3">
        <v>6</v>
      </c>
      <c r="AM43" s="3">
        <f t="shared" si="30"/>
        <v>77</v>
      </c>
      <c r="AN43" s="3">
        <v>3</v>
      </c>
      <c r="AO43" s="3">
        <f t="shared" si="31"/>
        <v>80</v>
      </c>
      <c r="AP43" s="3">
        <v>2</v>
      </c>
      <c r="AQ43" s="3">
        <f t="shared" si="32"/>
        <v>82</v>
      </c>
      <c r="AR43" s="3">
        <f t="shared" si="33"/>
        <v>89</v>
      </c>
      <c r="AS43" s="3">
        <f t="shared" si="34"/>
        <v>96</v>
      </c>
      <c r="AT43" s="3">
        <v>0</v>
      </c>
      <c r="AU43" s="3">
        <f t="shared" si="35"/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 t="shared" si="22"/>
        <v>9</v>
      </c>
      <c r="N44" s="3">
        <v>21</v>
      </c>
      <c r="O44" s="3">
        <f t="shared" si="23"/>
        <v>29</v>
      </c>
      <c r="P44" s="3">
        <f t="shared" si="20"/>
        <v>5</v>
      </c>
      <c r="Q44" s="3">
        <f t="shared" si="24"/>
        <v>33</v>
      </c>
      <c r="R44" s="3">
        <f t="shared" si="4"/>
        <v>30</v>
      </c>
      <c r="S44" s="3">
        <v>7</v>
      </c>
      <c r="T44" s="3">
        <f t="shared" si="25"/>
        <v>36</v>
      </c>
      <c r="U44" s="3">
        <f t="shared" si="6"/>
        <v>37</v>
      </c>
      <c r="V44" s="3">
        <v>1</v>
      </c>
      <c r="W44" s="3">
        <f t="shared" si="26"/>
        <v>37</v>
      </c>
      <c r="X44" s="3">
        <v>2</v>
      </c>
      <c r="Y44" s="3">
        <f t="shared" si="18"/>
        <v>37</v>
      </c>
      <c r="Z44" s="6">
        <v>37</v>
      </c>
      <c r="AA44" s="6">
        <f t="shared" si="19"/>
        <v>39</v>
      </c>
      <c r="AB44" s="3">
        <v>3</v>
      </c>
      <c r="AC44" s="3">
        <v>5</v>
      </c>
      <c r="AD44" s="3">
        <v>5</v>
      </c>
      <c r="AE44" s="3">
        <v>46</v>
      </c>
      <c r="AF44" s="3">
        <f t="shared" si="27"/>
        <v>84</v>
      </c>
      <c r="AG44" s="6">
        <v>3</v>
      </c>
      <c r="AH44" s="6">
        <f t="shared" si="28"/>
        <v>87</v>
      </c>
      <c r="AI44" s="3">
        <v>7</v>
      </c>
      <c r="AJ44" s="3">
        <f t="shared" si="29"/>
        <v>94</v>
      </c>
      <c r="AK44" s="3" t="s">
        <v>56</v>
      </c>
      <c r="AL44" s="3">
        <v>4</v>
      </c>
      <c r="AM44" s="3">
        <f t="shared" si="30"/>
        <v>98</v>
      </c>
      <c r="AN44" s="3">
        <v>3</v>
      </c>
      <c r="AO44" s="3">
        <f t="shared" si="31"/>
        <v>101</v>
      </c>
      <c r="AP44" s="3">
        <v>4</v>
      </c>
      <c r="AQ44" s="3">
        <f t="shared" si="32"/>
        <v>105</v>
      </c>
      <c r="AR44" s="3">
        <f t="shared" si="33"/>
        <v>112</v>
      </c>
      <c r="AS44" s="3">
        <f t="shared" si="34"/>
        <v>119</v>
      </c>
      <c r="AT44" s="3">
        <v>0</v>
      </c>
      <c r="AU44" s="3">
        <f t="shared" si="35"/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 t="shared" si="22"/>
        <v>9</v>
      </c>
      <c r="N45" s="3">
        <v>14</v>
      </c>
      <c r="O45" s="3">
        <f t="shared" si="23"/>
        <v>22</v>
      </c>
      <c r="P45" s="3">
        <f t="shared" si="20"/>
        <v>5</v>
      </c>
      <c r="Q45" s="3">
        <f t="shared" si="24"/>
        <v>26</v>
      </c>
      <c r="R45" s="3">
        <f t="shared" si="4"/>
        <v>23</v>
      </c>
      <c r="S45" s="3">
        <v>7</v>
      </c>
      <c r="T45" s="3">
        <f t="shared" si="25"/>
        <v>29</v>
      </c>
      <c r="U45" s="3">
        <f t="shared" si="6"/>
        <v>30</v>
      </c>
      <c r="V45" s="3">
        <v>2</v>
      </c>
      <c r="W45" s="3">
        <f t="shared" si="26"/>
        <v>31</v>
      </c>
      <c r="X45" s="3">
        <v>8</v>
      </c>
      <c r="Y45" s="3">
        <f t="shared" si="18"/>
        <v>36</v>
      </c>
      <c r="Z45" s="6">
        <v>39</v>
      </c>
      <c r="AA45" s="6">
        <f t="shared" si="19"/>
        <v>41</v>
      </c>
      <c r="AB45" s="3">
        <v>3</v>
      </c>
      <c r="AC45" s="3">
        <v>5</v>
      </c>
      <c r="AD45" s="3">
        <v>5</v>
      </c>
      <c r="AE45" s="3">
        <v>35</v>
      </c>
      <c r="AF45" s="3">
        <f t="shared" si="27"/>
        <v>75</v>
      </c>
      <c r="AG45" s="6">
        <v>3</v>
      </c>
      <c r="AH45" s="6">
        <f t="shared" si="28"/>
        <v>78</v>
      </c>
      <c r="AI45" s="3">
        <v>0</v>
      </c>
      <c r="AJ45" s="3">
        <f t="shared" si="29"/>
        <v>78</v>
      </c>
      <c r="AK45" s="3" t="s">
        <v>66</v>
      </c>
      <c r="AL45" s="3">
        <v>2</v>
      </c>
      <c r="AM45" s="3">
        <f t="shared" si="30"/>
        <v>80</v>
      </c>
      <c r="AN45" s="3">
        <v>2</v>
      </c>
      <c r="AO45" s="3">
        <f t="shared" si="31"/>
        <v>82</v>
      </c>
      <c r="AP45" s="3">
        <v>2</v>
      </c>
      <c r="AQ45" s="3">
        <f t="shared" si="32"/>
        <v>84</v>
      </c>
      <c r="AR45" s="3">
        <f t="shared" si="33"/>
        <v>91</v>
      </c>
      <c r="AS45" s="3">
        <f t="shared" si="34"/>
        <v>98</v>
      </c>
      <c r="AT45" s="3">
        <v>0</v>
      </c>
      <c r="AU45" s="3">
        <f t="shared" si="35"/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v>8</v>
      </c>
      <c r="N46" s="23">
        <v>1</v>
      </c>
      <c r="O46" s="3">
        <f t="shared" si="23"/>
        <v>8</v>
      </c>
      <c r="P46" s="3">
        <v>6</v>
      </c>
      <c r="Q46" s="3">
        <f t="shared" si="24"/>
        <v>13</v>
      </c>
      <c r="R46" s="23">
        <v>9</v>
      </c>
      <c r="S46" s="23">
        <v>12</v>
      </c>
      <c r="T46" s="23">
        <f t="shared" si="25"/>
        <v>20</v>
      </c>
      <c r="U46" s="23">
        <f>+T46+2</f>
        <v>22</v>
      </c>
      <c r="V46" s="23">
        <v>5</v>
      </c>
      <c r="W46" s="23">
        <f t="shared" si="26"/>
        <v>26</v>
      </c>
      <c r="X46" s="23">
        <v>4</v>
      </c>
      <c r="Y46" s="3">
        <v>29</v>
      </c>
      <c r="Z46" s="6">
        <v>29</v>
      </c>
      <c r="AA46" s="6">
        <v>31</v>
      </c>
      <c r="AB46" s="23">
        <v>4</v>
      </c>
      <c r="AC46" s="23"/>
      <c r="AD46" s="23"/>
      <c r="AE46" s="33">
        <v>41</v>
      </c>
      <c r="AF46" s="23">
        <f t="shared" si="27"/>
        <v>71</v>
      </c>
      <c r="AG46" s="23">
        <v>3</v>
      </c>
      <c r="AH46" s="23">
        <f t="shared" si="28"/>
        <v>74</v>
      </c>
      <c r="AI46" s="23">
        <v>7</v>
      </c>
      <c r="AJ46" s="23">
        <f t="shared" si="29"/>
        <v>81</v>
      </c>
      <c r="AK46" s="23"/>
      <c r="AL46" s="23">
        <v>3</v>
      </c>
      <c r="AM46" s="23">
        <f t="shared" si="30"/>
        <v>84</v>
      </c>
      <c r="AN46" s="23">
        <v>5</v>
      </c>
      <c r="AO46" s="23">
        <f>+AM46+AN46</f>
        <v>89</v>
      </c>
      <c r="AP46" s="23">
        <v>6</v>
      </c>
      <c r="AQ46" s="23">
        <v>92</v>
      </c>
      <c r="AR46" s="23">
        <f>+AQ46+4</f>
        <v>96</v>
      </c>
      <c r="AS46" s="23">
        <f t="shared" si="34"/>
        <v>117</v>
      </c>
      <c r="AT46" s="23">
        <v>14</v>
      </c>
      <c r="AU46" s="3">
        <f t="shared" si="35"/>
        <v>22</v>
      </c>
      <c r="AV46" s="23" t="s">
        <v>134</v>
      </c>
      <c r="AW46" s="23" t="s">
        <v>132</v>
      </c>
      <c r="AX46" s="20" t="s">
        <v>57</v>
      </c>
      <c r="AY46" s="37">
        <v>46508</v>
      </c>
    </row>
    <row r="47" spans="1:51" hidden="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 t="shared" si="22"/>
        <v>9</v>
      </c>
      <c r="N47" s="23">
        <v>2</v>
      </c>
      <c r="O47" s="3">
        <f t="shared" si="23"/>
        <v>10</v>
      </c>
      <c r="P47" s="3">
        <v>5</v>
      </c>
      <c r="Q47" s="3">
        <f t="shared" si="24"/>
        <v>14</v>
      </c>
      <c r="R47" s="23">
        <v>9</v>
      </c>
      <c r="S47" s="23">
        <v>13</v>
      </c>
      <c r="T47" s="25">
        <f t="shared" si="25"/>
        <v>21</v>
      </c>
      <c r="U47" s="23">
        <v>16</v>
      </c>
      <c r="V47" s="23">
        <v>7</v>
      </c>
      <c r="W47" s="23">
        <f t="shared" si="26"/>
        <v>22</v>
      </c>
      <c r="X47" s="23">
        <v>1</v>
      </c>
      <c r="Y47" s="3">
        <f t="shared" si="18"/>
        <v>22</v>
      </c>
      <c r="Z47" s="6">
        <f t="shared" ref="Z46:Z53" si="36">+Y47+X47-1</f>
        <v>22</v>
      </c>
      <c r="AA47" s="6">
        <f t="shared" si="19"/>
        <v>25</v>
      </c>
      <c r="AB47" s="23">
        <v>4</v>
      </c>
      <c r="AC47" s="23"/>
      <c r="AD47" s="23"/>
      <c r="AE47" s="23">
        <v>39</v>
      </c>
      <c r="AF47" s="23">
        <f t="shared" si="27"/>
        <v>63</v>
      </c>
      <c r="AG47" s="23">
        <v>3</v>
      </c>
      <c r="AH47" s="23">
        <f t="shared" si="28"/>
        <v>66</v>
      </c>
      <c r="AI47" s="23">
        <v>7</v>
      </c>
      <c r="AJ47" s="23">
        <f t="shared" si="29"/>
        <v>73</v>
      </c>
      <c r="AK47" s="23"/>
      <c r="AL47" s="23">
        <v>3</v>
      </c>
      <c r="AM47" s="23">
        <f t="shared" si="30"/>
        <v>76</v>
      </c>
      <c r="AN47" s="23">
        <v>2</v>
      </c>
      <c r="AO47" s="23">
        <f t="shared" si="31"/>
        <v>78</v>
      </c>
      <c r="AP47" s="23">
        <v>2</v>
      </c>
      <c r="AQ47" s="23">
        <f t="shared" si="32"/>
        <v>80</v>
      </c>
      <c r="AR47" s="23">
        <f t="shared" si="33"/>
        <v>87</v>
      </c>
      <c r="AS47" s="23">
        <f t="shared" si="34"/>
        <v>108</v>
      </c>
      <c r="AT47" s="23">
        <v>14</v>
      </c>
      <c r="AU47" s="3">
        <f t="shared" si="35"/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hidden="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 t="shared" si="22"/>
        <v>9</v>
      </c>
      <c r="N48" s="3">
        <v>14</v>
      </c>
      <c r="O48" s="3">
        <f t="shared" si="23"/>
        <v>22</v>
      </c>
      <c r="P48" s="3">
        <f t="shared" ref="P48:P53" si="37">+IF(I48="SFK Freight Forwarder",0,5)</f>
        <v>5</v>
      </c>
      <c r="Q48" s="3">
        <f t="shared" si="24"/>
        <v>26</v>
      </c>
      <c r="R48" s="3">
        <f t="shared" ref="R48:R53" si="38">9+N48</f>
        <v>23</v>
      </c>
      <c r="S48" s="3">
        <v>7</v>
      </c>
      <c r="T48" s="3">
        <f t="shared" si="25"/>
        <v>29</v>
      </c>
      <c r="U48" s="3">
        <f t="shared" ref="U48:U53" si="39">+T48+1</f>
        <v>30</v>
      </c>
      <c r="V48" s="3">
        <v>2</v>
      </c>
      <c r="W48" s="3">
        <f t="shared" si="26"/>
        <v>31</v>
      </c>
      <c r="X48" s="3">
        <v>3</v>
      </c>
      <c r="Y48" s="3">
        <f t="shared" si="18"/>
        <v>31</v>
      </c>
      <c r="Z48" s="6">
        <f t="shared" si="36"/>
        <v>33</v>
      </c>
      <c r="AA48" s="6">
        <f t="shared" si="19"/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 t="shared" si="27"/>
        <v>73</v>
      </c>
      <c r="AG48" s="6">
        <v>3</v>
      </c>
      <c r="AH48" s="6">
        <f t="shared" si="28"/>
        <v>76</v>
      </c>
      <c r="AI48" s="3">
        <v>0</v>
      </c>
      <c r="AJ48" s="3">
        <f t="shared" si="29"/>
        <v>76</v>
      </c>
      <c r="AK48" s="3" t="s">
        <v>61</v>
      </c>
      <c r="AL48" s="3">
        <v>2</v>
      </c>
      <c r="AM48" s="3">
        <f t="shared" si="30"/>
        <v>78</v>
      </c>
      <c r="AN48" s="3">
        <v>2</v>
      </c>
      <c r="AO48" s="3">
        <f t="shared" si="31"/>
        <v>80</v>
      </c>
      <c r="AP48" s="3">
        <v>6</v>
      </c>
      <c r="AQ48" s="3">
        <f t="shared" si="32"/>
        <v>86</v>
      </c>
      <c r="AR48" s="3">
        <f t="shared" si="33"/>
        <v>93</v>
      </c>
      <c r="AS48" s="3">
        <f t="shared" si="34"/>
        <v>100</v>
      </c>
      <c r="AT48" s="3">
        <v>0</v>
      </c>
      <c r="AU48" s="3">
        <f t="shared" si="35"/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hidden="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 t="shared" si="22"/>
        <v>9</v>
      </c>
      <c r="N49" s="3">
        <v>14</v>
      </c>
      <c r="O49" s="3">
        <f t="shared" si="23"/>
        <v>22</v>
      </c>
      <c r="P49" s="3">
        <f t="shared" si="37"/>
        <v>5</v>
      </c>
      <c r="Q49" s="3">
        <f t="shared" si="24"/>
        <v>26</v>
      </c>
      <c r="R49" s="3">
        <f t="shared" si="38"/>
        <v>23</v>
      </c>
      <c r="S49" s="3">
        <v>7</v>
      </c>
      <c r="T49" s="3">
        <f t="shared" si="25"/>
        <v>29</v>
      </c>
      <c r="U49" s="3">
        <f t="shared" si="39"/>
        <v>30</v>
      </c>
      <c r="V49" s="3">
        <v>2</v>
      </c>
      <c r="W49" s="3">
        <f t="shared" si="26"/>
        <v>31</v>
      </c>
      <c r="X49" s="3">
        <v>2</v>
      </c>
      <c r="Y49" s="3">
        <f t="shared" si="18"/>
        <v>30</v>
      </c>
      <c r="Z49" s="6">
        <f t="shared" si="36"/>
        <v>31</v>
      </c>
      <c r="AA49" s="6">
        <f t="shared" si="19"/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 t="shared" si="27"/>
        <v>88</v>
      </c>
      <c r="AG49" s="6">
        <v>3</v>
      </c>
      <c r="AH49" s="6">
        <f t="shared" si="28"/>
        <v>91</v>
      </c>
      <c r="AI49" s="3">
        <v>0</v>
      </c>
      <c r="AJ49" s="3">
        <f t="shared" si="29"/>
        <v>91</v>
      </c>
      <c r="AK49" s="3" t="s">
        <v>61</v>
      </c>
      <c r="AL49" s="3">
        <v>2</v>
      </c>
      <c r="AM49" s="3">
        <f t="shared" si="30"/>
        <v>93</v>
      </c>
      <c r="AN49" s="3">
        <v>7</v>
      </c>
      <c r="AO49" s="3">
        <f t="shared" si="31"/>
        <v>100</v>
      </c>
      <c r="AP49" s="3">
        <v>5</v>
      </c>
      <c r="AQ49" s="3">
        <f t="shared" si="32"/>
        <v>105</v>
      </c>
      <c r="AR49" s="3">
        <f t="shared" si="33"/>
        <v>112</v>
      </c>
      <c r="AS49" s="3">
        <f t="shared" si="34"/>
        <v>119</v>
      </c>
      <c r="AT49" s="3">
        <v>0</v>
      </c>
      <c r="AU49" s="3">
        <f t="shared" si="35"/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hidden="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 t="shared" si="22"/>
        <v>9</v>
      </c>
      <c r="N50" s="3">
        <v>14</v>
      </c>
      <c r="O50" s="3">
        <f t="shared" si="23"/>
        <v>22</v>
      </c>
      <c r="P50" s="3">
        <f t="shared" si="37"/>
        <v>5</v>
      </c>
      <c r="Q50" s="3">
        <f t="shared" si="24"/>
        <v>26</v>
      </c>
      <c r="R50" s="3">
        <f t="shared" si="38"/>
        <v>23</v>
      </c>
      <c r="S50" s="3">
        <v>7</v>
      </c>
      <c r="T50" s="3">
        <f t="shared" si="25"/>
        <v>29</v>
      </c>
      <c r="U50" s="3">
        <f t="shared" si="39"/>
        <v>30</v>
      </c>
      <c r="V50" s="3">
        <v>2</v>
      </c>
      <c r="W50" s="3">
        <f t="shared" si="26"/>
        <v>31</v>
      </c>
      <c r="X50" s="3">
        <v>2</v>
      </c>
      <c r="Y50" s="3">
        <f t="shared" si="18"/>
        <v>30</v>
      </c>
      <c r="Z50" s="6">
        <f t="shared" si="36"/>
        <v>31</v>
      </c>
      <c r="AA50" s="6">
        <f t="shared" si="19"/>
        <v>36</v>
      </c>
      <c r="AB50" s="3">
        <v>6</v>
      </c>
      <c r="AC50" s="3">
        <v>7</v>
      </c>
      <c r="AD50" s="3">
        <v>7</v>
      </c>
      <c r="AE50" s="3">
        <v>42</v>
      </c>
      <c r="AF50" s="3">
        <f t="shared" si="27"/>
        <v>77</v>
      </c>
      <c r="AG50" s="6">
        <v>3</v>
      </c>
      <c r="AH50" s="6">
        <f t="shared" si="28"/>
        <v>80</v>
      </c>
      <c r="AI50" s="3">
        <v>0</v>
      </c>
      <c r="AJ50" s="3">
        <f t="shared" si="29"/>
        <v>80</v>
      </c>
      <c r="AK50" s="3" t="s">
        <v>61</v>
      </c>
      <c r="AL50" s="3">
        <v>1</v>
      </c>
      <c r="AM50" s="3">
        <f t="shared" si="30"/>
        <v>81</v>
      </c>
      <c r="AN50" s="3">
        <v>1</v>
      </c>
      <c r="AO50" s="3">
        <f t="shared" si="31"/>
        <v>82</v>
      </c>
      <c r="AP50" s="3">
        <v>3</v>
      </c>
      <c r="AQ50" s="3">
        <f t="shared" si="32"/>
        <v>85</v>
      </c>
      <c r="AR50" s="3">
        <f t="shared" si="33"/>
        <v>92</v>
      </c>
      <c r="AS50" s="3">
        <f t="shared" si="34"/>
        <v>99</v>
      </c>
      <c r="AT50" s="3">
        <v>0</v>
      </c>
      <c r="AU50" s="3">
        <f t="shared" si="35"/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hidden="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 t="shared" si="22"/>
        <v>9</v>
      </c>
      <c r="N51" s="3">
        <v>14</v>
      </c>
      <c r="O51" s="3">
        <f t="shared" si="23"/>
        <v>22</v>
      </c>
      <c r="P51" s="3">
        <f t="shared" si="37"/>
        <v>5</v>
      </c>
      <c r="Q51" s="3">
        <f t="shared" si="24"/>
        <v>26</v>
      </c>
      <c r="R51" s="3">
        <f t="shared" si="38"/>
        <v>23</v>
      </c>
      <c r="S51" s="3">
        <v>7</v>
      </c>
      <c r="T51" s="3">
        <f t="shared" si="25"/>
        <v>29</v>
      </c>
      <c r="U51" s="3">
        <f t="shared" si="39"/>
        <v>30</v>
      </c>
      <c r="V51" s="3">
        <v>2</v>
      </c>
      <c r="W51" s="3">
        <f t="shared" si="26"/>
        <v>31</v>
      </c>
      <c r="X51" s="3">
        <v>2</v>
      </c>
      <c r="Y51" s="3">
        <f t="shared" si="18"/>
        <v>30</v>
      </c>
      <c r="Z51" s="6">
        <f t="shared" si="36"/>
        <v>31</v>
      </c>
      <c r="AA51" s="6">
        <f t="shared" si="19"/>
        <v>34</v>
      </c>
      <c r="AB51" s="3">
        <v>4</v>
      </c>
      <c r="AC51" s="3">
        <v>5</v>
      </c>
      <c r="AD51" s="3">
        <v>5</v>
      </c>
      <c r="AE51" s="3">
        <v>48</v>
      </c>
      <c r="AF51" s="3">
        <f t="shared" si="27"/>
        <v>81</v>
      </c>
      <c r="AG51" s="6">
        <v>0</v>
      </c>
      <c r="AH51" s="6">
        <f t="shared" si="28"/>
        <v>81</v>
      </c>
      <c r="AI51" s="3">
        <v>0</v>
      </c>
      <c r="AJ51" s="3">
        <f t="shared" si="29"/>
        <v>81</v>
      </c>
      <c r="AK51" s="3" t="s">
        <v>61</v>
      </c>
      <c r="AL51" s="3">
        <v>3</v>
      </c>
      <c r="AM51" s="3">
        <f t="shared" si="30"/>
        <v>84</v>
      </c>
      <c r="AN51" s="3">
        <v>8</v>
      </c>
      <c r="AO51" s="3">
        <f t="shared" si="31"/>
        <v>92</v>
      </c>
      <c r="AP51" s="3">
        <v>0</v>
      </c>
      <c r="AQ51" s="3">
        <f t="shared" si="32"/>
        <v>92</v>
      </c>
      <c r="AR51" s="3">
        <f t="shared" si="33"/>
        <v>99</v>
      </c>
      <c r="AS51" s="3">
        <f t="shared" si="34"/>
        <v>106</v>
      </c>
      <c r="AT51" s="3">
        <v>0</v>
      </c>
      <c r="AU51" s="3">
        <f t="shared" si="35"/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hidden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 t="shared" si="22"/>
        <v>9</v>
      </c>
      <c r="N52" s="3">
        <v>14</v>
      </c>
      <c r="O52" s="3">
        <f t="shared" si="23"/>
        <v>22</v>
      </c>
      <c r="P52" s="3">
        <f t="shared" si="37"/>
        <v>5</v>
      </c>
      <c r="Q52" s="3">
        <f t="shared" si="24"/>
        <v>26</v>
      </c>
      <c r="R52" s="3">
        <f t="shared" si="38"/>
        <v>23</v>
      </c>
      <c r="S52" s="3">
        <v>7</v>
      </c>
      <c r="T52" s="3">
        <f t="shared" si="25"/>
        <v>29</v>
      </c>
      <c r="U52" s="3">
        <f t="shared" si="39"/>
        <v>30</v>
      </c>
      <c r="V52" s="3">
        <v>2</v>
      </c>
      <c r="W52" s="3">
        <f t="shared" si="26"/>
        <v>31</v>
      </c>
      <c r="X52" s="3">
        <v>3</v>
      </c>
      <c r="Y52" s="3">
        <f t="shared" si="18"/>
        <v>31</v>
      </c>
      <c r="Z52" s="6">
        <f t="shared" si="36"/>
        <v>33</v>
      </c>
      <c r="AA52" s="6">
        <f t="shared" si="19"/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 t="shared" si="27"/>
        <v>83</v>
      </c>
      <c r="AG52" s="6">
        <v>3</v>
      </c>
      <c r="AH52" s="6">
        <f t="shared" si="28"/>
        <v>86</v>
      </c>
      <c r="AI52" s="3">
        <v>0</v>
      </c>
      <c r="AJ52" s="3">
        <f t="shared" si="29"/>
        <v>86</v>
      </c>
      <c r="AK52" s="3" t="s">
        <v>61</v>
      </c>
      <c r="AL52" s="3">
        <v>4</v>
      </c>
      <c r="AM52" s="3">
        <f t="shared" si="30"/>
        <v>90</v>
      </c>
      <c r="AN52" s="3">
        <v>2</v>
      </c>
      <c r="AO52" s="3">
        <f t="shared" si="31"/>
        <v>92</v>
      </c>
      <c r="AP52" s="3">
        <v>1</v>
      </c>
      <c r="AQ52" s="3">
        <f t="shared" si="32"/>
        <v>93</v>
      </c>
      <c r="AR52" s="3">
        <f t="shared" si="33"/>
        <v>100</v>
      </c>
      <c r="AS52" s="3">
        <f t="shared" si="34"/>
        <v>107</v>
      </c>
      <c r="AT52" s="3">
        <v>0</v>
      </c>
      <c r="AU52" s="3">
        <f t="shared" si="35"/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hidden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 t="shared" si="22"/>
        <v>9</v>
      </c>
      <c r="N53" s="3">
        <v>7</v>
      </c>
      <c r="O53" s="3">
        <f t="shared" si="23"/>
        <v>15</v>
      </c>
      <c r="P53" s="3">
        <f t="shared" si="37"/>
        <v>5</v>
      </c>
      <c r="Q53" s="3">
        <f t="shared" si="24"/>
        <v>19</v>
      </c>
      <c r="R53" s="3">
        <f t="shared" si="38"/>
        <v>16</v>
      </c>
      <c r="S53" s="3">
        <v>3</v>
      </c>
      <c r="T53" s="3">
        <f t="shared" si="25"/>
        <v>18</v>
      </c>
      <c r="U53" s="3">
        <f t="shared" si="39"/>
        <v>19</v>
      </c>
      <c r="V53" s="3">
        <v>5</v>
      </c>
      <c r="W53" s="3">
        <f t="shared" si="26"/>
        <v>23</v>
      </c>
      <c r="X53" s="3">
        <v>2</v>
      </c>
      <c r="Y53" s="3">
        <f t="shared" si="18"/>
        <v>23</v>
      </c>
      <c r="Z53" s="6">
        <f t="shared" si="36"/>
        <v>24</v>
      </c>
      <c r="AA53" s="6">
        <f t="shared" si="19"/>
        <v>26</v>
      </c>
      <c r="AB53" s="3">
        <v>3</v>
      </c>
      <c r="AC53" s="3">
        <v>5</v>
      </c>
      <c r="AD53" s="3">
        <v>5</v>
      </c>
      <c r="AE53" s="3">
        <v>34</v>
      </c>
      <c r="AF53" s="3">
        <f t="shared" si="27"/>
        <v>59</v>
      </c>
      <c r="AG53" s="6">
        <v>3</v>
      </c>
      <c r="AH53" s="6">
        <f t="shared" si="28"/>
        <v>62</v>
      </c>
      <c r="AI53" s="3">
        <v>7</v>
      </c>
      <c r="AJ53" s="3">
        <f t="shared" si="29"/>
        <v>69</v>
      </c>
      <c r="AK53" s="3">
        <v>0</v>
      </c>
      <c r="AL53" s="3">
        <v>6</v>
      </c>
      <c r="AM53" s="3">
        <f t="shared" si="30"/>
        <v>75</v>
      </c>
      <c r="AN53" s="3">
        <v>2</v>
      </c>
      <c r="AO53" s="3">
        <f t="shared" si="31"/>
        <v>77</v>
      </c>
      <c r="AP53" s="3">
        <v>0</v>
      </c>
      <c r="AQ53" s="3">
        <f t="shared" si="32"/>
        <v>77</v>
      </c>
      <c r="AR53" s="3">
        <f t="shared" si="33"/>
        <v>84</v>
      </c>
      <c r="AS53" s="3">
        <f t="shared" si="34"/>
        <v>91</v>
      </c>
      <c r="AT53" s="3">
        <v>0</v>
      </c>
      <c r="AU53" s="3">
        <f t="shared" si="35"/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</sheetData>
  <sheetProtection formatCells="0" formatColumns="0" formatRows="0" sort="0" autoFilter="0"/>
  <autoFilter ref="A1:AY53" xr:uid="{869D9611-F0E3-4A7A-9239-9C1FA0F0C8DA}">
    <filterColumn colId="0">
      <filters>
        <filter val="O001"/>
      </filters>
    </filterColumn>
  </autoFilter>
  <phoneticPr fontId="8" type="noConversion"/>
  <dataValidations count="3">
    <dataValidation type="list" allowBlank="1" showInputMessage="1" showErrorMessage="1" sqref="K16:K1048196 C16:E1048196 K2:K12 C2:E12" xr:uid="{833F6030-824F-4AAE-BA3C-131D886541AF}">
      <formula1>shippername</formula1>
    </dataValidation>
    <dataValidation type="list" allowBlank="1" showInputMessage="1" showErrorMessage="1" sqref="H54:K1048196 C2:E1048196 K2:K53 J12:J53 I2:I53 J3:J1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B6" sqref="B6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2026-05-05T11:19:20Z</dcterms:modified>
</cp:coreProperties>
</file>