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BA28F970-B2FB-461C-8EB5-EB6F689ED244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3" i="1" l="1"/>
  <c r="AU53" i="1" s="1"/>
  <c r="R53" i="1"/>
  <c r="T53" i="1" s="1"/>
  <c r="U53" i="1" s="1"/>
  <c r="W53" i="1" s="1"/>
  <c r="P53" i="1"/>
  <c r="M53" i="1"/>
  <c r="O53" i="1" s="1"/>
  <c r="Q53" i="1" s="1"/>
  <c r="AF53" i="1" l="1"/>
  <c r="AH53" i="1" s="1"/>
  <c r="AJ53" i="1" s="1"/>
  <c r="AM53" i="1" s="1"/>
  <c r="AO53" i="1" s="1"/>
  <c r="AQ53" i="1" s="1"/>
  <c r="AR53" i="1" s="1"/>
  <c r="AS53" i="1" s="1"/>
  <c r="AU45" i="1" l="1"/>
  <c r="AS45" i="1"/>
  <c r="AF45" i="1"/>
  <c r="AH45" i="1" s="1"/>
  <c r="AJ45" i="1" s="1"/>
  <c r="AM45" i="1" s="1"/>
  <c r="AO45" i="1" s="1"/>
  <c r="AQ45" i="1" s="1"/>
  <c r="AR45" i="1" s="1"/>
  <c r="T45" i="1"/>
  <c r="U45" i="1" s="1"/>
  <c r="W45" i="1" s="1"/>
  <c r="O45" i="1"/>
  <c r="Q45" i="1" s="1"/>
  <c r="W52" i="1"/>
  <c r="AA52" i="1" s="1"/>
  <c r="M52" i="1"/>
  <c r="O52" i="1" s="1"/>
  <c r="Q52" i="1" s="1"/>
  <c r="AR44" i="1"/>
  <c r="O44" i="1"/>
  <c r="Q44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2" i="1"/>
  <c r="O42" i="1" s="1"/>
  <c r="M5" i="1"/>
  <c r="O5" i="1" s="1"/>
  <c r="M26" i="1"/>
  <c r="O26" i="1" s="1"/>
  <c r="M51" i="1"/>
  <c r="O51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6" i="1"/>
  <c r="O46" i="1" s="1"/>
  <c r="M50" i="1"/>
  <c r="O50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1" i="1"/>
  <c r="Q41" i="1" s="1"/>
  <c r="M47" i="1"/>
  <c r="O47" i="1" s="1"/>
  <c r="M48" i="1"/>
  <c r="O48" i="1" s="1"/>
  <c r="M49" i="1"/>
  <c r="O49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3" i="1"/>
  <c r="O43" i="1" s="1"/>
  <c r="M14" i="1"/>
  <c r="O14" i="1" s="1"/>
  <c r="M13" i="1"/>
  <c r="O13" i="1" s="1"/>
  <c r="M6" i="1"/>
  <c r="O6" i="1" s="1"/>
  <c r="AU52" i="1" l="1"/>
  <c r="AF52" i="1"/>
  <c r="AH52" i="1" s="1"/>
  <c r="AJ52" i="1" s="1"/>
  <c r="AM52" i="1" s="1"/>
  <c r="AO52" i="1" s="1"/>
  <c r="AQ52" i="1" s="1"/>
  <c r="AR52" i="1" s="1"/>
  <c r="AS52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4" i="1"/>
  <c r="U44" i="1" l="1"/>
  <c r="W44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1" i="1"/>
  <c r="T51" i="1" s="1"/>
  <c r="U51" i="1" s="1"/>
  <c r="W51" i="1" s="1"/>
  <c r="Y51" i="1" s="1"/>
  <c r="R46" i="1"/>
  <c r="T46" i="1" s="1"/>
  <c r="U46" i="1" s="1"/>
  <c r="W46" i="1" s="1"/>
  <c r="Y46" i="1" s="1"/>
  <c r="Z46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7" i="1"/>
  <c r="T47" i="1" s="1"/>
  <c r="U47" i="1" s="1"/>
  <c r="W47" i="1" s="1"/>
  <c r="R48" i="1"/>
  <c r="T48" i="1" s="1"/>
  <c r="U48" i="1" s="1"/>
  <c r="W48" i="1" s="1"/>
  <c r="R49" i="1"/>
  <c r="T49" i="1" s="1"/>
  <c r="U49" i="1" s="1"/>
  <c r="W49" i="1" s="1"/>
  <c r="Y49" i="1" s="1"/>
  <c r="Z49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1" i="1"/>
  <c r="T41" i="1" s="1"/>
  <c r="U41" i="1" s="1"/>
  <c r="W41" i="1" s="1"/>
  <c r="R42" i="1"/>
  <c r="T42" i="1" s="1"/>
  <c r="U42" i="1" s="1"/>
  <c r="W42" i="1" s="1"/>
  <c r="R9" i="1"/>
  <c r="T9" i="1" s="1"/>
  <c r="U9" i="1" s="1"/>
  <c r="W9" i="1" s="1"/>
  <c r="R50" i="1"/>
  <c r="T50" i="1" s="1"/>
  <c r="U50" i="1" s="1"/>
  <c r="W50" i="1" s="1"/>
  <c r="Y50" i="1" s="1"/>
  <c r="Z50" i="1" s="1"/>
  <c r="R43" i="1"/>
  <c r="T43" i="1" s="1"/>
  <c r="U43" i="1" s="1"/>
  <c r="W43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1" i="1"/>
  <c r="Q51" i="1" s="1"/>
  <c r="P46" i="1"/>
  <c r="Q46" i="1" s="1"/>
  <c r="P30" i="1"/>
  <c r="P31" i="1"/>
  <c r="P32" i="1"/>
  <c r="P33" i="1"/>
  <c r="P34" i="1"/>
  <c r="P35" i="1"/>
  <c r="P36" i="1"/>
  <c r="P37" i="1"/>
  <c r="P47" i="1"/>
  <c r="Q47" i="1" s="1"/>
  <c r="P48" i="1"/>
  <c r="Q48" i="1" s="1"/>
  <c r="P49" i="1"/>
  <c r="Q49" i="1" s="1"/>
  <c r="P38" i="1"/>
  <c r="P39" i="1"/>
  <c r="P40" i="1"/>
  <c r="P41" i="1"/>
  <c r="P42" i="1"/>
  <c r="Q42" i="1" s="1"/>
  <c r="P9" i="1"/>
  <c r="Q9" i="1" s="1"/>
  <c r="P50" i="1"/>
  <c r="Q50" i="1" s="1"/>
  <c r="P43" i="1"/>
  <c r="Q43" i="1" s="1"/>
  <c r="P3" i="1"/>
  <c r="Q3" i="1" s="1"/>
  <c r="AU44" i="1" l="1"/>
  <c r="AF44" i="1"/>
  <c r="AH44" i="1" s="1"/>
  <c r="AJ44" i="1" s="1"/>
  <c r="AM44" i="1" s="1"/>
  <c r="AO44" i="1" s="1"/>
  <c r="AA24" i="1"/>
  <c r="AA5" i="1"/>
  <c r="AA4" i="1"/>
  <c r="AA43" i="1"/>
  <c r="AA49" i="1"/>
  <c r="AA33" i="1"/>
  <c r="AA28" i="1"/>
  <c r="AA21" i="1"/>
  <c r="AA46" i="1"/>
  <c r="AA23" i="1"/>
  <c r="AA3" i="1"/>
  <c r="AF3" i="1" s="1"/>
  <c r="AH3" i="1" s="1"/>
  <c r="AA22" i="1"/>
  <c r="AA50" i="1"/>
  <c r="AA48" i="1"/>
  <c r="AA27" i="1"/>
  <c r="AA20" i="1"/>
  <c r="AA11" i="1"/>
  <c r="AA40" i="1"/>
  <c r="AA6" i="1"/>
  <c r="AA39" i="1"/>
  <c r="AA51" i="1"/>
  <c r="AA38" i="1"/>
  <c r="AA13" i="1"/>
  <c r="AU13" i="1" s="1"/>
  <c r="AA9" i="1"/>
  <c r="AA32" i="1"/>
  <c r="AA26" i="1"/>
  <c r="AA19" i="1"/>
  <c r="AA10" i="1"/>
  <c r="AA36" i="1"/>
  <c r="AA35" i="1"/>
  <c r="AA34" i="1"/>
  <c r="AA42" i="1"/>
  <c r="AA31" i="1"/>
  <c r="AA25" i="1"/>
  <c r="AA18" i="1"/>
  <c r="AA16" i="1"/>
  <c r="AA14" i="1"/>
  <c r="AA29" i="1"/>
  <c r="AA41" i="1"/>
  <c r="AA37" i="1"/>
  <c r="AA30" i="1"/>
  <c r="AA7" i="1"/>
  <c r="AS44" i="1" l="1"/>
  <c r="AU43" i="1"/>
  <c r="AF43" i="1"/>
  <c r="AH43" i="1" s="1"/>
  <c r="AJ43" i="1" s="1"/>
  <c r="AM43" i="1" s="1"/>
  <c r="AO43" i="1" s="1"/>
  <c r="AQ43" i="1" s="1"/>
  <c r="AR43" i="1" s="1"/>
  <c r="AS43" i="1" s="1"/>
  <c r="AF40" i="1"/>
  <c r="AH40" i="1" s="1"/>
  <c r="AJ40" i="1" s="1"/>
  <c r="AM40" i="1" s="1"/>
  <c r="AO40" i="1" s="1"/>
  <c r="AQ40" i="1" s="1"/>
  <c r="AR40" i="1" s="1"/>
  <c r="AS40" i="1" s="1"/>
  <c r="AU40" i="1"/>
  <c r="AF41" i="1"/>
  <c r="AH41" i="1" s="1"/>
  <c r="AJ41" i="1" s="1"/>
  <c r="AM41" i="1" s="1"/>
  <c r="AO41" i="1" s="1"/>
  <c r="AQ41" i="1" s="1"/>
  <c r="AR41" i="1" s="1"/>
  <c r="AS41" i="1" s="1"/>
  <c r="AU41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1" i="1"/>
  <c r="AH51" i="1" s="1"/>
  <c r="AJ51" i="1" s="1"/>
  <c r="AM51" i="1" s="1"/>
  <c r="AO51" i="1" s="1"/>
  <c r="AQ51" i="1" s="1"/>
  <c r="AR51" i="1" s="1"/>
  <c r="AS51" i="1" s="1"/>
  <c r="AU51" i="1"/>
  <c r="AF42" i="1"/>
  <c r="AH42" i="1" s="1"/>
  <c r="AJ42" i="1" s="1"/>
  <c r="AM42" i="1" s="1"/>
  <c r="AO42" i="1" s="1"/>
  <c r="AQ42" i="1" s="1"/>
  <c r="AR42" i="1" s="1"/>
  <c r="AS42" i="1" s="1"/>
  <c r="AU42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8" i="1"/>
  <c r="AH48" i="1" s="1"/>
  <c r="AJ48" i="1" s="1"/>
  <c r="AM48" i="1" s="1"/>
  <c r="AO48" i="1" s="1"/>
  <c r="AQ48" i="1" s="1"/>
  <c r="AR48" i="1" s="1"/>
  <c r="AS48" i="1" s="1"/>
  <c r="AU48" i="1"/>
  <c r="AF35" i="1"/>
  <c r="AH35" i="1" s="1"/>
  <c r="AJ35" i="1" s="1"/>
  <c r="AM35" i="1" s="1"/>
  <c r="AO35" i="1" s="1"/>
  <c r="AQ35" i="1" s="1"/>
  <c r="AR35" i="1" s="1"/>
  <c r="AS35" i="1" s="1"/>
  <c r="AU35" i="1"/>
  <c r="AF50" i="1"/>
  <c r="AH50" i="1" s="1"/>
  <c r="AJ50" i="1" s="1"/>
  <c r="AM50" i="1" s="1"/>
  <c r="AO50" i="1" s="1"/>
  <c r="AQ50" i="1" s="1"/>
  <c r="AR50" i="1" s="1"/>
  <c r="AS50" i="1" s="1"/>
  <c r="AU50" i="1"/>
  <c r="AU24" i="1"/>
  <c r="AF24" i="1"/>
  <c r="AH24" i="1" s="1"/>
  <c r="AJ24" i="1" s="1"/>
  <c r="AM24" i="1" s="1"/>
  <c r="AO24" i="1" s="1"/>
  <c r="AQ24" i="1" s="1"/>
  <c r="AR24" i="1" s="1"/>
  <c r="AS24" i="1" s="1"/>
  <c r="AF49" i="1"/>
  <c r="AH49" i="1" s="1"/>
  <c r="AJ49" i="1" s="1"/>
  <c r="AM49" i="1" s="1"/>
  <c r="AO49" i="1" s="1"/>
  <c r="AQ49" i="1" s="1"/>
  <c r="AR49" i="1" s="1"/>
  <c r="AS49" i="1" s="1"/>
  <c r="AU49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6" i="1"/>
  <c r="AH46" i="1" s="1"/>
  <c r="AJ46" i="1" s="1"/>
  <c r="AM46" i="1" s="1"/>
  <c r="AO46" i="1" s="1"/>
  <c r="AQ46" i="1" s="1"/>
  <c r="AR46" i="1" s="1"/>
  <c r="AS46" i="1" s="1"/>
  <c r="AU46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7" i="1"/>
  <c r="AH47" i="1" s="1"/>
  <c r="AJ47" i="1" s="1"/>
  <c r="AM47" i="1" s="1"/>
  <c r="AO47" i="1" s="1"/>
  <c r="AQ47" i="1" s="1"/>
  <c r="AR47" i="1" s="1"/>
  <c r="AS47" i="1" s="1"/>
  <c r="AU47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<sst xmlns="http://schemas.openxmlformats.org/spreadsheetml/2006/main" count="638" uniqueCount="173">
  <si>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</si>
  <si>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</si>
  <si>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</si>
  <si>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</si>
  <si>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</si>
  <si>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</si>
  <si>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</si>
  <si>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</si>
  <si>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</si>
  <si>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</si>
  <si>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</si>
  <si>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</si>
  <si>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</si>
  <si>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</si>
  <si>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</si>
  <si>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</si>
  <si>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</si>
  <si>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</si>
  <si>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</si>
  <si>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</si>
  <si>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</si>
  <si>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</si>
  <si>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</si>
  <si>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</si>
  <si>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</si>
  <si>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</si>
  <si>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</si>
  <si>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</si>
  <si>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</si>
  <si>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</si>
  <si>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</si>
  <si>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</si>
  <si>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</si>
  <si>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</si>
  <si>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</si>
  <si>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</si>
  <si>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</si>
  <si>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</si>
  <si>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</si>
  <si>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</si>
  <si>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</si>
  <si>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</si>
  <si>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</si>
  <si>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</si>
  <si>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</si>
  <si>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</si>
  <si>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</si>
  <si>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</si>
  <si>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</si>
  <si>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</si>
  <si>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</si>
  <si>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</si>
  <si>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</si>
  <si>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</si>
  <si>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</si>
  <si>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</si>
  <si>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</si>
  <si>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</si>
  <si>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</si>
  <si>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</si>
  <si>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</si>
  <si>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</si>
  <si>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</si>
  <si>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</si>
  <si>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</si>
  <si>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</si>
  <si>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</si>
  <si>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</si>
  <si>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</si>
  <si>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</si>
  <si>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</si>
  <si>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</si>
  <si>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</si>
  <si>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</si>
  <si>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</si>
  <si>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</si>
  <si>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</si>
  <si>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</si>
  <si>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</si>
  <si>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</si>
  <si>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</si>
  <si>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</si>
  <si>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</si>
  <si>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</si>
  <si>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</si>
  <si>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</si>
  <si>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</si>
  <si>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</si>
  <si>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</si>
  <si>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</si>
  <si>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</si>
  <si>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</si>
  <si>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</si>
  <si>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</si>
  <si>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</si>
  <si>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</si>
  <si>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</si>
  <si>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</si>
  <si>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</si>
  <si>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</si>
  <si>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</si>
  <si>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</si>
  <si>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</si>
  <si>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</si>
  <si>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</si>
  <si>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</si>
  <si>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</si>
  <si>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</si>
  <si>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</si>
  <si>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</si>
  <si>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</si>
  <si>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</si>
  <si>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</si>
  <si>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</si>
  <si>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</si>
  <si>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</si>
  <si>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</si>
  <si>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</si>
  <si>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</si>
  <si>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</si>
  <si>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</si>
  <si>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</si>
  <si>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</si>
  <si>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</si>
  <si>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</si>
  <si>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</si>
  <si>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</si>
  <si>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</si>
  <si>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</si>
  <si>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</si>
  <si>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</si>
  <si>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</si>
  <si>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</si>
  <si>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</si>
  <si>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</si>
  <si>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</si>
  <si>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</si>
  <si>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</si>
  <si>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</si>
  <si>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</si>
  <si>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</si>
  <si>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</si>
  <si>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</si>
  <si>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</si>
  <si>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</si>
  <si>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</si>
  <si>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</si>
  <si>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</si>
  <si>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</si>
  <si>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</si>
  <si>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</si>
  <si>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</si>
  <si>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</si>
  <si>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</si>
  <si>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</si>
  <si>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</si>
  <si>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</si>
  <si>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</si>
  <si>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</si>
  <si>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</si>
  <si>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</si>
  <si>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</si>
  <si>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</si>
  <si>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</si>
  <si>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</si>
  <si>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</si>
  <si>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</si>
  <si>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</si>
  <si>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</si>
  <si>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</si>
  <si>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</si>
  <si>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Hapag-Lloyd</t>
  </si>
  <si>
    <t>O002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</si>
</sst>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1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F53"/>
  <sheetViews>
    <sheetView tabSelected="1" zoomScale="115" zoomScaleNormal="115" workbookViewId="0">
      <pane xSplit="11" ySplit="1" topLeftCell="AB28" activePane="bottomRight" state="frozen"/>
      <selection pane="topRight" activeCell="L1" sqref="L1"/>
      <selection pane="bottomLeft" activeCell="A2" sqref="A2"/>
      <selection pane="bottomRight" activeCell="AJ46" sqref="AJ46"/>
    </sheetView>
  </sheetViews>
  <sheetFormatPr baseColWidth="10" defaultColWidth="10.453125" defaultRowHeight="14.5" outlineLevelCol="1" x14ac:dyDescent="0.35"/>
  <cols>
    <col min="1" max="1" width="9.54296875" customWidth="1"/>
    <col min="2" max="2" width="12.81640625" style="8" bestFit="1" customWidth="1"/>
    <col min="3" max="4" width="10.453125" customWidth="1"/>
    <col min="5" max="5" width="11.81640625" bestFit="1" customWidth="1"/>
    <col min="6" max="6" width="12.453125" style="9" hidden="1" customWidth="1" outlineLevel="1"/>
    <col min="7" max="7" width="15.453125" style="8" hidden="1" customWidth="1" outlineLevel="1"/>
    <col min="8" max="8" width="16" style="8" hidden="1" customWidth="1" outlineLevel="1"/>
    <col min="9" max="9" width="13.26953125" hidden="1" customWidth="1" outlineLevel="1"/>
    <col min="10" max="10" width="12.54296875" style="9" hidden="1" customWidth="1" outlineLevel="1"/>
    <col min="11" max="11" width="19.81640625" hidden="1" customWidth="1" outlineLevel="1"/>
    <col min="12" max="12" width="15.453125" style="9" customWidth="1" collapsed="1"/>
    <col min="13" max="13" width="10.453125" customWidth="1"/>
    <col min="14" max="14" width="14.54296875" customWidth="1"/>
    <col min="15" max="28" width="10.453125" customWidth="1"/>
    <col min="29" max="30" width="10.453125" hidden="1" customWidth="1"/>
    <col min="31" max="34" width="10.453125" customWidth="1"/>
    <col min="35" max="36" width="15.1796875" customWidth="1"/>
    <col min="37" max="37" width="15.81640625" customWidth="1"/>
    <col min="38" max="39" width="9.54296875" customWidth="1"/>
    <col min="40" max="41" width="15.453125" customWidth="1"/>
    <col min="42" max="42" width="10.453125" customWidth="1" collapsed="1"/>
    <col min="43" max="49" width="10.453125" customWidth="1"/>
    <col min="50" max="50" width="15.7265625" bestFit="1" customWidth="1"/>
    <col min="51" max="51" width="13.26953125" style="1" customWidth="1"/>
  </cols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3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 t="shared" ref="M2:M29" si="0">+IF(I2="SFK Freight Forwarder",L2,9)</f>
        <v>9</v>
      </c>
      <c r="N2" s="3">
        <v>7</v>
      </c>
      <c r="O2" s="3">
        <f t="shared" ref="O2:O32" si="1">IF(I2="SFK Freight Forwarder",M2,M2+N2-1)</f>
        <v>15</v>
      </c>
      <c r="P2" s="3">
        <f t="shared" ref="P2:P26" si="2">+IF(I2="SFK Freight Forwarder",0,5)</f>
        <v>5</v>
      </c>
      <c r="Q2" s="3">
        <f t="shared" ref="Q2:Q32" si="3">+IF(I2="SFK Freight Forwarder",O2,O2+P2-1)</f>
        <v>19</v>
      </c>
      <c r="R2" s="3">
        <f t="shared" ref="R2:R43" si="4">9+N2</f>
        <v>16</v>
      </c>
      <c r="S2" s="3">
        <v>7</v>
      </c>
      <c r="T2" s="3">
        <f t="shared" ref="T2:T32" si="5">+R2+S2-1</f>
        <v>22</v>
      </c>
      <c r="U2" s="3">
        <f t="shared" ref="U2:U43" si="6">+T2+1</f>
        <v>23</v>
      </c>
      <c r="V2" s="3">
        <v>1</v>
      </c>
      <c r="W2" s="3">
        <f t="shared" ref="W2:W32" si="7">+U2+V2-1</f>
        <v>23</v>
      </c>
      <c r="X2" s="3">
        <v>0</v>
      </c>
      <c r="Y2" s="3"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2" si="9">+AE2+AA2-1</f>
        <v>72</v>
      </c>
      <c r="AG2" s="6">
        <v>3</v>
      </c>
      <c r="AH2" s="6">
        <f t="shared" ref="AH2:AH32" si="10">+AF2+AG2</f>
        <v>75</v>
      </c>
      <c r="AI2" s="3">
        <v>7</v>
      </c>
      <c r="AJ2" s="3">
        <f t="shared" ref="AJ2:AJ32" si="11">+AI2+AH2</f>
        <v>82</v>
      </c>
      <c r="AK2" s="3" t="s">
        <v>55</v>
      </c>
      <c r="AL2" s="3">
        <v>2</v>
      </c>
      <c r="AM2" s="3">
        <f t="shared" ref="AM2:AM32" si="12">+AJ2+AL2</f>
        <v>84</v>
      </c>
      <c r="AN2" s="3">
        <v>2</v>
      </c>
      <c r="AO2" s="3">
        <f t="shared" ref="AO2:AO32" si="13">+AM2+AN2</f>
        <v>86</v>
      </c>
      <c r="AP2" s="3">
        <v>5</v>
      </c>
      <c r="AQ2" s="3">
        <f t="shared" ref="AQ2:AQ32" si="14">+AO2+AP2</f>
        <v>91</v>
      </c>
      <c r="AR2" s="3">
        <f t="shared" ref="AR2:AR32" si="15">+AQ2+7</f>
        <v>98</v>
      </c>
      <c r="AS2" s="3">
        <f t="shared" ref="AS2:AS32" si="16">+AR2+7+AT2</f>
        <v>115</v>
      </c>
      <c r="AT2" s="3">
        <v>10</v>
      </c>
      <c r="AU2" s="3">
        <f t="shared" ref="AU2:AU32" si="17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x14ac:dyDescent="0.3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0</v>
      </c>
      <c r="Y3" s="3"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55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x14ac:dyDescent="0.3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0</v>
      </c>
      <c r="Y4" s="3"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55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x14ac:dyDescent="0.3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0</v>
      </c>
      <c r="Y5" s="3">
        <v>26</v>
      </c>
      <c r="Z5" s="27"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60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x14ac:dyDescent="0.3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0</v>
      </c>
      <c r="Y6" s="3">
        <v>26</v>
      </c>
      <c r="Z6" s="6"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65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x14ac:dyDescent="0.3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2"/>
        <v>0</v>
      </c>
      <c r="Q7" s="3">
        <f t="shared" si="3"/>
        <v>0</v>
      </c>
      <c r="R7" s="3"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0</v>
      </c>
      <c r="Y7" s="26">
        <f>+W7+1</f>
        <v>31</v>
      </c>
      <c r="Z7" s="6"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9"/>
        <v>77</v>
      </c>
      <c r="AG7" s="6">
        <v>3</v>
      </c>
      <c r="AH7" s="6">
        <f t="shared" si="10"/>
        <v>80</v>
      </c>
      <c r="AI7" s="3">
        <v>0</v>
      </c>
      <c r="AJ7" s="3">
        <f t="shared" si="11"/>
        <v>80</v>
      </c>
      <c r="AK7" s="3" t="s">
        <v>60</v>
      </c>
      <c r="AL7" s="3">
        <v>2</v>
      </c>
      <c r="AM7" s="3">
        <f t="shared" si="12"/>
        <v>82</v>
      </c>
      <c r="AN7" s="3">
        <v>2</v>
      </c>
      <c r="AO7" s="3">
        <f t="shared" si="13"/>
        <v>84</v>
      </c>
      <c r="AP7" s="3">
        <v>0</v>
      </c>
      <c r="AQ7" s="3">
        <f t="shared" si="14"/>
        <v>84</v>
      </c>
      <c r="AR7" s="3">
        <f t="shared" si="15"/>
        <v>91</v>
      </c>
      <c r="AS7" s="3">
        <f t="shared" si="16"/>
        <v>98</v>
      </c>
      <c r="AT7" s="3">
        <v>0</v>
      </c>
      <c r="AU7" s="3">
        <f t="shared" si="17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x14ac:dyDescent="0.3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si="1"/>
        <v>0</v>
      </c>
      <c r="P8" s="3">
        <f t="shared" si="2"/>
        <v>0</v>
      </c>
      <c r="Q8" s="3">
        <f t="shared" si="3"/>
        <v>0</v>
      </c>
      <c r="R8" s="3"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60</v>
      </c>
      <c r="AL8" s="3">
        <v>3</v>
      </c>
      <c r="AM8" s="3">
        <f t="shared" si="12"/>
        <v>85</v>
      </c>
      <c r="AN8" s="3">
        <v>6</v>
      </c>
      <c r="AO8" s="3">
        <f t="shared" si="13"/>
        <v>91</v>
      </c>
      <c r="AP8" s="3">
        <v>0</v>
      </c>
      <c r="AQ8" s="3">
        <f t="shared" si="14"/>
        <v>91</v>
      </c>
      <c r="AR8" s="3">
        <f t="shared" si="15"/>
        <v>98</v>
      </c>
      <c r="AS8" s="3">
        <f t="shared" si="16"/>
        <v>105</v>
      </c>
      <c r="AT8" s="3">
        <v>0</v>
      </c>
      <c r="AU8" s="3">
        <f t="shared" si="17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x14ac:dyDescent="0.3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"/>
        <v>0</v>
      </c>
      <c r="P9" s="3">
        <f t="shared" si="2"/>
        <v>0</v>
      </c>
      <c r="Q9" s="3">
        <f t="shared" si="3"/>
        <v>0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0</v>
      </c>
      <c r="Y9" s="26">
        <v>31</v>
      </c>
      <c r="Z9" s="27"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55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x14ac:dyDescent="0.3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0</v>
      </c>
      <c r="Y10" s="3">
        <v>26</v>
      </c>
      <c r="Z10" s="6"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65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x14ac:dyDescent="0.3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0</v>
      </c>
      <c r="Y11" s="3"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55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x14ac:dyDescent="0.3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0</v>
      </c>
      <c r="Y12" s="3">
        <v>33</v>
      </c>
      <c r="Z12" s="6"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55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x14ac:dyDescent="0.3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0</v>
      </c>
      <c r="Y13" s="3"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60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x14ac:dyDescent="0.3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0</v>
      </c>
      <c r="Y14" s="3"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79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x14ac:dyDescent="0.3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0</v>
      </c>
      <c r="Y15" s="3"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7</v>
      </c>
      <c r="AJ15" s="3">
        <f t="shared" si="11"/>
        <v>74</v>
      </c>
      <c r="AK15" s="3" t="s">
        <v>65</v>
      </c>
      <c r="AL15" s="3">
        <v>2</v>
      </c>
      <c r="AM15" s="3">
        <f t="shared" si="12"/>
        <v>76</v>
      </c>
      <c r="AN15" s="3">
        <v>2</v>
      </c>
      <c r="AO15" s="3">
        <f t="shared" si="13"/>
        <v>78</v>
      </c>
      <c r="AP15" s="3">
        <v>6</v>
      </c>
      <c r="AQ15" s="3">
        <f t="shared" si="14"/>
        <v>84</v>
      </c>
      <c r="AR15" s="3">
        <f t="shared" si="15"/>
        <v>91</v>
      </c>
      <c r="AS15" s="3">
        <f t="shared" si="16"/>
        <v>112</v>
      </c>
      <c r="AT15" s="3">
        <v>14</v>
      </c>
      <c r="AU15" s="3">
        <f t="shared" si="17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x14ac:dyDescent="0.3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0</v>
      </c>
      <c r="Y16" s="3"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55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x14ac:dyDescent="0.3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55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x14ac:dyDescent="0.3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157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0"/>
        <v>9</v>
      </c>
      <c r="N18" s="3">
        <v>7</v>
      </c>
      <c r="O18" s="3">
        <f t="shared" si="1"/>
        <v>15</v>
      </c>
      <c r="P18" s="3">
        <f t="shared" si="2"/>
        <v>5</v>
      </c>
      <c r="Q18" s="3">
        <f t="shared" si="3"/>
        <v>19</v>
      </c>
      <c r="R18" s="3">
        <f t="shared" si="4"/>
        <v>16</v>
      </c>
      <c r="S18" s="3">
        <v>7</v>
      </c>
      <c r="T18" s="3">
        <f t="shared" si="5"/>
        <v>22</v>
      </c>
      <c r="U18" s="3">
        <f t="shared" si="6"/>
        <v>23</v>
      </c>
      <c r="V18" s="3">
        <v>4</v>
      </c>
      <c r="W18" s="3">
        <f t="shared" si="7"/>
        <v>26</v>
      </c>
      <c r="X18" s="3">
        <v>0</v>
      </c>
      <c r="Y18" s="3">
        <v>26</v>
      </c>
      <c r="Z18" s="6">
        <v>31</v>
      </c>
      <c r="AA18" s="6">
        <f t="shared" ref="AA18:AA51" si="18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9"/>
        <v>59</v>
      </c>
      <c r="AG18" s="6">
        <v>3</v>
      </c>
      <c r="AH18" s="6">
        <f t="shared" si="10"/>
        <v>62</v>
      </c>
      <c r="AI18" s="3">
        <v>7</v>
      </c>
      <c r="AJ18" s="3">
        <f t="shared" si="11"/>
        <v>69</v>
      </c>
      <c r="AK18" s="3" t="s">
        <v>65</v>
      </c>
      <c r="AL18" s="3">
        <v>2</v>
      </c>
      <c r="AM18" s="3">
        <f t="shared" si="12"/>
        <v>71</v>
      </c>
      <c r="AN18" s="3">
        <v>9</v>
      </c>
      <c r="AO18" s="3">
        <f t="shared" si="13"/>
        <v>80</v>
      </c>
      <c r="AP18" s="3">
        <v>4</v>
      </c>
      <c r="AQ18" s="3">
        <f t="shared" si="14"/>
        <v>84</v>
      </c>
      <c r="AR18" s="3">
        <f t="shared" si="15"/>
        <v>91</v>
      </c>
      <c r="AS18" s="3">
        <f t="shared" si="16"/>
        <v>111</v>
      </c>
      <c r="AT18" s="3">
        <v>13</v>
      </c>
      <c r="AU18" s="3">
        <f t="shared" si="17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x14ac:dyDescent="0.3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0"/>
        <v>9</v>
      </c>
      <c r="N19" s="3">
        <v>14</v>
      </c>
      <c r="O19" s="3">
        <f t="shared" si="1"/>
        <v>22</v>
      </c>
      <c r="P19" s="3">
        <f t="shared" si="2"/>
        <v>5</v>
      </c>
      <c r="Q19" s="3">
        <f t="shared" si="3"/>
        <v>26</v>
      </c>
      <c r="R19" s="3">
        <f t="shared" si="4"/>
        <v>23</v>
      </c>
      <c r="S19" s="3">
        <v>7</v>
      </c>
      <c r="T19" s="3">
        <f t="shared" si="5"/>
        <v>29</v>
      </c>
      <c r="U19" s="3">
        <f t="shared" si="6"/>
        <v>30</v>
      </c>
      <c r="V19" s="3">
        <v>2</v>
      </c>
      <c r="W19" s="3">
        <f t="shared" si="7"/>
        <v>31</v>
      </c>
      <c r="X19" s="3">
        <v>0</v>
      </c>
      <c r="Y19" s="3">
        <v>33</v>
      </c>
      <c r="Z19" s="6">
        <v>36</v>
      </c>
      <c r="AA19" s="6">
        <f t="shared" si="18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9"/>
        <v>73</v>
      </c>
      <c r="AG19" s="6">
        <v>3</v>
      </c>
      <c r="AH19" s="6">
        <f t="shared" si="10"/>
        <v>76</v>
      </c>
      <c r="AI19" s="3">
        <v>14</v>
      </c>
      <c r="AJ19" s="3">
        <f t="shared" si="11"/>
        <v>90</v>
      </c>
      <c r="AK19" s="3" t="s">
        <v>55</v>
      </c>
      <c r="AL19" s="3">
        <v>2</v>
      </c>
      <c r="AM19" s="3">
        <f t="shared" si="12"/>
        <v>92</v>
      </c>
      <c r="AN19" s="3">
        <v>2</v>
      </c>
      <c r="AO19" s="3">
        <f t="shared" si="13"/>
        <v>94</v>
      </c>
      <c r="AP19" s="3">
        <v>4</v>
      </c>
      <c r="AQ19" s="3">
        <f t="shared" si="14"/>
        <v>98</v>
      </c>
      <c r="AR19" s="3">
        <f t="shared" si="15"/>
        <v>105</v>
      </c>
      <c r="AS19" s="3">
        <f t="shared" si="16"/>
        <v>126</v>
      </c>
      <c r="AT19" s="3">
        <v>14</v>
      </c>
      <c r="AU19" s="3">
        <f t="shared" si="17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x14ac:dyDescent="0.3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157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2</v>
      </c>
      <c r="M20" s="3">
        <f t="shared" si="0"/>
        <v>9</v>
      </c>
      <c r="N20" s="3">
        <v>14</v>
      </c>
      <c r="O20" s="3">
        <f t="shared" si="1"/>
        <v>22</v>
      </c>
      <c r="P20" s="3">
        <f t="shared" si="2"/>
        <v>5</v>
      </c>
      <c r="Q20" s="3">
        <f t="shared" si="3"/>
        <v>26</v>
      </c>
      <c r="R20" s="3">
        <f t="shared" si="4"/>
        <v>23</v>
      </c>
      <c r="S20" s="3">
        <v>7</v>
      </c>
      <c r="T20" s="3">
        <f t="shared" si="5"/>
        <v>29</v>
      </c>
      <c r="U20" s="3">
        <f t="shared" si="6"/>
        <v>30</v>
      </c>
      <c r="V20" s="3">
        <v>2</v>
      </c>
      <c r="W20" s="3">
        <f t="shared" si="7"/>
        <v>31</v>
      </c>
      <c r="X20" s="3">
        <v>0</v>
      </c>
      <c r="Y20" s="3">
        <v>31</v>
      </c>
      <c r="Z20" s="6">
        <v>35</v>
      </c>
      <c r="AA20" s="6">
        <f t="shared" si="18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9"/>
        <v>72</v>
      </c>
      <c r="AG20" s="6">
        <v>3</v>
      </c>
      <c r="AH20" s="6">
        <f t="shared" si="10"/>
        <v>75</v>
      </c>
      <c r="AI20" s="3">
        <v>14</v>
      </c>
      <c r="AJ20" s="3">
        <f t="shared" si="11"/>
        <v>89</v>
      </c>
      <c r="AK20" s="3" t="s">
        <v>55</v>
      </c>
      <c r="AL20" s="3">
        <v>2</v>
      </c>
      <c r="AM20" s="3">
        <f t="shared" si="12"/>
        <v>91</v>
      </c>
      <c r="AN20" s="3">
        <v>7</v>
      </c>
      <c r="AO20" s="3">
        <f t="shared" si="13"/>
        <v>98</v>
      </c>
      <c r="AP20" s="3">
        <v>0</v>
      </c>
      <c r="AQ20" s="3">
        <f t="shared" si="14"/>
        <v>98</v>
      </c>
      <c r="AR20" s="3">
        <f t="shared" si="15"/>
        <v>105</v>
      </c>
      <c r="AS20" s="3">
        <f t="shared" si="16"/>
        <v>126</v>
      </c>
      <c r="AT20" s="3">
        <v>14</v>
      </c>
      <c r="AU20" s="3">
        <f t="shared" si="17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x14ac:dyDescent="0.35">
      <c r="A21" s="5">
        <v>920</v>
      </c>
      <c r="B21" s="33" t="s">
        <v>80</v>
      </c>
      <c r="C21" s="6" t="s">
        <v>57</v>
      </c>
      <c r="D21" s="6" t="s">
        <v>58</v>
      </c>
      <c r="E21" s="6" t="s">
        <v>81</v>
      </c>
      <c r="F21" s="19">
        <v>91017500</v>
      </c>
      <c r="G21" s="35" t="s">
        <v>157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 t="shared" si="0"/>
        <v>9</v>
      </c>
      <c r="N21" s="3">
        <v>14</v>
      </c>
      <c r="O21" s="3">
        <f t="shared" si="1"/>
        <v>22</v>
      </c>
      <c r="P21" s="3">
        <f t="shared" si="2"/>
        <v>5</v>
      </c>
      <c r="Q21" s="3">
        <f t="shared" si="3"/>
        <v>26</v>
      </c>
      <c r="R21" s="3">
        <f t="shared" si="4"/>
        <v>23</v>
      </c>
      <c r="S21" s="3">
        <v>7</v>
      </c>
      <c r="T21" s="3">
        <f t="shared" si="5"/>
        <v>29</v>
      </c>
      <c r="U21" s="3">
        <f t="shared" si="6"/>
        <v>30</v>
      </c>
      <c r="V21" s="3">
        <v>3</v>
      </c>
      <c r="W21" s="3">
        <f t="shared" si="7"/>
        <v>32</v>
      </c>
      <c r="X21" s="3">
        <v>0</v>
      </c>
      <c r="Y21" s="3">
        <v>33</v>
      </c>
      <c r="Z21" s="6">
        <v>37</v>
      </c>
      <c r="AA21" s="6">
        <f t="shared" si="18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9"/>
        <v>77</v>
      </c>
      <c r="AG21" s="6">
        <v>3</v>
      </c>
      <c r="AH21" s="6">
        <f t="shared" si="10"/>
        <v>80</v>
      </c>
      <c r="AI21" s="3">
        <v>0</v>
      </c>
      <c r="AJ21" s="3">
        <f t="shared" si="11"/>
        <v>80</v>
      </c>
      <c r="AK21" s="3" t="s">
        <v>55</v>
      </c>
      <c r="AL21" s="3">
        <v>3</v>
      </c>
      <c r="AM21" s="3">
        <f t="shared" si="12"/>
        <v>83</v>
      </c>
      <c r="AN21" s="3">
        <v>9</v>
      </c>
      <c r="AO21" s="3">
        <f t="shared" si="13"/>
        <v>92</v>
      </c>
      <c r="AP21" s="3">
        <v>6</v>
      </c>
      <c r="AQ21" s="3">
        <f t="shared" si="14"/>
        <v>98</v>
      </c>
      <c r="AR21" s="3">
        <f t="shared" si="15"/>
        <v>105</v>
      </c>
      <c r="AS21" s="3">
        <f t="shared" si="16"/>
        <v>126</v>
      </c>
      <c r="AT21" s="3">
        <v>14</v>
      </c>
      <c r="AU21" s="3">
        <f t="shared" si="17"/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x14ac:dyDescent="0.3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0"/>
        <v>9</v>
      </c>
      <c r="N22" s="3">
        <v>14</v>
      </c>
      <c r="O22" s="3">
        <f t="shared" si="1"/>
        <v>22</v>
      </c>
      <c r="P22" s="3">
        <f t="shared" si="2"/>
        <v>5</v>
      </c>
      <c r="Q22" s="3">
        <f t="shared" si="3"/>
        <v>26</v>
      </c>
      <c r="R22" s="3">
        <f t="shared" si="4"/>
        <v>23</v>
      </c>
      <c r="S22" s="3">
        <v>7</v>
      </c>
      <c r="T22" s="3">
        <f t="shared" si="5"/>
        <v>29</v>
      </c>
      <c r="U22" s="3">
        <f t="shared" si="6"/>
        <v>30</v>
      </c>
      <c r="V22" s="3">
        <v>3</v>
      </c>
      <c r="W22" s="3">
        <f t="shared" si="7"/>
        <v>32</v>
      </c>
      <c r="X22" s="3">
        <v>0</v>
      </c>
      <c r="Y22" s="3">
        <v>33</v>
      </c>
      <c r="Z22" s="6">
        <v>37</v>
      </c>
      <c r="AA22" s="6">
        <f t="shared" si="18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9"/>
        <v>84</v>
      </c>
      <c r="AG22" s="6">
        <v>3</v>
      </c>
      <c r="AH22" s="6">
        <f t="shared" si="10"/>
        <v>87</v>
      </c>
      <c r="AI22" s="3">
        <v>7</v>
      </c>
      <c r="AJ22" s="3">
        <f t="shared" si="11"/>
        <v>94</v>
      </c>
      <c r="AK22" s="3" t="s">
        <v>55</v>
      </c>
      <c r="AL22" s="3">
        <v>2</v>
      </c>
      <c r="AM22" s="3">
        <f t="shared" si="12"/>
        <v>96</v>
      </c>
      <c r="AN22" s="3">
        <v>2</v>
      </c>
      <c r="AO22" s="3">
        <f t="shared" si="13"/>
        <v>98</v>
      </c>
      <c r="AP22" s="3">
        <v>0</v>
      </c>
      <c r="AQ22" s="3">
        <f t="shared" si="14"/>
        <v>98</v>
      </c>
      <c r="AR22" s="3">
        <f t="shared" si="15"/>
        <v>105</v>
      </c>
      <c r="AS22" s="3">
        <f t="shared" si="16"/>
        <v>126</v>
      </c>
      <c r="AT22" s="3">
        <v>14</v>
      </c>
      <c r="AU22" s="3">
        <f t="shared" si="17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x14ac:dyDescent="0.3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0"/>
        <v>9</v>
      </c>
      <c r="N23" s="3">
        <v>7</v>
      </c>
      <c r="O23" s="3">
        <f t="shared" si="1"/>
        <v>15</v>
      </c>
      <c r="P23" s="3">
        <f t="shared" si="2"/>
        <v>5</v>
      </c>
      <c r="Q23" s="3">
        <f t="shared" si="3"/>
        <v>19</v>
      </c>
      <c r="R23" s="3">
        <f t="shared" si="4"/>
        <v>16</v>
      </c>
      <c r="S23" s="3">
        <v>7</v>
      </c>
      <c r="T23" s="3">
        <f t="shared" si="5"/>
        <v>22</v>
      </c>
      <c r="U23" s="3">
        <f t="shared" si="6"/>
        <v>23</v>
      </c>
      <c r="V23" s="3">
        <v>3</v>
      </c>
      <c r="W23" s="3">
        <f t="shared" si="7"/>
        <v>25</v>
      </c>
      <c r="X23" s="3">
        <v>0</v>
      </c>
      <c r="Y23" s="3">
        <v>25</v>
      </c>
      <c r="Z23" s="6">
        <v>30</v>
      </c>
      <c r="AA23" s="6">
        <f t="shared" si="18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9"/>
        <v>52</v>
      </c>
      <c r="AG23" s="6">
        <v>3</v>
      </c>
      <c r="AH23" s="6">
        <f t="shared" si="10"/>
        <v>55</v>
      </c>
      <c r="AI23" s="3">
        <v>0</v>
      </c>
      <c r="AJ23" s="3">
        <f t="shared" si="11"/>
        <v>55</v>
      </c>
      <c r="AK23" s="3" t="s">
        <v>79</v>
      </c>
      <c r="AL23" s="3">
        <v>1</v>
      </c>
      <c r="AM23" s="3">
        <f t="shared" si="12"/>
        <v>56</v>
      </c>
      <c r="AN23" s="3">
        <v>8</v>
      </c>
      <c r="AO23" s="3">
        <f t="shared" si="13"/>
        <v>64</v>
      </c>
      <c r="AP23" s="3">
        <v>6</v>
      </c>
      <c r="AQ23" s="3">
        <f t="shared" si="14"/>
        <v>70</v>
      </c>
      <c r="AR23" s="3">
        <f t="shared" si="15"/>
        <v>77</v>
      </c>
      <c r="AS23" s="3">
        <f t="shared" si="16"/>
        <v>84</v>
      </c>
      <c r="AT23" s="3">
        <v>0</v>
      </c>
      <c r="AU23" s="3">
        <f t="shared" si="17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x14ac:dyDescent="0.3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0"/>
        <v>9</v>
      </c>
      <c r="N24" s="3">
        <v>14</v>
      </c>
      <c r="O24" s="3">
        <f t="shared" si="1"/>
        <v>22</v>
      </c>
      <c r="P24" s="3">
        <f t="shared" si="2"/>
        <v>5</v>
      </c>
      <c r="Q24" s="3">
        <f t="shared" si="3"/>
        <v>26</v>
      </c>
      <c r="R24" s="3">
        <f t="shared" si="4"/>
        <v>23</v>
      </c>
      <c r="S24" s="3">
        <v>7</v>
      </c>
      <c r="T24" s="3">
        <f t="shared" si="5"/>
        <v>29</v>
      </c>
      <c r="U24" s="3">
        <f t="shared" si="6"/>
        <v>30</v>
      </c>
      <c r="V24" s="3">
        <v>2</v>
      </c>
      <c r="W24" s="3">
        <f t="shared" si="7"/>
        <v>31</v>
      </c>
      <c r="X24" s="3">
        <v>0</v>
      </c>
      <c r="Y24" s="3">
        <v>32</v>
      </c>
      <c r="Z24" s="6">
        <v>33</v>
      </c>
      <c r="AA24" s="6">
        <f t="shared" si="18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9"/>
        <v>74</v>
      </c>
      <c r="AG24" s="6">
        <v>3</v>
      </c>
      <c r="AH24" s="6">
        <f t="shared" si="10"/>
        <v>77</v>
      </c>
      <c r="AI24" s="3">
        <v>14</v>
      </c>
      <c r="AJ24" s="3">
        <f t="shared" si="11"/>
        <v>91</v>
      </c>
      <c r="AK24" s="3" t="s">
        <v>55</v>
      </c>
      <c r="AL24" s="3">
        <v>2</v>
      </c>
      <c r="AM24" s="3">
        <f t="shared" si="12"/>
        <v>93</v>
      </c>
      <c r="AN24" s="3">
        <v>2</v>
      </c>
      <c r="AO24" s="3">
        <f t="shared" si="13"/>
        <v>95</v>
      </c>
      <c r="AP24" s="3">
        <v>3</v>
      </c>
      <c r="AQ24" s="3">
        <f t="shared" si="14"/>
        <v>98</v>
      </c>
      <c r="AR24" s="3">
        <f t="shared" si="15"/>
        <v>105</v>
      </c>
      <c r="AS24" s="3">
        <f t="shared" si="16"/>
        <v>126</v>
      </c>
      <c r="AT24" s="3">
        <v>14</v>
      </c>
      <c r="AU24" s="3">
        <f t="shared" si="17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x14ac:dyDescent="0.3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0"/>
        <v>9</v>
      </c>
      <c r="N25" s="3">
        <v>14</v>
      </c>
      <c r="O25" s="3">
        <f t="shared" si="1"/>
        <v>22</v>
      </c>
      <c r="P25" s="3">
        <f t="shared" si="2"/>
        <v>5</v>
      </c>
      <c r="Q25" s="3">
        <f t="shared" si="3"/>
        <v>26</v>
      </c>
      <c r="R25" s="3">
        <f t="shared" si="4"/>
        <v>23</v>
      </c>
      <c r="S25" s="3">
        <v>7</v>
      </c>
      <c r="T25" s="3">
        <f t="shared" si="5"/>
        <v>29</v>
      </c>
      <c r="U25" s="3">
        <f t="shared" si="6"/>
        <v>30</v>
      </c>
      <c r="V25" s="3">
        <v>1</v>
      </c>
      <c r="W25" s="3">
        <f t="shared" si="7"/>
        <v>30</v>
      </c>
      <c r="X25" s="3">
        <v>0</v>
      </c>
      <c r="Y25" s="3">
        <v>30</v>
      </c>
      <c r="Z25" s="6">
        <v>30</v>
      </c>
      <c r="AA25" s="6">
        <f t="shared" si="18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9"/>
        <v>77</v>
      </c>
      <c r="AG25" s="6">
        <v>3</v>
      </c>
      <c r="AH25" s="6">
        <f t="shared" si="10"/>
        <v>80</v>
      </c>
      <c r="AI25" s="3">
        <v>14</v>
      </c>
      <c r="AJ25" s="3">
        <f t="shared" si="11"/>
        <v>94</v>
      </c>
      <c r="AK25" s="3" t="s">
        <v>55</v>
      </c>
      <c r="AL25" s="3">
        <v>4</v>
      </c>
      <c r="AM25" s="3">
        <f t="shared" si="12"/>
        <v>98</v>
      </c>
      <c r="AN25" s="3">
        <v>3</v>
      </c>
      <c r="AO25" s="3">
        <f t="shared" si="13"/>
        <v>101</v>
      </c>
      <c r="AP25" s="3">
        <v>4</v>
      </c>
      <c r="AQ25" s="3">
        <f t="shared" si="14"/>
        <v>105</v>
      </c>
      <c r="AR25" s="3">
        <f t="shared" si="15"/>
        <v>112</v>
      </c>
      <c r="AS25" s="3">
        <f t="shared" si="16"/>
        <v>133</v>
      </c>
      <c r="AT25" s="3">
        <v>14</v>
      </c>
      <c r="AU25" s="3">
        <f t="shared" si="17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x14ac:dyDescent="0.3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0"/>
        <v>9</v>
      </c>
      <c r="N26" s="3">
        <v>7</v>
      </c>
      <c r="O26" s="3">
        <f t="shared" si="1"/>
        <v>15</v>
      </c>
      <c r="P26" s="3">
        <f t="shared" si="2"/>
        <v>5</v>
      </c>
      <c r="Q26" s="3">
        <f t="shared" si="3"/>
        <v>19</v>
      </c>
      <c r="R26" s="3">
        <f t="shared" si="4"/>
        <v>16</v>
      </c>
      <c r="S26" s="3">
        <v>7</v>
      </c>
      <c r="T26" s="3">
        <f t="shared" si="5"/>
        <v>22</v>
      </c>
      <c r="U26" s="3">
        <f t="shared" si="6"/>
        <v>23</v>
      </c>
      <c r="V26" s="3">
        <v>2</v>
      </c>
      <c r="W26" s="3">
        <f t="shared" si="7"/>
        <v>24</v>
      </c>
      <c r="X26" s="3">
        <v>0</v>
      </c>
      <c r="Y26" s="3">
        <v>26</v>
      </c>
      <c r="Z26" s="6">
        <v>31</v>
      </c>
      <c r="AA26" s="6">
        <f t="shared" si="18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9"/>
        <v>53</v>
      </c>
      <c r="AG26" s="6">
        <v>3</v>
      </c>
      <c r="AH26" s="6">
        <f t="shared" si="10"/>
        <v>56</v>
      </c>
      <c r="AI26" s="3">
        <v>7</v>
      </c>
      <c r="AJ26" s="3">
        <f t="shared" si="11"/>
        <v>63</v>
      </c>
      <c r="AK26" s="3" t="s">
        <v>60</v>
      </c>
      <c r="AL26" s="3">
        <v>2</v>
      </c>
      <c r="AM26" s="3">
        <f t="shared" si="12"/>
        <v>65</v>
      </c>
      <c r="AN26" s="3">
        <v>2</v>
      </c>
      <c r="AO26" s="3">
        <f t="shared" si="13"/>
        <v>67</v>
      </c>
      <c r="AP26" s="3">
        <v>3</v>
      </c>
      <c r="AQ26" s="3">
        <f t="shared" si="14"/>
        <v>70</v>
      </c>
      <c r="AR26" s="3">
        <f t="shared" si="15"/>
        <v>77</v>
      </c>
      <c r="AS26" s="3">
        <f t="shared" si="16"/>
        <v>98</v>
      </c>
      <c r="AT26" s="3">
        <v>14</v>
      </c>
      <c r="AU26" s="3">
        <f t="shared" si="17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x14ac:dyDescent="0.35">
      <c r="A27" s="5">
        <v>930</v>
      </c>
      <c r="B27" s="32" t="s">
        <v>80</v>
      </c>
      <c r="C27" s="6" t="s">
        <v>68</v>
      </c>
      <c r="D27" s="6" t="s">
        <v>58</v>
      </c>
      <c r="E27" s="6" t="s">
        <v>81</v>
      </c>
      <c r="F27" s="19">
        <v>91017700</v>
      </c>
      <c r="G27" s="4" t="s">
        <v>157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 t="shared" si="0"/>
        <v>9</v>
      </c>
      <c r="N27" s="3">
        <v>14</v>
      </c>
      <c r="O27" s="3">
        <f t="shared" si="1"/>
        <v>22</v>
      </c>
      <c r="P27" s="3">
        <v>5</v>
      </c>
      <c r="Q27" s="3">
        <f t="shared" si="3"/>
        <v>26</v>
      </c>
      <c r="R27" s="3">
        <f t="shared" si="4"/>
        <v>23</v>
      </c>
      <c r="S27" s="3">
        <v>7</v>
      </c>
      <c r="T27" s="3">
        <f t="shared" si="5"/>
        <v>29</v>
      </c>
      <c r="U27" s="3">
        <f t="shared" si="6"/>
        <v>30</v>
      </c>
      <c r="V27" s="3">
        <v>1</v>
      </c>
      <c r="W27" s="3">
        <f t="shared" si="7"/>
        <v>30</v>
      </c>
      <c r="X27" s="3">
        <v>0</v>
      </c>
      <c r="Y27" s="3">
        <v>30</v>
      </c>
      <c r="Z27" s="6">
        <v>35</v>
      </c>
      <c r="AA27" s="6">
        <f t="shared" si="18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9"/>
        <v>76</v>
      </c>
      <c r="AG27" s="6">
        <v>3</v>
      </c>
      <c r="AH27" s="6">
        <f t="shared" si="10"/>
        <v>79</v>
      </c>
      <c r="AI27" s="3">
        <v>7</v>
      </c>
      <c r="AJ27" s="3">
        <f t="shared" si="11"/>
        <v>86</v>
      </c>
      <c r="AK27" s="3" t="s">
        <v>55</v>
      </c>
      <c r="AL27" s="3">
        <v>3</v>
      </c>
      <c r="AM27" s="3">
        <f t="shared" si="12"/>
        <v>89</v>
      </c>
      <c r="AN27" s="3">
        <v>10</v>
      </c>
      <c r="AO27" s="3">
        <f t="shared" si="13"/>
        <v>99</v>
      </c>
      <c r="AP27" s="3">
        <v>6</v>
      </c>
      <c r="AQ27" s="3">
        <f t="shared" si="14"/>
        <v>105</v>
      </c>
      <c r="AR27" s="3">
        <f t="shared" si="15"/>
        <v>112</v>
      </c>
      <c r="AS27" s="3">
        <f t="shared" si="16"/>
        <v>136</v>
      </c>
      <c r="AT27" s="3">
        <v>17</v>
      </c>
      <c r="AU27" s="3">
        <f t="shared" si="17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customHeight="1" x14ac:dyDescent="0.3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0"/>
        <v>9</v>
      </c>
      <c r="N28" s="3">
        <v>14</v>
      </c>
      <c r="O28" s="3">
        <f t="shared" si="1"/>
        <v>22</v>
      </c>
      <c r="P28" s="3">
        <f t="shared" ref="P28:P43" si="19">+IF(I28="SFK Freight Forwarder",0,5)</f>
        <v>5</v>
      </c>
      <c r="Q28" s="3">
        <f t="shared" si="3"/>
        <v>26</v>
      </c>
      <c r="R28" s="3">
        <f t="shared" si="4"/>
        <v>23</v>
      </c>
      <c r="S28" s="3">
        <v>7</v>
      </c>
      <c r="T28" s="3">
        <f t="shared" si="5"/>
        <v>29</v>
      </c>
      <c r="U28" s="3">
        <f t="shared" si="6"/>
        <v>30</v>
      </c>
      <c r="V28" s="3">
        <v>1</v>
      </c>
      <c r="W28" s="3">
        <f t="shared" si="7"/>
        <v>30</v>
      </c>
      <c r="X28" s="3">
        <v>0</v>
      </c>
      <c r="Y28" s="3">
        <v>30</v>
      </c>
      <c r="Z28" s="6">
        <v>33</v>
      </c>
      <c r="AA28" s="6">
        <f t="shared" si="18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9"/>
        <v>77</v>
      </c>
      <c r="AG28" s="6">
        <v>3</v>
      </c>
      <c r="AH28" s="6">
        <f t="shared" si="10"/>
        <v>80</v>
      </c>
      <c r="AI28" s="3">
        <v>7</v>
      </c>
      <c r="AJ28" s="3">
        <f t="shared" si="11"/>
        <v>87</v>
      </c>
      <c r="AK28" s="3" t="s">
        <v>55</v>
      </c>
      <c r="AL28" s="3">
        <v>2</v>
      </c>
      <c r="AM28" s="3">
        <f t="shared" si="12"/>
        <v>89</v>
      </c>
      <c r="AN28" s="3">
        <v>2</v>
      </c>
      <c r="AO28" s="3">
        <f t="shared" si="13"/>
        <v>91</v>
      </c>
      <c r="AP28" s="3">
        <v>0</v>
      </c>
      <c r="AQ28" s="3">
        <f t="shared" si="14"/>
        <v>91</v>
      </c>
      <c r="AR28" s="3">
        <f t="shared" si="15"/>
        <v>98</v>
      </c>
      <c r="AS28" s="3">
        <f t="shared" si="16"/>
        <v>122</v>
      </c>
      <c r="AT28" s="3">
        <v>17</v>
      </c>
      <c r="AU28" s="3">
        <f t="shared" si="17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x14ac:dyDescent="0.3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0"/>
        <v>9</v>
      </c>
      <c r="N29" s="3">
        <v>14</v>
      </c>
      <c r="O29" s="3">
        <f t="shared" si="1"/>
        <v>22</v>
      </c>
      <c r="P29" s="3">
        <f t="shared" si="19"/>
        <v>5</v>
      </c>
      <c r="Q29" s="3">
        <f t="shared" si="3"/>
        <v>26</v>
      </c>
      <c r="R29" s="3">
        <f t="shared" si="4"/>
        <v>23</v>
      </c>
      <c r="S29" s="3">
        <v>7</v>
      </c>
      <c r="T29" s="3">
        <f t="shared" si="5"/>
        <v>29</v>
      </c>
      <c r="U29" s="3">
        <f t="shared" si="6"/>
        <v>30</v>
      </c>
      <c r="V29" s="3">
        <v>1</v>
      </c>
      <c r="W29" s="3">
        <f t="shared" si="7"/>
        <v>30</v>
      </c>
      <c r="X29" s="3">
        <v>0</v>
      </c>
      <c r="Y29" s="3">
        <v>30</v>
      </c>
      <c r="Z29" s="6">
        <v>35</v>
      </c>
      <c r="AA29" s="6">
        <f t="shared" si="18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9"/>
        <v>94</v>
      </c>
      <c r="AG29" s="6">
        <v>3</v>
      </c>
      <c r="AH29" s="6">
        <f t="shared" si="10"/>
        <v>97</v>
      </c>
      <c r="AI29" s="3">
        <v>7</v>
      </c>
      <c r="AJ29" s="3">
        <f t="shared" si="11"/>
        <v>104</v>
      </c>
      <c r="AK29" s="3" t="s">
        <v>55</v>
      </c>
      <c r="AL29" s="3">
        <v>1</v>
      </c>
      <c r="AM29" s="3">
        <f t="shared" si="12"/>
        <v>105</v>
      </c>
      <c r="AN29" s="3">
        <v>8</v>
      </c>
      <c r="AO29" s="3">
        <f t="shared" si="13"/>
        <v>113</v>
      </c>
      <c r="AP29" s="3">
        <v>6</v>
      </c>
      <c r="AQ29" s="3">
        <f t="shared" si="14"/>
        <v>119</v>
      </c>
      <c r="AR29" s="3">
        <f t="shared" si="15"/>
        <v>126</v>
      </c>
      <c r="AS29" s="3">
        <f t="shared" si="16"/>
        <v>147</v>
      </c>
      <c r="AT29" s="3">
        <v>14</v>
      </c>
      <c r="AU29" s="3">
        <f t="shared" si="17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x14ac:dyDescent="0.3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"/>
        <v>0</v>
      </c>
      <c r="P30" s="3">
        <f t="shared" si="19"/>
        <v>0</v>
      </c>
      <c r="Q30" s="3">
        <f t="shared" si="3"/>
        <v>0</v>
      </c>
      <c r="R30" s="3">
        <f t="shared" si="4"/>
        <v>23</v>
      </c>
      <c r="S30" s="3">
        <v>7</v>
      </c>
      <c r="T30" s="3">
        <f t="shared" si="5"/>
        <v>29</v>
      </c>
      <c r="U30" s="3">
        <f t="shared" si="6"/>
        <v>30</v>
      </c>
      <c r="V30" s="3">
        <v>1</v>
      </c>
      <c r="W30" s="3">
        <f t="shared" si="7"/>
        <v>30</v>
      </c>
      <c r="X30" s="3">
        <v>0</v>
      </c>
      <c r="Y30" s="3">
        <v>31</v>
      </c>
      <c r="Z30" s="6">
        <v>31</v>
      </c>
      <c r="AA30" s="6">
        <f t="shared" si="18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9"/>
        <v>66</v>
      </c>
      <c r="AG30" s="6">
        <v>3</v>
      </c>
      <c r="AH30" s="6">
        <f t="shared" si="10"/>
        <v>69</v>
      </c>
      <c r="AI30" s="3">
        <v>14</v>
      </c>
      <c r="AJ30" s="3">
        <f t="shared" si="11"/>
        <v>83</v>
      </c>
      <c r="AK30" s="3" t="s">
        <v>60</v>
      </c>
      <c r="AL30" s="3">
        <v>0</v>
      </c>
      <c r="AM30" s="3">
        <f t="shared" si="12"/>
        <v>83</v>
      </c>
      <c r="AN30" s="3">
        <v>0</v>
      </c>
      <c r="AO30" s="3">
        <f t="shared" si="13"/>
        <v>83</v>
      </c>
      <c r="AP30" s="3">
        <v>1</v>
      </c>
      <c r="AQ30" s="3">
        <f t="shared" si="14"/>
        <v>84</v>
      </c>
      <c r="AR30" s="3">
        <f t="shared" si="15"/>
        <v>91</v>
      </c>
      <c r="AS30" s="3">
        <f t="shared" si="16"/>
        <v>98</v>
      </c>
      <c r="AT30" s="3">
        <v>0</v>
      </c>
      <c r="AU30" s="3">
        <f t="shared" si="17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x14ac:dyDescent="0.3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"/>
        <v>0</v>
      </c>
      <c r="P31" s="3">
        <f t="shared" si="19"/>
        <v>0</v>
      </c>
      <c r="Q31" s="3">
        <f t="shared" si="3"/>
        <v>0</v>
      </c>
      <c r="R31" s="3">
        <f t="shared" si="4"/>
        <v>23</v>
      </c>
      <c r="S31" s="3">
        <v>7</v>
      </c>
      <c r="T31" s="3">
        <f t="shared" si="5"/>
        <v>29</v>
      </c>
      <c r="U31" s="3">
        <f t="shared" si="6"/>
        <v>30</v>
      </c>
      <c r="V31" s="3">
        <v>1</v>
      </c>
      <c r="W31" s="3">
        <f t="shared" si="7"/>
        <v>30</v>
      </c>
      <c r="X31" s="3">
        <v>0</v>
      </c>
      <c r="Y31" s="3">
        <v>31</v>
      </c>
      <c r="Z31" s="6">
        <v>31</v>
      </c>
      <c r="AA31" s="6">
        <f t="shared" si="18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9"/>
        <v>91</v>
      </c>
      <c r="AG31" s="6">
        <v>3</v>
      </c>
      <c r="AH31" s="6">
        <f t="shared" si="10"/>
        <v>94</v>
      </c>
      <c r="AI31" s="3">
        <v>0</v>
      </c>
      <c r="AJ31" s="3">
        <f t="shared" si="11"/>
        <v>94</v>
      </c>
      <c r="AK31" s="3" t="s">
        <v>60</v>
      </c>
      <c r="AL31" s="3">
        <v>1</v>
      </c>
      <c r="AM31" s="3">
        <f t="shared" si="12"/>
        <v>95</v>
      </c>
      <c r="AN31" s="3">
        <v>4</v>
      </c>
      <c r="AO31" s="3">
        <f t="shared" si="13"/>
        <v>99</v>
      </c>
      <c r="AP31" s="3">
        <v>6</v>
      </c>
      <c r="AQ31" s="3">
        <f t="shared" si="14"/>
        <v>105</v>
      </c>
      <c r="AR31" s="3">
        <f t="shared" si="15"/>
        <v>112</v>
      </c>
      <c r="AS31" s="3">
        <f t="shared" si="16"/>
        <v>119</v>
      </c>
      <c r="AT31" s="3">
        <v>0</v>
      </c>
      <c r="AU31" s="3">
        <f t="shared" si="17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x14ac:dyDescent="0.3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"/>
        <v>0</v>
      </c>
      <c r="P32" s="3">
        <f t="shared" si="19"/>
        <v>0</v>
      </c>
      <c r="Q32" s="3">
        <f t="shared" si="3"/>
        <v>0</v>
      </c>
      <c r="R32" s="3">
        <f t="shared" si="4"/>
        <v>23</v>
      </c>
      <c r="S32" s="3">
        <v>7</v>
      </c>
      <c r="T32" s="3">
        <f t="shared" si="5"/>
        <v>29</v>
      </c>
      <c r="U32" s="3">
        <f t="shared" si="6"/>
        <v>30</v>
      </c>
      <c r="V32" s="3">
        <v>1</v>
      </c>
      <c r="W32" s="3">
        <f t="shared" si="7"/>
        <v>30</v>
      </c>
      <c r="X32" s="3">
        <v>3</v>
      </c>
      <c r="Y32" s="3">
        <f t="shared" ref="Y32:Y51" si="20">+ROUNDDOWN(W32/7,0)*7+X32</f>
        <v>31</v>
      </c>
      <c r="Z32" s="6">
        <f t="shared" ref="Z32:Z35" si="21">+Y32+X32-1</f>
        <v>33</v>
      </c>
      <c r="AA32" s="6">
        <f t="shared" si="18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9"/>
        <v>83</v>
      </c>
      <c r="AG32" s="6">
        <v>3</v>
      </c>
      <c r="AH32" s="6">
        <f t="shared" si="10"/>
        <v>86</v>
      </c>
      <c r="AI32" s="3">
        <v>7</v>
      </c>
      <c r="AJ32" s="3">
        <f t="shared" si="11"/>
        <v>93</v>
      </c>
      <c r="AK32" s="3" t="s">
        <v>60</v>
      </c>
      <c r="AL32" s="3">
        <v>3</v>
      </c>
      <c r="AM32" s="3">
        <f t="shared" si="12"/>
        <v>96</v>
      </c>
      <c r="AN32" s="3">
        <v>1</v>
      </c>
      <c r="AO32" s="3">
        <f t="shared" si="13"/>
        <v>97</v>
      </c>
      <c r="AP32" s="3">
        <v>1</v>
      </c>
      <c r="AQ32" s="3">
        <f t="shared" si="14"/>
        <v>98</v>
      </c>
      <c r="AR32" s="3">
        <f t="shared" si="15"/>
        <v>105</v>
      </c>
      <c r="AS32" s="3">
        <f t="shared" si="16"/>
        <v>112</v>
      </c>
      <c r="AT32" s="3">
        <v>0</v>
      </c>
      <c r="AU32" s="3">
        <f t="shared" si="17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x14ac:dyDescent="0.3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ref="O33:O51" si="22">IF(I33="SFK Freight Forwarder",M33,M33+N33-1)</f>
        <v>0</v>
      </c>
      <c r="P33" s="3">
        <f t="shared" si="19"/>
        <v>0</v>
      </c>
      <c r="Q33" s="3">
        <f t="shared" ref="Q33:Q51" si="23">+IF(I33="SFK Freight Forwarder",O33,O33+P33-1)</f>
        <v>0</v>
      </c>
      <c r="R33" s="3">
        <f t="shared" si="4"/>
        <v>23</v>
      </c>
      <c r="S33" s="3">
        <v>7</v>
      </c>
      <c r="T33" s="3">
        <f t="shared" ref="T33:T51" si="24">+R33+S33-1</f>
        <v>29</v>
      </c>
      <c r="U33" s="3">
        <f t="shared" si="6"/>
        <v>30</v>
      </c>
      <c r="V33" s="3">
        <v>1</v>
      </c>
      <c r="W33" s="3">
        <f t="shared" ref="W33:W51" si="25">+U33+V33-1</f>
        <v>30</v>
      </c>
      <c r="X33" s="3">
        <v>0</v>
      </c>
      <c r="Y33" s="3">
        <v>31</v>
      </c>
      <c r="Z33" s="6">
        <v>36</v>
      </c>
      <c r="AA33" s="6">
        <f t="shared" si="18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ref="AF33:AF51" si="26">+AE33+AA33-1</f>
        <v>89</v>
      </c>
      <c r="AG33" s="6">
        <v>3</v>
      </c>
      <c r="AH33" s="6">
        <f t="shared" ref="AH33:AH51" si="27">+AF33+AG33</f>
        <v>92</v>
      </c>
      <c r="AI33" s="3">
        <v>0</v>
      </c>
      <c r="AJ33" s="3">
        <f t="shared" ref="AJ33:AJ51" si="28">+AI33+AH33</f>
        <v>92</v>
      </c>
      <c r="AK33" s="3" t="s">
        <v>60</v>
      </c>
      <c r="AL33" s="3">
        <v>2</v>
      </c>
      <c r="AM33" s="3">
        <f t="shared" ref="AM33:AM51" si="29">+AJ33+AL33</f>
        <v>94</v>
      </c>
      <c r="AN33" s="3">
        <v>2</v>
      </c>
      <c r="AO33" s="3">
        <f t="shared" ref="AO33:AO51" si="30">+AM33+AN33</f>
        <v>96</v>
      </c>
      <c r="AP33" s="3">
        <v>2</v>
      </c>
      <c r="AQ33" s="3">
        <f t="shared" ref="AQ33:AQ51" si="31">+AO33+AP33</f>
        <v>98</v>
      </c>
      <c r="AR33" s="3">
        <f t="shared" ref="AR33:AR51" si="32">+AQ33+7</f>
        <v>105</v>
      </c>
      <c r="AS33" s="3">
        <f t="shared" ref="AS33:AS51" si="33">+AR33+7+AT33</f>
        <v>112</v>
      </c>
      <c r="AT33" s="3">
        <v>0</v>
      </c>
      <c r="AU33" s="3">
        <f t="shared" ref="AU33:AU51" si="34">+AA33-R33</f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x14ac:dyDescent="0.3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22"/>
        <v>0</v>
      </c>
      <c r="P34" s="3">
        <f t="shared" si="19"/>
        <v>0</v>
      </c>
      <c r="Q34" s="3">
        <f t="shared" si="23"/>
        <v>0</v>
      </c>
      <c r="R34" s="3">
        <f t="shared" si="4"/>
        <v>23</v>
      </c>
      <c r="S34" s="3">
        <v>7</v>
      </c>
      <c r="T34" s="3">
        <f t="shared" si="24"/>
        <v>29</v>
      </c>
      <c r="U34" s="3">
        <f t="shared" si="6"/>
        <v>30</v>
      </c>
      <c r="V34" s="3">
        <v>1</v>
      </c>
      <c r="W34" s="3">
        <f t="shared" si="25"/>
        <v>30</v>
      </c>
      <c r="X34" s="3">
        <v>0</v>
      </c>
      <c r="Y34" s="3">
        <v>31</v>
      </c>
      <c r="Z34" s="6">
        <v>33</v>
      </c>
      <c r="AA34" s="6">
        <f t="shared" si="18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si="26"/>
        <v>98</v>
      </c>
      <c r="AG34" s="6">
        <v>3</v>
      </c>
      <c r="AH34" s="6">
        <f t="shared" si="27"/>
        <v>101</v>
      </c>
      <c r="AI34" s="3">
        <v>0</v>
      </c>
      <c r="AJ34" s="3">
        <f t="shared" si="28"/>
        <v>101</v>
      </c>
      <c r="AK34" s="3" t="s">
        <v>60</v>
      </c>
      <c r="AL34" s="3">
        <v>4</v>
      </c>
      <c r="AM34" s="3">
        <f t="shared" si="29"/>
        <v>105</v>
      </c>
      <c r="AN34" s="3">
        <v>3</v>
      </c>
      <c r="AO34" s="3">
        <f t="shared" si="30"/>
        <v>108</v>
      </c>
      <c r="AP34" s="3">
        <v>4</v>
      </c>
      <c r="AQ34" s="3">
        <f t="shared" si="31"/>
        <v>112</v>
      </c>
      <c r="AR34" s="3">
        <f t="shared" si="32"/>
        <v>119</v>
      </c>
      <c r="AS34" s="3">
        <f t="shared" si="33"/>
        <v>126</v>
      </c>
      <c r="AT34" s="3">
        <v>0</v>
      </c>
      <c r="AU34" s="3">
        <f t="shared" si="34"/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x14ac:dyDescent="0.3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22"/>
        <v>0</v>
      </c>
      <c r="P35" s="3">
        <f t="shared" si="19"/>
        <v>0</v>
      </c>
      <c r="Q35" s="3">
        <f t="shared" si="23"/>
        <v>0</v>
      </c>
      <c r="R35" s="3">
        <f t="shared" si="4"/>
        <v>23</v>
      </c>
      <c r="S35" s="3">
        <v>7</v>
      </c>
      <c r="T35" s="3">
        <f t="shared" si="24"/>
        <v>29</v>
      </c>
      <c r="U35" s="3">
        <f t="shared" si="6"/>
        <v>30</v>
      </c>
      <c r="V35" s="3">
        <v>1</v>
      </c>
      <c r="W35" s="3">
        <f t="shared" si="25"/>
        <v>30</v>
      </c>
      <c r="X35" s="3">
        <v>3</v>
      </c>
      <c r="Y35" s="3">
        <v>31</v>
      </c>
      <c r="Z35" s="6">
        <f t="shared" si="21"/>
        <v>33</v>
      </c>
      <c r="AA35" s="6">
        <f t="shared" si="18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6"/>
        <v>84</v>
      </c>
      <c r="AG35" s="6">
        <v>3</v>
      </c>
      <c r="AH35" s="6">
        <f t="shared" si="27"/>
        <v>87</v>
      </c>
      <c r="AI35" s="3">
        <v>14</v>
      </c>
      <c r="AJ35" s="3">
        <f t="shared" si="28"/>
        <v>101</v>
      </c>
      <c r="AK35" s="3" t="s">
        <v>60</v>
      </c>
      <c r="AL35" s="3">
        <v>2</v>
      </c>
      <c r="AM35" s="3">
        <f t="shared" si="29"/>
        <v>103</v>
      </c>
      <c r="AN35" s="3">
        <v>2</v>
      </c>
      <c r="AO35" s="3">
        <f t="shared" si="30"/>
        <v>105</v>
      </c>
      <c r="AP35" s="3">
        <v>0</v>
      </c>
      <c r="AQ35" s="3">
        <f t="shared" si="31"/>
        <v>105</v>
      </c>
      <c r="AR35" s="3">
        <f t="shared" si="32"/>
        <v>112</v>
      </c>
      <c r="AS35" s="3">
        <f t="shared" si="33"/>
        <v>119</v>
      </c>
      <c r="AT35" s="3">
        <v>0</v>
      </c>
      <c r="AU35" s="3">
        <f t="shared" si="34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x14ac:dyDescent="0.3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22"/>
        <v>0</v>
      </c>
      <c r="P36" s="3">
        <f t="shared" si="19"/>
        <v>0</v>
      </c>
      <c r="Q36" s="3">
        <f t="shared" si="23"/>
        <v>0</v>
      </c>
      <c r="R36" s="3">
        <f t="shared" si="4"/>
        <v>23</v>
      </c>
      <c r="S36" s="3">
        <v>7</v>
      </c>
      <c r="T36" s="3">
        <f t="shared" si="24"/>
        <v>29</v>
      </c>
      <c r="U36" s="3">
        <f t="shared" si="6"/>
        <v>30</v>
      </c>
      <c r="V36" s="3">
        <v>2</v>
      </c>
      <c r="W36" s="3">
        <f t="shared" si="25"/>
        <v>31</v>
      </c>
      <c r="X36" s="3">
        <v>0</v>
      </c>
      <c r="Y36" s="3">
        <v>33</v>
      </c>
      <c r="Z36" s="6">
        <v>39</v>
      </c>
      <c r="AA36" s="6">
        <f t="shared" si="18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6"/>
        <v>60</v>
      </c>
      <c r="AG36" s="6">
        <v>3</v>
      </c>
      <c r="AH36" s="6">
        <f t="shared" si="27"/>
        <v>63</v>
      </c>
      <c r="AI36" s="3">
        <v>0</v>
      </c>
      <c r="AJ36" s="3">
        <f t="shared" si="28"/>
        <v>63</v>
      </c>
      <c r="AK36" s="3" t="s">
        <v>60</v>
      </c>
      <c r="AL36" s="3">
        <v>0</v>
      </c>
      <c r="AM36" s="3">
        <f t="shared" si="29"/>
        <v>63</v>
      </c>
      <c r="AN36" s="3">
        <v>0</v>
      </c>
      <c r="AO36" s="3">
        <f t="shared" si="30"/>
        <v>63</v>
      </c>
      <c r="AP36" s="3">
        <v>0</v>
      </c>
      <c r="AQ36" s="3">
        <f t="shared" si="31"/>
        <v>63</v>
      </c>
      <c r="AR36" s="3">
        <f t="shared" si="32"/>
        <v>70</v>
      </c>
      <c r="AS36" s="3">
        <f t="shared" si="33"/>
        <v>77</v>
      </c>
      <c r="AT36" s="3">
        <v>0</v>
      </c>
      <c r="AU36" s="3">
        <f t="shared" si="34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x14ac:dyDescent="0.3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22"/>
        <v>0</v>
      </c>
      <c r="P37" s="3">
        <f t="shared" si="19"/>
        <v>0</v>
      </c>
      <c r="Q37" s="3">
        <f t="shared" si="23"/>
        <v>0</v>
      </c>
      <c r="R37" s="3">
        <f t="shared" si="4"/>
        <v>23</v>
      </c>
      <c r="S37" s="3">
        <v>7</v>
      </c>
      <c r="T37" s="3">
        <f t="shared" si="24"/>
        <v>29</v>
      </c>
      <c r="U37" s="3">
        <f t="shared" si="6"/>
        <v>30</v>
      </c>
      <c r="V37" s="3">
        <v>2</v>
      </c>
      <c r="W37" s="3">
        <f t="shared" si="25"/>
        <v>31</v>
      </c>
      <c r="X37" s="3">
        <v>0</v>
      </c>
      <c r="Y37" s="3">
        <v>33</v>
      </c>
      <c r="Z37" s="6">
        <v>39</v>
      </c>
      <c r="AA37" s="6">
        <f t="shared" si="18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6"/>
        <v>77</v>
      </c>
      <c r="AG37" s="6">
        <v>3</v>
      </c>
      <c r="AH37" s="6">
        <f t="shared" si="27"/>
        <v>80</v>
      </c>
      <c r="AI37" s="3">
        <v>0</v>
      </c>
      <c r="AJ37" s="3">
        <f t="shared" si="28"/>
        <v>80</v>
      </c>
      <c r="AK37" s="3" t="s">
        <v>60</v>
      </c>
      <c r="AL37" s="3">
        <v>2</v>
      </c>
      <c r="AM37" s="3">
        <f t="shared" si="29"/>
        <v>82</v>
      </c>
      <c r="AN37" s="3">
        <v>2</v>
      </c>
      <c r="AO37" s="3">
        <f t="shared" si="30"/>
        <v>84</v>
      </c>
      <c r="AP37" s="3">
        <v>0</v>
      </c>
      <c r="AQ37" s="3">
        <f t="shared" si="31"/>
        <v>84</v>
      </c>
      <c r="AR37" s="3">
        <f t="shared" si="32"/>
        <v>91</v>
      </c>
      <c r="AS37" s="3">
        <f t="shared" si="33"/>
        <v>98</v>
      </c>
      <c r="AT37" s="3">
        <v>0</v>
      </c>
      <c r="AU37" s="3">
        <f t="shared" si="34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x14ac:dyDescent="0.3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22"/>
        <v>0</v>
      </c>
      <c r="P38" s="3">
        <f t="shared" si="19"/>
        <v>0</v>
      </c>
      <c r="Q38" s="3">
        <f t="shared" si="23"/>
        <v>0</v>
      </c>
      <c r="R38" s="3">
        <f t="shared" si="4"/>
        <v>23</v>
      </c>
      <c r="S38" s="3">
        <v>7</v>
      </c>
      <c r="T38" s="3">
        <f t="shared" si="24"/>
        <v>29</v>
      </c>
      <c r="U38" s="3">
        <f t="shared" si="6"/>
        <v>30</v>
      </c>
      <c r="V38" s="3">
        <v>1</v>
      </c>
      <c r="W38" s="3">
        <f t="shared" si="25"/>
        <v>30</v>
      </c>
      <c r="X38" s="3">
        <v>0</v>
      </c>
      <c r="Y38" s="3">
        <v>31</v>
      </c>
      <c r="Z38" s="6">
        <v>33</v>
      </c>
      <c r="AA38" s="6">
        <f t="shared" si="18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6"/>
        <v>87</v>
      </c>
      <c r="AG38" s="6">
        <v>3</v>
      </c>
      <c r="AH38" s="6">
        <f t="shared" si="27"/>
        <v>90</v>
      </c>
      <c r="AI38" s="3">
        <v>0</v>
      </c>
      <c r="AJ38" s="3">
        <f t="shared" si="28"/>
        <v>90</v>
      </c>
      <c r="AK38" s="3" t="s">
        <v>60</v>
      </c>
      <c r="AL38" s="3">
        <v>2</v>
      </c>
      <c r="AM38" s="3">
        <f t="shared" si="29"/>
        <v>92</v>
      </c>
      <c r="AN38" s="3">
        <v>6</v>
      </c>
      <c r="AO38" s="3">
        <f t="shared" si="30"/>
        <v>98</v>
      </c>
      <c r="AP38" s="3">
        <v>0</v>
      </c>
      <c r="AQ38" s="3">
        <f t="shared" si="31"/>
        <v>98</v>
      </c>
      <c r="AR38" s="3">
        <f t="shared" si="32"/>
        <v>105</v>
      </c>
      <c r="AS38" s="3">
        <f t="shared" si="33"/>
        <v>112</v>
      </c>
      <c r="AT38" s="3">
        <v>0</v>
      </c>
      <c r="AU38" s="3">
        <f t="shared" si="34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x14ac:dyDescent="0.3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22"/>
        <v>0</v>
      </c>
      <c r="P39" s="3">
        <f t="shared" si="19"/>
        <v>0</v>
      </c>
      <c r="Q39" s="3">
        <f t="shared" si="23"/>
        <v>0</v>
      </c>
      <c r="R39" s="3">
        <f t="shared" si="4"/>
        <v>23</v>
      </c>
      <c r="S39" s="3">
        <v>7</v>
      </c>
      <c r="T39" s="3">
        <f t="shared" si="24"/>
        <v>29</v>
      </c>
      <c r="U39" s="3">
        <f t="shared" si="6"/>
        <v>30</v>
      </c>
      <c r="V39" s="3">
        <v>2</v>
      </c>
      <c r="W39" s="3">
        <f t="shared" si="25"/>
        <v>31</v>
      </c>
      <c r="X39" s="3">
        <v>0</v>
      </c>
      <c r="Y39" s="3">
        <v>33</v>
      </c>
      <c r="Z39" s="6">
        <v>34</v>
      </c>
      <c r="AA39" s="6">
        <f t="shared" si="18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6"/>
        <v>66</v>
      </c>
      <c r="AG39" s="6">
        <v>3</v>
      </c>
      <c r="AH39" s="6">
        <f t="shared" si="27"/>
        <v>69</v>
      </c>
      <c r="AI39" s="3">
        <v>0</v>
      </c>
      <c r="AJ39" s="3">
        <f t="shared" si="28"/>
        <v>69</v>
      </c>
      <c r="AK39" s="3" t="s">
        <v>60</v>
      </c>
      <c r="AL39" s="3">
        <v>2</v>
      </c>
      <c r="AM39" s="3">
        <f t="shared" si="29"/>
        <v>71</v>
      </c>
      <c r="AN39" s="3">
        <v>5</v>
      </c>
      <c r="AO39" s="3">
        <f t="shared" si="30"/>
        <v>76</v>
      </c>
      <c r="AP39" s="3">
        <v>1</v>
      </c>
      <c r="AQ39" s="3">
        <f t="shared" si="31"/>
        <v>77</v>
      </c>
      <c r="AR39" s="3">
        <f t="shared" si="32"/>
        <v>84</v>
      </c>
      <c r="AS39" s="3">
        <f t="shared" si="33"/>
        <v>91</v>
      </c>
      <c r="AT39" s="3">
        <v>0</v>
      </c>
      <c r="AU39" s="3">
        <f t="shared" si="34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x14ac:dyDescent="0.3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22"/>
        <v>0</v>
      </c>
      <c r="P40" s="3">
        <f t="shared" si="19"/>
        <v>0</v>
      </c>
      <c r="Q40" s="3">
        <f t="shared" si="23"/>
        <v>0</v>
      </c>
      <c r="R40" s="3">
        <f t="shared" si="4"/>
        <v>23</v>
      </c>
      <c r="S40" s="3">
        <v>7</v>
      </c>
      <c r="T40" s="3">
        <f t="shared" si="24"/>
        <v>29</v>
      </c>
      <c r="U40" s="3">
        <f t="shared" si="6"/>
        <v>30</v>
      </c>
      <c r="V40" s="3">
        <v>1</v>
      </c>
      <c r="W40" s="3">
        <f t="shared" si="25"/>
        <v>30</v>
      </c>
      <c r="X40" s="3">
        <v>0</v>
      </c>
      <c r="Y40" s="3">
        <v>31</v>
      </c>
      <c r="Z40" s="6">
        <v>33</v>
      </c>
      <c r="AA40" s="6">
        <f t="shared" si="18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6"/>
        <v>102</v>
      </c>
      <c r="AG40" s="6">
        <v>3</v>
      </c>
      <c r="AH40" s="6">
        <f t="shared" si="27"/>
        <v>105</v>
      </c>
      <c r="AI40" s="3">
        <v>7</v>
      </c>
      <c r="AJ40" s="3">
        <f t="shared" si="28"/>
        <v>112</v>
      </c>
      <c r="AK40" s="3" t="s">
        <v>60</v>
      </c>
      <c r="AL40" s="3">
        <v>3</v>
      </c>
      <c r="AM40" s="3">
        <f t="shared" si="29"/>
        <v>115</v>
      </c>
      <c r="AN40" s="3">
        <v>3</v>
      </c>
      <c r="AO40" s="3">
        <f t="shared" si="30"/>
        <v>118</v>
      </c>
      <c r="AP40" s="3">
        <v>1</v>
      </c>
      <c r="AQ40" s="3">
        <f t="shared" si="31"/>
        <v>119</v>
      </c>
      <c r="AR40" s="3">
        <f t="shared" si="32"/>
        <v>126</v>
      </c>
      <c r="AS40" s="3">
        <f t="shared" si="33"/>
        <v>133</v>
      </c>
      <c r="AT40" s="3">
        <v>0</v>
      </c>
      <c r="AU40" s="3">
        <f t="shared" si="34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x14ac:dyDescent="0.35">
      <c r="A41" s="5">
        <v>1040</v>
      </c>
      <c r="B41" s="33" t="s">
        <v>73</v>
      </c>
      <c r="C41" s="6" t="s">
        <v>90</v>
      </c>
      <c r="D41" s="6" t="s">
        <v>74</v>
      </c>
      <c r="E41" s="6" t="s">
        <v>85</v>
      </c>
      <c r="F41" s="19">
        <v>26549502</v>
      </c>
      <c r="G41" s="5" t="s">
        <v>48</v>
      </c>
      <c r="H41" s="2">
        <v>0</v>
      </c>
      <c r="I41" s="4" t="s">
        <v>26</v>
      </c>
      <c r="J41" s="2">
        <v>119640</v>
      </c>
      <c r="K41" s="4" t="s">
        <v>41</v>
      </c>
      <c r="L41" s="3">
        <v>7</v>
      </c>
      <c r="M41" s="3">
        <v>0</v>
      </c>
      <c r="N41" s="3">
        <v>14</v>
      </c>
      <c r="O41" s="3">
        <f t="shared" si="22"/>
        <v>0</v>
      </c>
      <c r="P41" s="3">
        <f t="shared" si="19"/>
        <v>0</v>
      </c>
      <c r="Q41" s="3">
        <f t="shared" si="23"/>
        <v>0</v>
      </c>
      <c r="R41" s="3">
        <f t="shared" si="4"/>
        <v>23</v>
      </c>
      <c r="S41" s="3">
        <v>7</v>
      </c>
      <c r="T41" s="3">
        <f t="shared" si="24"/>
        <v>29</v>
      </c>
      <c r="U41" s="3">
        <f t="shared" si="6"/>
        <v>30</v>
      </c>
      <c r="V41" s="3">
        <v>1</v>
      </c>
      <c r="W41" s="3">
        <f t="shared" si="25"/>
        <v>30</v>
      </c>
      <c r="X41" s="3">
        <v>0</v>
      </c>
      <c r="Y41" s="3">
        <v>31</v>
      </c>
      <c r="Z41" s="6">
        <v>33</v>
      </c>
      <c r="AA41" s="6">
        <f t="shared" si="18"/>
        <v>36</v>
      </c>
      <c r="AB41" s="3">
        <v>4</v>
      </c>
      <c r="AC41" s="3">
        <v>11</v>
      </c>
      <c r="AD41" s="3">
        <v>11</v>
      </c>
      <c r="AE41" s="3">
        <v>32</v>
      </c>
      <c r="AF41" s="3">
        <f t="shared" si="26"/>
        <v>67</v>
      </c>
      <c r="AG41" s="6">
        <v>3</v>
      </c>
      <c r="AH41" s="6">
        <f t="shared" si="27"/>
        <v>70</v>
      </c>
      <c r="AI41" s="3">
        <v>0</v>
      </c>
      <c r="AJ41" s="3">
        <f t="shared" si="28"/>
        <v>70</v>
      </c>
      <c r="AK41" s="3" t="s">
        <v>60</v>
      </c>
      <c r="AL41" s="3">
        <v>4</v>
      </c>
      <c r="AM41" s="3">
        <f t="shared" si="29"/>
        <v>74</v>
      </c>
      <c r="AN41" s="3">
        <v>3</v>
      </c>
      <c r="AO41" s="3">
        <f t="shared" si="30"/>
        <v>77</v>
      </c>
      <c r="AP41" s="3">
        <v>0</v>
      </c>
      <c r="AQ41" s="3">
        <f t="shared" si="31"/>
        <v>77</v>
      </c>
      <c r="AR41" s="3">
        <f t="shared" si="32"/>
        <v>84</v>
      </c>
      <c r="AS41" s="3">
        <f t="shared" si="33"/>
        <v>91</v>
      </c>
      <c r="AT41" s="3">
        <v>0</v>
      </c>
      <c r="AU41" s="3">
        <f t="shared" si="34"/>
        <v>13</v>
      </c>
      <c r="AV41" s="3" t="s">
        <v>132</v>
      </c>
      <c r="AW41" s="3" t="s">
        <v>131</v>
      </c>
      <c r="AX41" s="20" t="s">
        <v>75</v>
      </c>
      <c r="AY41" s="40">
        <v>46507</v>
      </c>
    </row>
    <row r="42" spans="1:51" x14ac:dyDescent="0.35">
      <c r="A42" s="5">
        <v>1045</v>
      </c>
      <c r="B42" s="33" t="s">
        <v>61</v>
      </c>
      <c r="C42" s="6" t="s">
        <v>68</v>
      </c>
      <c r="D42" s="6" t="s">
        <v>64</v>
      </c>
      <c r="E42" s="6" t="s">
        <v>81</v>
      </c>
      <c r="F42" s="19">
        <v>90014400</v>
      </c>
      <c r="G42" s="5" t="s">
        <v>155</v>
      </c>
      <c r="H42" s="2">
        <v>222222</v>
      </c>
      <c r="I42" s="4" t="s">
        <v>46</v>
      </c>
      <c r="J42" s="2">
        <v>222222</v>
      </c>
      <c r="K42" s="4" t="s">
        <v>46</v>
      </c>
      <c r="L42" s="3">
        <v>2</v>
      </c>
      <c r="M42" s="3">
        <f t="shared" ref="M42:M51" si="35">+IF(I42="SFK Freight Forwarder",L42,9)</f>
        <v>9</v>
      </c>
      <c r="N42" s="3">
        <v>21</v>
      </c>
      <c r="O42" s="3">
        <f t="shared" si="22"/>
        <v>29</v>
      </c>
      <c r="P42" s="3">
        <f t="shared" si="19"/>
        <v>5</v>
      </c>
      <c r="Q42" s="3">
        <f t="shared" si="23"/>
        <v>33</v>
      </c>
      <c r="R42" s="3">
        <f t="shared" si="4"/>
        <v>30</v>
      </c>
      <c r="S42" s="3">
        <v>7</v>
      </c>
      <c r="T42" s="3">
        <f t="shared" si="24"/>
        <v>36</v>
      </c>
      <c r="U42" s="3">
        <f t="shared" si="6"/>
        <v>37</v>
      </c>
      <c r="V42" s="3">
        <v>1</v>
      </c>
      <c r="W42" s="3">
        <f t="shared" si="25"/>
        <v>37</v>
      </c>
      <c r="X42" s="3">
        <v>0</v>
      </c>
      <c r="Y42" s="3">
        <v>37</v>
      </c>
      <c r="Z42" s="6">
        <v>37</v>
      </c>
      <c r="AA42" s="6">
        <f t="shared" si="18"/>
        <v>39</v>
      </c>
      <c r="AB42" s="3">
        <v>3</v>
      </c>
      <c r="AC42" s="3">
        <v>5</v>
      </c>
      <c r="AD42" s="3">
        <v>5</v>
      </c>
      <c r="AE42" s="3">
        <v>46</v>
      </c>
      <c r="AF42" s="3">
        <f t="shared" si="26"/>
        <v>84</v>
      </c>
      <c r="AG42" s="6">
        <v>3</v>
      </c>
      <c r="AH42" s="6">
        <f t="shared" si="27"/>
        <v>87</v>
      </c>
      <c r="AI42" s="3">
        <v>7</v>
      </c>
      <c r="AJ42" s="3">
        <f t="shared" si="28"/>
        <v>94</v>
      </c>
      <c r="AK42" s="3" t="s">
        <v>55</v>
      </c>
      <c r="AL42" s="3">
        <v>4</v>
      </c>
      <c r="AM42" s="3">
        <f t="shared" si="29"/>
        <v>98</v>
      </c>
      <c r="AN42" s="3">
        <v>3</v>
      </c>
      <c r="AO42" s="3">
        <f t="shared" si="30"/>
        <v>101</v>
      </c>
      <c r="AP42" s="3">
        <v>4</v>
      </c>
      <c r="AQ42" s="3">
        <f t="shared" si="31"/>
        <v>105</v>
      </c>
      <c r="AR42" s="3">
        <f t="shared" si="32"/>
        <v>112</v>
      </c>
      <c r="AS42" s="3">
        <f t="shared" si="33"/>
        <v>119</v>
      </c>
      <c r="AT42" s="3">
        <v>0</v>
      </c>
      <c r="AU42" s="3">
        <f t="shared" si="34"/>
        <v>9</v>
      </c>
      <c r="AV42" s="3" t="s">
        <v>130</v>
      </c>
      <c r="AW42" s="3" t="s">
        <v>131</v>
      </c>
      <c r="AX42" s="20" t="s">
        <v>88</v>
      </c>
      <c r="AY42" s="21">
        <v>46507</v>
      </c>
    </row>
    <row r="43" spans="1:51" x14ac:dyDescent="0.35">
      <c r="A43" s="5">
        <v>1084</v>
      </c>
      <c r="B43" s="33" t="s">
        <v>67</v>
      </c>
      <c r="C43" s="6" t="s">
        <v>100</v>
      </c>
      <c r="D43" s="6" t="s">
        <v>62</v>
      </c>
      <c r="E43" s="6" t="s">
        <v>170</v>
      </c>
      <c r="F43" s="19">
        <v>90018600</v>
      </c>
      <c r="G43" s="5" t="s">
        <v>156</v>
      </c>
      <c r="H43" s="2">
        <v>333333</v>
      </c>
      <c r="I43" s="4" t="s">
        <v>49</v>
      </c>
      <c r="J43" s="2">
        <v>333333</v>
      </c>
      <c r="K43" s="4" t="s">
        <v>49</v>
      </c>
      <c r="L43" s="3">
        <v>7</v>
      </c>
      <c r="M43" s="3">
        <f t="shared" si="35"/>
        <v>9</v>
      </c>
      <c r="N43" s="3">
        <v>14</v>
      </c>
      <c r="O43" s="3">
        <f t="shared" si="22"/>
        <v>22</v>
      </c>
      <c r="P43" s="3">
        <f t="shared" si="19"/>
        <v>5</v>
      </c>
      <c r="Q43" s="3">
        <f t="shared" si="23"/>
        <v>26</v>
      </c>
      <c r="R43" s="3">
        <f t="shared" si="4"/>
        <v>23</v>
      </c>
      <c r="S43" s="3">
        <v>7</v>
      </c>
      <c r="T43" s="3">
        <f t="shared" si="24"/>
        <v>29</v>
      </c>
      <c r="U43" s="3">
        <f t="shared" si="6"/>
        <v>30</v>
      </c>
      <c r="V43" s="3">
        <v>2</v>
      </c>
      <c r="W43" s="3">
        <f t="shared" si="25"/>
        <v>31</v>
      </c>
      <c r="X43" s="3">
        <v>0</v>
      </c>
      <c r="Y43" s="3">
        <v>36</v>
      </c>
      <c r="Z43" s="6">
        <v>39</v>
      </c>
      <c r="AA43" s="6">
        <f t="shared" si="18"/>
        <v>41</v>
      </c>
      <c r="AB43" s="3">
        <v>3</v>
      </c>
      <c r="AC43" s="3">
        <v>5</v>
      </c>
      <c r="AD43" s="3">
        <v>5</v>
      </c>
      <c r="AE43" s="3">
        <v>35</v>
      </c>
      <c r="AF43" s="3">
        <f t="shared" si="26"/>
        <v>75</v>
      </c>
      <c r="AG43" s="6">
        <v>3</v>
      </c>
      <c r="AH43" s="6">
        <f t="shared" si="27"/>
        <v>78</v>
      </c>
      <c r="AI43" s="3">
        <v>0</v>
      </c>
      <c r="AJ43" s="3">
        <f t="shared" si="28"/>
        <v>78</v>
      </c>
      <c r="AK43" s="3" t="s">
        <v>65</v>
      </c>
      <c r="AL43" s="3">
        <v>2</v>
      </c>
      <c r="AM43" s="3">
        <f t="shared" si="29"/>
        <v>80</v>
      </c>
      <c r="AN43" s="3">
        <v>2</v>
      </c>
      <c r="AO43" s="3">
        <f t="shared" si="30"/>
        <v>82</v>
      </c>
      <c r="AP43" s="3">
        <v>2</v>
      </c>
      <c r="AQ43" s="3">
        <f t="shared" si="31"/>
        <v>84</v>
      </c>
      <c r="AR43" s="3">
        <f t="shared" si="32"/>
        <v>91</v>
      </c>
      <c r="AS43" s="3">
        <f t="shared" si="33"/>
        <v>98</v>
      </c>
      <c r="AT43" s="3">
        <v>0</v>
      </c>
      <c r="AU43" s="3">
        <f t="shared" si="34"/>
        <v>18</v>
      </c>
      <c r="AV43" s="3" t="s">
        <v>130</v>
      </c>
      <c r="AW43" s="3" t="s">
        <v>134</v>
      </c>
      <c r="AX43" s="20" t="s">
        <v>88</v>
      </c>
      <c r="AY43" s="21">
        <v>46507</v>
      </c>
    </row>
    <row r="44" spans="1:51" x14ac:dyDescent="0.35">
      <c r="A44" s="5" t="s">
        <v>138</v>
      </c>
      <c r="B44" s="5" t="s">
        <v>135</v>
      </c>
      <c r="C44" s="5" t="s">
        <v>68</v>
      </c>
      <c r="D44" s="5" t="s">
        <v>136</v>
      </c>
      <c r="E44" s="32" t="s">
        <v>81</v>
      </c>
      <c r="F44" s="19">
        <v>90016500</v>
      </c>
      <c r="G44" s="23" t="s">
        <v>158</v>
      </c>
      <c r="H44" s="2">
        <v>0</v>
      </c>
      <c r="I44" s="4" t="s">
        <v>139</v>
      </c>
      <c r="J44" s="2">
        <v>29159</v>
      </c>
      <c r="K44" s="23" t="s">
        <v>137</v>
      </c>
      <c r="L44" s="3">
        <v>5</v>
      </c>
      <c r="M44" s="3">
        <v>8</v>
      </c>
      <c r="N44" s="23">
        <v>1</v>
      </c>
      <c r="O44" s="3">
        <f t="shared" si="22"/>
        <v>8</v>
      </c>
      <c r="P44" s="3">
        <v>6</v>
      </c>
      <c r="Q44" s="3">
        <f t="shared" si="23"/>
        <v>13</v>
      </c>
      <c r="R44" s="23">
        <v>9</v>
      </c>
      <c r="S44" s="23">
        <v>12</v>
      </c>
      <c r="T44" s="23">
        <f t="shared" si="24"/>
        <v>20</v>
      </c>
      <c r="U44" s="23">
        <f>+T44+2</f>
        <v>22</v>
      </c>
      <c r="V44" s="23">
        <v>5</v>
      </c>
      <c r="W44" s="23">
        <f t="shared" si="25"/>
        <v>26</v>
      </c>
      <c r="X44" s="23">
        <v>0</v>
      </c>
      <c r="Y44" s="3">
        <v>29</v>
      </c>
      <c r="Z44" s="6">
        <v>29</v>
      </c>
      <c r="AA44" s="6">
        <v>31</v>
      </c>
      <c r="AB44" s="23">
        <v>4</v>
      </c>
      <c r="AC44" s="23"/>
      <c r="AD44" s="23"/>
      <c r="AE44" s="33">
        <v>41</v>
      </c>
      <c r="AF44" s="23">
        <f t="shared" si="26"/>
        <v>71</v>
      </c>
      <c r="AG44" s="23">
        <v>3</v>
      </c>
      <c r="AH44" s="23">
        <f t="shared" si="27"/>
        <v>74</v>
      </c>
      <c r="AI44" s="23">
        <v>7</v>
      </c>
      <c r="AJ44" s="23">
        <f t="shared" si="28"/>
        <v>81</v>
      </c>
      <c r="AK44" s="23"/>
      <c r="AL44" s="23">
        <v>3</v>
      </c>
      <c r="AM44" s="23">
        <f t="shared" si="29"/>
        <v>84</v>
      </c>
      <c r="AN44" s="23">
        <v>5</v>
      </c>
      <c r="AO44" s="23">
        <f>+AM44+AN44</f>
        <v>89</v>
      </c>
      <c r="AP44" s="23">
        <v>6</v>
      </c>
      <c r="AQ44" s="3">
        <v>92</v>
      </c>
      <c r="AR44" s="23">
        <f>+AQ44+4</f>
        <v>96</v>
      </c>
      <c r="AS44" s="23">
        <f t="shared" si="33"/>
        <v>117</v>
      </c>
      <c r="AT44" s="23">
        <v>14</v>
      </c>
      <c r="AU44" s="3">
        <f t="shared" si="34"/>
        <v>22</v>
      </c>
      <c r="AV44" s="23" t="s">
        <v>133</v>
      </c>
      <c r="AW44" s="23" t="s">
        <v>131</v>
      </c>
      <c r="AX44" s="20" t="s">
        <v>56</v>
      </c>
      <c r="AY44" s="37">
        <v>46508</v>
      </c>
    </row>
    <row r="45" spans="1:51" x14ac:dyDescent="0.35">
      <c r="A45" s="5" t="s">
        <v>172</v>
      </c>
      <c r="B45" s="5" t="s">
        <v>80</v>
      </c>
      <c r="C45" s="5" t="s">
        <v>68</v>
      </c>
      <c r="D45" s="5" t="s">
        <v>99</v>
      </c>
      <c r="E45" s="32" t="s">
        <v>81</v>
      </c>
      <c r="F45" s="19">
        <v>90016500</v>
      </c>
      <c r="G45" s="23" t="s">
        <v>159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ref="O45" si="36">IF(I45="SFK Freight Forwarder",M45,M45+N45-1)</f>
        <v>8</v>
      </c>
      <c r="P45" s="3">
        <v>6</v>
      </c>
      <c r="Q45" s="3">
        <f t="shared" ref="Q45" si="37">+IF(I45="SFK Freight Forwarder",O45,O45+P45-1)</f>
        <v>13</v>
      </c>
      <c r="R45" s="23">
        <v>9</v>
      </c>
      <c r="S45" s="23">
        <v>12</v>
      </c>
      <c r="T45" s="23">
        <f t="shared" ref="T45" si="38">+R45+S45-1</f>
        <v>20</v>
      </c>
      <c r="U45" s="23">
        <f>+T45+2</f>
        <v>22</v>
      </c>
      <c r="V45" s="23">
        <v>5</v>
      </c>
      <c r="W45" s="23">
        <f t="shared" ref="W45" si="39">+U45+V45-1</f>
        <v>26</v>
      </c>
      <c r="X45" s="23">
        <v>4</v>
      </c>
      <c r="Y45" s="3">
        <v>29</v>
      </c>
      <c r="Z45" s="6">
        <v>34</v>
      </c>
      <c r="AA45" s="6">
        <v>36</v>
      </c>
      <c r="AB45" s="23">
        <v>4</v>
      </c>
      <c r="AC45" s="23"/>
      <c r="AD45" s="23"/>
      <c r="AE45" s="33">
        <v>34</v>
      </c>
      <c r="AF45" s="23">
        <f t="shared" ref="AF45" si="40">+AE45+AA45-1</f>
        <v>69</v>
      </c>
      <c r="AG45" s="23">
        <v>3</v>
      </c>
      <c r="AH45" s="23">
        <f t="shared" ref="AH45" si="41">+AF45+AG45</f>
        <v>72</v>
      </c>
      <c r="AI45" s="23">
        <v>7</v>
      </c>
      <c r="AJ45" s="23">
        <f t="shared" ref="AJ45" si="42">+AI45+AH45</f>
        <v>79</v>
      </c>
      <c r="AK45" s="23"/>
      <c r="AL45" s="23">
        <v>3</v>
      </c>
      <c r="AM45" s="23">
        <f t="shared" ref="AM45" si="43">+AJ45+AL45</f>
        <v>82</v>
      </c>
      <c r="AN45" s="23">
        <v>5</v>
      </c>
      <c r="AO45" s="23">
        <f>+AM45+AN45</f>
        <v>87</v>
      </c>
      <c r="AP45" s="23">
        <v>4</v>
      </c>
      <c r="AQ45" s="3">
        <f t="shared" si="31"/>
        <v>91</v>
      </c>
      <c r="AR45" s="23">
        <f>+AQ45+4</f>
        <v>95</v>
      </c>
      <c r="AS45" s="23">
        <f t="shared" ref="AS45" si="44">+AR45+7+AT45</f>
        <v>116</v>
      </c>
      <c r="AT45" s="23">
        <v>14</v>
      </c>
      <c r="AU45" s="3">
        <f t="shared" ref="AU45" si="45">+AA45-R45</f>
        <v>27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x14ac:dyDescent="0.35">
      <c r="A46" s="5" t="s">
        <v>143</v>
      </c>
      <c r="B46" s="39" t="s">
        <v>67</v>
      </c>
      <c r="C46" s="38" t="s">
        <v>87</v>
      </c>
      <c r="D46" s="38" t="s">
        <v>62</v>
      </c>
      <c r="E46" s="32" t="s">
        <v>59</v>
      </c>
      <c r="F46" s="19">
        <v>90018600</v>
      </c>
      <c r="G46" s="5" t="s">
        <v>156</v>
      </c>
      <c r="H46" s="2">
        <v>0</v>
      </c>
      <c r="I46" s="4" t="s">
        <v>139</v>
      </c>
      <c r="J46" s="2">
        <v>112741</v>
      </c>
      <c r="K46" s="7" t="s">
        <v>38</v>
      </c>
      <c r="L46" s="3">
        <v>7</v>
      </c>
      <c r="M46" s="3">
        <f t="shared" si="35"/>
        <v>9</v>
      </c>
      <c r="N46" s="3">
        <v>14</v>
      </c>
      <c r="O46" s="3">
        <f t="shared" si="22"/>
        <v>22</v>
      </c>
      <c r="P46" s="3">
        <f t="shared" ref="P46:P51" si="46">+IF(I46="SFK Freight Forwarder",0,5)</f>
        <v>5</v>
      </c>
      <c r="Q46" s="3">
        <f t="shared" si="23"/>
        <v>26</v>
      </c>
      <c r="R46" s="3">
        <f t="shared" ref="R46:R51" si="47">9+N46</f>
        <v>23</v>
      </c>
      <c r="S46" s="3">
        <v>7</v>
      </c>
      <c r="T46" s="3">
        <f t="shared" si="24"/>
        <v>29</v>
      </c>
      <c r="U46" s="3">
        <f t="shared" ref="U46:U51" si="48">+T46+1</f>
        <v>30</v>
      </c>
      <c r="V46" s="3">
        <v>2</v>
      </c>
      <c r="W46" s="3">
        <f t="shared" si="25"/>
        <v>31</v>
      </c>
      <c r="X46" s="3">
        <v>3</v>
      </c>
      <c r="Y46" s="3">
        <f t="shared" si="20"/>
        <v>31</v>
      </c>
      <c r="Z46" s="6">
        <f t="shared" ref="Z46:Z50" si="49">+Y46+X46-1</f>
        <v>33</v>
      </c>
      <c r="AA46" s="6">
        <f t="shared" si="18"/>
        <v>34</v>
      </c>
      <c r="AB46" s="3">
        <v>2</v>
      </c>
      <c r="AC46" s="3">
        <v>4</v>
      </c>
      <c r="AD46" s="3">
        <v>11</v>
      </c>
      <c r="AE46" s="3">
        <v>40</v>
      </c>
      <c r="AF46" s="3">
        <f t="shared" si="26"/>
        <v>73</v>
      </c>
      <c r="AG46" s="6">
        <v>3</v>
      </c>
      <c r="AH46" s="6">
        <f t="shared" si="27"/>
        <v>76</v>
      </c>
      <c r="AI46" s="3">
        <v>0</v>
      </c>
      <c r="AJ46" s="3">
        <f t="shared" si="28"/>
        <v>76</v>
      </c>
      <c r="AK46" s="3" t="s">
        <v>60</v>
      </c>
      <c r="AL46" s="3">
        <v>2</v>
      </c>
      <c r="AM46" s="3">
        <f t="shared" si="29"/>
        <v>78</v>
      </c>
      <c r="AN46" s="3">
        <v>2</v>
      </c>
      <c r="AO46" s="3">
        <f t="shared" si="30"/>
        <v>80</v>
      </c>
      <c r="AP46" s="3">
        <v>6</v>
      </c>
      <c r="AQ46" s="3">
        <f t="shared" si="31"/>
        <v>86</v>
      </c>
      <c r="AR46" s="3">
        <f t="shared" si="32"/>
        <v>93</v>
      </c>
      <c r="AS46" s="3">
        <f t="shared" si="33"/>
        <v>100</v>
      </c>
      <c r="AT46" s="3">
        <v>0</v>
      </c>
      <c r="AU46" s="3">
        <f t="shared" si="34"/>
        <v>11</v>
      </c>
      <c r="AV46" s="3" t="s">
        <v>133</v>
      </c>
      <c r="AW46" s="3" t="s">
        <v>131</v>
      </c>
      <c r="AX46" s="20" t="s">
        <v>88</v>
      </c>
      <c r="AY46" s="37">
        <v>46142</v>
      </c>
    </row>
    <row r="47" spans="1:51" x14ac:dyDescent="0.35">
      <c r="A47" s="5" t="s">
        <v>144</v>
      </c>
      <c r="B47" s="39" t="s">
        <v>76</v>
      </c>
      <c r="C47" s="38" t="s">
        <v>98</v>
      </c>
      <c r="D47" s="38" t="s">
        <v>77</v>
      </c>
      <c r="E47" s="38" t="s">
        <v>171</v>
      </c>
      <c r="F47" s="19">
        <v>90012500</v>
      </c>
      <c r="G47" s="5" t="s">
        <v>153</v>
      </c>
      <c r="H47" s="2">
        <v>0</v>
      </c>
      <c r="I47" s="4" t="s">
        <v>139</v>
      </c>
      <c r="J47" s="2">
        <v>29159</v>
      </c>
      <c r="K47" s="4" t="s">
        <v>142</v>
      </c>
      <c r="L47" s="3">
        <v>7</v>
      </c>
      <c r="M47" s="3">
        <f t="shared" si="35"/>
        <v>9</v>
      </c>
      <c r="N47" s="3">
        <v>14</v>
      </c>
      <c r="O47" s="3">
        <f t="shared" si="22"/>
        <v>22</v>
      </c>
      <c r="P47" s="3">
        <f t="shared" si="46"/>
        <v>5</v>
      </c>
      <c r="Q47" s="3">
        <f t="shared" si="23"/>
        <v>26</v>
      </c>
      <c r="R47" s="3">
        <f t="shared" si="47"/>
        <v>23</v>
      </c>
      <c r="S47" s="3">
        <v>7</v>
      </c>
      <c r="T47" s="3">
        <f t="shared" si="24"/>
        <v>29</v>
      </c>
      <c r="U47" s="3">
        <f t="shared" si="48"/>
        <v>30</v>
      </c>
      <c r="V47" s="3">
        <v>2</v>
      </c>
      <c r="W47" s="3">
        <f t="shared" si="25"/>
        <v>31</v>
      </c>
      <c r="X47" s="3">
        <v>0</v>
      </c>
      <c r="Y47" s="3">
        <v>32</v>
      </c>
      <c r="Z47" s="6">
        <v>33</v>
      </c>
      <c r="AA47" s="6">
        <v>36</v>
      </c>
      <c r="AB47" s="3">
        <v>1</v>
      </c>
      <c r="AC47" s="3">
        <v>3</v>
      </c>
      <c r="AD47" s="3">
        <v>10</v>
      </c>
      <c r="AE47" s="3">
        <v>68</v>
      </c>
      <c r="AF47" s="3">
        <f t="shared" si="26"/>
        <v>103</v>
      </c>
      <c r="AG47" s="6">
        <v>3</v>
      </c>
      <c r="AH47" s="6">
        <f t="shared" si="27"/>
        <v>106</v>
      </c>
      <c r="AI47" s="3">
        <v>0</v>
      </c>
      <c r="AJ47" s="3">
        <f t="shared" si="28"/>
        <v>106</v>
      </c>
      <c r="AK47" s="3" t="s">
        <v>60</v>
      </c>
      <c r="AL47" s="3">
        <v>2</v>
      </c>
      <c r="AM47" s="3">
        <f t="shared" si="29"/>
        <v>108</v>
      </c>
      <c r="AN47" s="3">
        <v>7</v>
      </c>
      <c r="AO47" s="3">
        <f t="shared" si="30"/>
        <v>115</v>
      </c>
      <c r="AP47" s="3">
        <v>5</v>
      </c>
      <c r="AQ47" s="3">
        <f t="shared" si="31"/>
        <v>120</v>
      </c>
      <c r="AR47" s="3">
        <f t="shared" si="32"/>
        <v>127</v>
      </c>
      <c r="AS47" s="3">
        <f t="shared" si="33"/>
        <v>134</v>
      </c>
      <c r="AT47" s="3">
        <v>0</v>
      </c>
      <c r="AU47" s="3">
        <f t="shared" si="34"/>
        <v>13</v>
      </c>
      <c r="AV47" s="3" t="s">
        <v>133</v>
      </c>
      <c r="AW47" s="3" t="s">
        <v>131</v>
      </c>
      <c r="AX47" s="20" t="s">
        <v>88</v>
      </c>
      <c r="AY47" s="37">
        <v>46507</v>
      </c>
    </row>
    <row r="48" spans="1:51" x14ac:dyDescent="0.35">
      <c r="A48" s="5" t="s">
        <v>145</v>
      </c>
      <c r="B48" s="39" t="s">
        <v>80</v>
      </c>
      <c r="C48" s="38" t="s">
        <v>98</v>
      </c>
      <c r="D48" s="38" t="s">
        <v>99</v>
      </c>
      <c r="E48" s="38" t="s">
        <v>53</v>
      </c>
      <c r="F48" s="19">
        <v>90016500</v>
      </c>
      <c r="G48" s="5" t="s">
        <v>159</v>
      </c>
      <c r="H48" s="2">
        <v>0</v>
      </c>
      <c r="I48" s="4" t="s">
        <v>139</v>
      </c>
      <c r="J48" s="2">
        <v>29159</v>
      </c>
      <c r="K48" s="4" t="s">
        <v>142</v>
      </c>
      <c r="L48" s="3">
        <v>7</v>
      </c>
      <c r="M48" s="3">
        <f t="shared" si="35"/>
        <v>9</v>
      </c>
      <c r="N48" s="3">
        <v>14</v>
      </c>
      <c r="O48" s="3">
        <f t="shared" si="22"/>
        <v>22</v>
      </c>
      <c r="P48" s="3">
        <f t="shared" si="46"/>
        <v>5</v>
      </c>
      <c r="Q48" s="3">
        <f t="shared" si="23"/>
        <v>26</v>
      </c>
      <c r="R48" s="3">
        <f t="shared" si="47"/>
        <v>23</v>
      </c>
      <c r="S48" s="3">
        <v>7</v>
      </c>
      <c r="T48" s="3">
        <f t="shared" si="24"/>
        <v>29</v>
      </c>
      <c r="U48" s="3">
        <f t="shared" si="48"/>
        <v>30</v>
      </c>
      <c r="V48" s="3">
        <v>2</v>
      </c>
      <c r="W48" s="3">
        <f t="shared" si="25"/>
        <v>31</v>
      </c>
      <c r="X48" s="3">
        <v>2</v>
      </c>
      <c r="Y48" s="3">
        <v>33</v>
      </c>
      <c r="Z48" s="6">
        <v>33</v>
      </c>
      <c r="AA48" s="6">
        <f t="shared" si="18"/>
        <v>38</v>
      </c>
      <c r="AB48" s="3">
        <v>6</v>
      </c>
      <c r="AC48" s="3">
        <v>7</v>
      </c>
      <c r="AD48" s="3">
        <v>7</v>
      </c>
      <c r="AE48" s="3">
        <v>45</v>
      </c>
      <c r="AF48" s="3">
        <f t="shared" si="26"/>
        <v>82</v>
      </c>
      <c r="AG48" s="6">
        <v>3</v>
      </c>
      <c r="AH48" s="6">
        <f t="shared" si="27"/>
        <v>85</v>
      </c>
      <c r="AI48" s="3">
        <v>0</v>
      </c>
      <c r="AJ48" s="3">
        <f t="shared" si="28"/>
        <v>85</v>
      </c>
      <c r="AK48" s="3" t="s">
        <v>60</v>
      </c>
      <c r="AL48" s="3">
        <v>1</v>
      </c>
      <c r="AM48" s="3">
        <f t="shared" si="29"/>
        <v>86</v>
      </c>
      <c r="AN48" s="3">
        <v>1</v>
      </c>
      <c r="AO48" s="3">
        <f t="shared" si="30"/>
        <v>87</v>
      </c>
      <c r="AP48" s="3">
        <v>3</v>
      </c>
      <c r="AQ48" s="3">
        <f t="shared" si="31"/>
        <v>90</v>
      </c>
      <c r="AR48" s="3">
        <f t="shared" si="32"/>
        <v>97</v>
      </c>
      <c r="AS48" s="3">
        <f t="shared" si="33"/>
        <v>104</v>
      </c>
      <c r="AT48" s="3">
        <v>0</v>
      </c>
      <c r="AU48" s="3">
        <f t="shared" si="34"/>
        <v>15</v>
      </c>
      <c r="AV48" s="3" t="s">
        <v>133</v>
      </c>
      <c r="AW48" s="3" t="s">
        <v>131</v>
      </c>
      <c r="AX48" s="20" t="s">
        <v>88</v>
      </c>
      <c r="AY48" s="40">
        <v>46507</v>
      </c>
    </row>
    <row r="49" spans="1:51" x14ac:dyDescent="0.35">
      <c r="A49" s="5" t="s">
        <v>146</v>
      </c>
      <c r="B49" s="39" t="s">
        <v>70</v>
      </c>
      <c r="C49" s="38" t="s">
        <v>98</v>
      </c>
      <c r="D49" s="38" t="s">
        <v>72</v>
      </c>
      <c r="E49" s="38" t="s">
        <v>71</v>
      </c>
      <c r="F49" s="19">
        <v>92000100</v>
      </c>
      <c r="G49" s="5" t="s">
        <v>47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 t="shared" si="35"/>
        <v>9</v>
      </c>
      <c r="N49" s="3">
        <v>14</v>
      </c>
      <c r="O49" s="3">
        <f t="shared" si="22"/>
        <v>22</v>
      </c>
      <c r="P49" s="3">
        <f t="shared" si="46"/>
        <v>5</v>
      </c>
      <c r="Q49" s="3">
        <f t="shared" si="23"/>
        <v>26</v>
      </c>
      <c r="R49" s="3">
        <f t="shared" si="47"/>
        <v>23</v>
      </c>
      <c r="S49" s="3">
        <v>7</v>
      </c>
      <c r="T49" s="3">
        <f t="shared" si="24"/>
        <v>29</v>
      </c>
      <c r="U49" s="3">
        <f t="shared" si="48"/>
        <v>30</v>
      </c>
      <c r="V49" s="3">
        <v>2</v>
      </c>
      <c r="W49" s="3">
        <f t="shared" si="25"/>
        <v>31</v>
      </c>
      <c r="X49" s="3">
        <v>2</v>
      </c>
      <c r="Y49" s="3">
        <f t="shared" si="20"/>
        <v>30</v>
      </c>
      <c r="Z49" s="6">
        <f t="shared" si="49"/>
        <v>31</v>
      </c>
      <c r="AA49" s="6">
        <f t="shared" si="18"/>
        <v>34</v>
      </c>
      <c r="AB49" s="3">
        <v>4</v>
      </c>
      <c r="AC49" s="3">
        <v>5</v>
      </c>
      <c r="AD49" s="3">
        <v>5</v>
      </c>
      <c r="AE49" s="3">
        <v>48</v>
      </c>
      <c r="AF49" s="3">
        <f t="shared" si="26"/>
        <v>81</v>
      </c>
      <c r="AG49" s="6">
        <v>0</v>
      </c>
      <c r="AH49" s="6">
        <f t="shared" si="27"/>
        <v>81</v>
      </c>
      <c r="AI49" s="3">
        <v>0</v>
      </c>
      <c r="AJ49" s="3">
        <f t="shared" si="28"/>
        <v>81</v>
      </c>
      <c r="AK49" s="3" t="s">
        <v>60</v>
      </c>
      <c r="AL49" s="3">
        <v>3</v>
      </c>
      <c r="AM49" s="3">
        <f t="shared" si="29"/>
        <v>84</v>
      </c>
      <c r="AN49" s="3">
        <v>8</v>
      </c>
      <c r="AO49" s="3">
        <f t="shared" si="30"/>
        <v>92</v>
      </c>
      <c r="AP49" s="3">
        <v>0</v>
      </c>
      <c r="AQ49" s="3">
        <f t="shared" si="31"/>
        <v>92</v>
      </c>
      <c r="AR49" s="3">
        <f t="shared" si="32"/>
        <v>99</v>
      </c>
      <c r="AS49" s="3">
        <f t="shared" si="33"/>
        <v>106</v>
      </c>
      <c r="AT49" s="3">
        <v>0</v>
      </c>
      <c r="AU49" s="3">
        <f t="shared" si="34"/>
        <v>11</v>
      </c>
      <c r="AV49" s="3" t="s">
        <v>133</v>
      </c>
      <c r="AW49" s="3" t="s">
        <v>131</v>
      </c>
      <c r="AX49" s="20" t="s">
        <v>75</v>
      </c>
      <c r="AY49" s="37">
        <v>46142</v>
      </c>
    </row>
    <row r="50" spans="1:51" s="8" customFormat="1" x14ac:dyDescent="0.35">
      <c r="A50" s="5" t="s">
        <v>147</v>
      </c>
      <c r="B50" s="39" t="s">
        <v>61</v>
      </c>
      <c r="C50" s="38" t="s">
        <v>87</v>
      </c>
      <c r="D50" s="38" t="s">
        <v>64</v>
      </c>
      <c r="E50" s="38" t="s">
        <v>59</v>
      </c>
      <c r="F50" s="19">
        <v>90014400</v>
      </c>
      <c r="G50" s="5" t="s">
        <v>155</v>
      </c>
      <c r="H50" s="2">
        <v>0</v>
      </c>
      <c r="I50" s="4" t="s">
        <v>139</v>
      </c>
      <c r="J50" s="2">
        <v>112741</v>
      </c>
      <c r="K50" s="7" t="s">
        <v>38</v>
      </c>
      <c r="L50" s="3">
        <v>2</v>
      </c>
      <c r="M50" s="3">
        <f t="shared" si="35"/>
        <v>9</v>
      </c>
      <c r="N50" s="3">
        <v>14</v>
      </c>
      <c r="O50" s="3">
        <f t="shared" si="22"/>
        <v>22</v>
      </c>
      <c r="P50" s="3">
        <f t="shared" si="46"/>
        <v>5</v>
      </c>
      <c r="Q50" s="3">
        <f t="shared" si="23"/>
        <v>26</v>
      </c>
      <c r="R50" s="3">
        <f t="shared" si="47"/>
        <v>23</v>
      </c>
      <c r="S50" s="3">
        <v>7</v>
      </c>
      <c r="T50" s="3">
        <f t="shared" si="24"/>
        <v>29</v>
      </c>
      <c r="U50" s="3">
        <f t="shared" si="48"/>
        <v>30</v>
      </c>
      <c r="V50" s="3">
        <v>2</v>
      </c>
      <c r="W50" s="3">
        <f t="shared" si="25"/>
        <v>31</v>
      </c>
      <c r="X50" s="3">
        <v>3</v>
      </c>
      <c r="Y50" s="3">
        <f t="shared" si="20"/>
        <v>31</v>
      </c>
      <c r="Z50" s="6">
        <f t="shared" si="49"/>
        <v>33</v>
      </c>
      <c r="AA50" s="6">
        <f t="shared" si="18"/>
        <v>34</v>
      </c>
      <c r="AB50" s="3">
        <v>2</v>
      </c>
      <c r="AC50" s="3">
        <v>4</v>
      </c>
      <c r="AD50" s="3">
        <v>11</v>
      </c>
      <c r="AE50" s="3">
        <v>50</v>
      </c>
      <c r="AF50" s="3">
        <f t="shared" si="26"/>
        <v>83</v>
      </c>
      <c r="AG50" s="6">
        <v>3</v>
      </c>
      <c r="AH50" s="6">
        <f t="shared" si="27"/>
        <v>86</v>
      </c>
      <c r="AI50" s="3">
        <v>0</v>
      </c>
      <c r="AJ50" s="3">
        <f t="shared" si="28"/>
        <v>86</v>
      </c>
      <c r="AK50" s="3" t="s">
        <v>60</v>
      </c>
      <c r="AL50" s="3">
        <v>4</v>
      </c>
      <c r="AM50" s="3">
        <f t="shared" si="29"/>
        <v>90</v>
      </c>
      <c r="AN50" s="3">
        <v>2</v>
      </c>
      <c r="AO50" s="3">
        <f t="shared" si="30"/>
        <v>92</v>
      </c>
      <c r="AP50" s="3">
        <v>1</v>
      </c>
      <c r="AQ50" s="3">
        <f t="shared" si="31"/>
        <v>93</v>
      </c>
      <c r="AR50" s="3">
        <f t="shared" si="32"/>
        <v>100</v>
      </c>
      <c r="AS50" s="3">
        <f t="shared" si="33"/>
        <v>107</v>
      </c>
      <c r="AT50" s="3">
        <v>0</v>
      </c>
      <c r="AU50" s="3">
        <f t="shared" si="34"/>
        <v>11</v>
      </c>
      <c r="AV50" s="3" t="s">
        <v>133</v>
      </c>
      <c r="AW50" s="3" t="s">
        <v>131</v>
      </c>
      <c r="AX50" s="20" t="s">
        <v>88</v>
      </c>
      <c r="AY50" s="37">
        <v>46142</v>
      </c>
    </row>
    <row r="51" spans="1:51" s="8" customFormat="1" x14ac:dyDescent="0.35">
      <c r="A51" s="5" t="s">
        <v>152</v>
      </c>
      <c r="B51" s="38" t="s">
        <v>83</v>
      </c>
      <c r="C51" s="38" t="s">
        <v>72</v>
      </c>
      <c r="D51" s="38" t="s">
        <v>86</v>
      </c>
      <c r="E51" s="38" t="s">
        <v>53</v>
      </c>
      <c r="F51" s="19">
        <v>90016000</v>
      </c>
      <c r="G51" s="5" t="s">
        <v>34</v>
      </c>
      <c r="H51" s="2">
        <v>0</v>
      </c>
      <c r="I51" s="4" t="s">
        <v>139</v>
      </c>
      <c r="J51" s="2">
        <v>5915200</v>
      </c>
      <c r="K51" s="4" t="s">
        <v>151</v>
      </c>
      <c r="L51" s="3">
        <v>7</v>
      </c>
      <c r="M51" s="3">
        <f t="shared" si="35"/>
        <v>9</v>
      </c>
      <c r="N51" s="3">
        <v>7</v>
      </c>
      <c r="O51" s="3">
        <f t="shared" si="22"/>
        <v>15</v>
      </c>
      <c r="P51" s="3">
        <f t="shared" si="46"/>
        <v>5</v>
      </c>
      <c r="Q51" s="3">
        <f t="shared" si="23"/>
        <v>19</v>
      </c>
      <c r="R51" s="3">
        <f t="shared" si="47"/>
        <v>16</v>
      </c>
      <c r="S51" s="3">
        <v>3</v>
      </c>
      <c r="T51" s="3">
        <f t="shared" si="24"/>
        <v>18</v>
      </c>
      <c r="U51" s="3">
        <f t="shared" si="48"/>
        <v>19</v>
      </c>
      <c r="V51" s="3">
        <v>5</v>
      </c>
      <c r="W51" s="3">
        <f t="shared" si="25"/>
        <v>23</v>
      </c>
      <c r="X51" s="3">
        <v>2</v>
      </c>
      <c r="Y51" s="3">
        <f t="shared" si="20"/>
        <v>23</v>
      </c>
      <c r="Z51" s="6">
        <v>23</v>
      </c>
      <c r="AA51" s="6">
        <f t="shared" si="18"/>
        <v>25</v>
      </c>
      <c r="AB51" s="3">
        <v>3</v>
      </c>
      <c r="AC51" s="3">
        <v>5</v>
      </c>
      <c r="AD51" s="3">
        <v>5</v>
      </c>
      <c r="AE51" s="3">
        <v>40</v>
      </c>
      <c r="AF51" s="3">
        <f t="shared" si="26"/>
        <v>64</v>
      </c>
      <c r="AG51" s="6">
        <v>3</v>
      </c>
      <c r="AH51" s="6">
        <f t="shared" si="27"/>
        <v>67</v>
      </c>
      <c r="AI51" s="3">
        <v>7</v>
      </c>
      <c r="AJ51" s="3">
        <f t="shared" si="28"/>
        <v>74</v>
      </c>
      <c r="AK51" s="3">
        <v>0</v>
      </c>
      <c r="AL51" s="3">
        <v>6</v>
      </c>
      <c r="AM51" s="3">
        <f t="shared" si="29"/>
        <v>80</v>
      </c>
      <c r="AN51" s="3">
        <v>2</v>
      </c>
      <c r="AO51" s="3">
        <f t="shared" si="30"/>
        <v>82</v>
      </c>
      <c r="AP51" s="3">
        <v>0</v>
      </c>
      <c r="AQ51" s="3">
        <f t="shared" si="31"/>
        <v>82</v>
      </c>
      <c r="AR51" s="3">
        <f t="shared" si="32"/>
        <v>89</v>
      </c>
      <c r="AS51" s="3">
        <f t="shared" si="33"/>
        <v>96</v>
      </c>
      <c r="AT51" s="3">
        <v>0</v>
      </c>
      <c r="AU51" s="3">
        <f t="shared" si="34"/>
        <v>9</v>
      </c>
      <c r="AV51" s="3" t="s">
        <v>133</v>
      </c>
      <c r="AW51" s="3" t="s">
        <v>134</v>
      </c>
      <c r="AX51" s="20" t="s">
        <v>56</v>
      </c>
      <c r="AY51" s="40">
        <v>46507</v>
      </c>
    </row>
    <row r="52" spans="1:51" x14ac:dyDescent="0.35">
      <c r="A52" s="5" t="s">
        <v>168</v>
      </c>
      <c r="B52" s="38" t="s">
        <v>61</v>
      </c>
      <c r="C52" s="39" t="s">
        <v>68</v>
      </c>
      <c r="D52" s="38" t="s">
        <v>64</v>
      </c>
      <c r="E52" s="38" t="s">
        <v>81</v>
      </c>
      <c r="F52" s="19">
        <v>90014400</v>
      </c>
      <c r="G52" s="5" t="s">
        <v>155</v>
      </c>
      <c r="H52" s="2">
        <v>0</v>
      </c>
      <c r="I52" s="4" t="s">
        <v>139</v>
      </c>
      <c r="J52" s="2">
        <v>29159</v>
      </c>
      <c r="K52" s="23" t="s">
        <v>140</v>
      </c>
      <c r="L52" s="3">
        <v>5</v>
      </c>
      <c r="M52" s="3">
        <f t="shared" ref="M52:M53" si="50">+IF(I52="SFK Freight Forwarder",L52,9)</f>
        <v>9</v>
      </c>
      <c r="N52" s="23">
        <v>2</v>
      </c>
      <c r="O52" s="3">
        <f t="shared" ref="O52:O53" si="51">IF(I52="SFK Freight Forwarder",M52,M52+N52-1)</f>
        <v>10</v>
      </c>
      <c r="P52" s="3">
        <v>5</v>
      </c>
      <c r="Q52" s="3">
        <f t="shared" ref="Q52:Q53" si="52">+IF(I52="SFK Freight Forwarder",O52,O52+P52-1)</f>
        <v>14</v>
      </c>
      <c r="R52" s="23">
        <v>0</v>
      </c>
      <c r="S52" s="23">
        <v>0</v>
      </c>
      <c r="T52" s="25">
        <v>0</v>
      </c>
      <c r="U52" s="23">
        <v>15</v>
      </c>
      <c r="V52" s="23">
        <v>4</v>
      </c>
      <c r="W52" s="23">
        <f t="shared" ref="W52:W53" si="53">+U52+V52-1</f>
        <v>18</v>
      </c>
      <c r="X52" s="23">
        <v>1</v>
      </c>
      <c r="Y52" s="3">
        <v>18</v>
      </c>
      <c r="Z52" s="6">
        <v>19</v>
      </c>
      <c r="AA52" s="6">
        <f t="shared" ref="AA52:AA53" si="54">+Z52+AB52-1</f>
        <v>22</v>
      </c>
      <c r="AB52" s="23">
        <v>4</v>
      </c>
      <c r="AC52" s="23"/>
      <c r="AD52" s="23"/>
      <c r="AE52" s="23">
        <v>46</v>
      </c>
      <c r="AF52" s="23">
        <f t="shared" ref="AF52:AF53" si="55">+AE52+AA52-1</f>
        <v>67</v>
      </c>
      <c r="AG52" s="23">
        <v>3</v>
      </c>
      <c r="AH52" s="23">
        <f t="shared" ref="AH52:AH53" si="56">+AF52+AG52</f>
        <v>70</v>
      </c>
      <c r="AI52" s="23">
        <v>7</v>
      </c>
      <c r="AJ52" s="23">
        <f t="shared" ref="AJ52:AJ53" si="57">+AI52+AH52</f>
        <v>77</v>
      </c>
      <c r="AK52" s="23"/>
      <c r="AL52" s="23">
        <v>3</v>
      </c>
      <c r="AM52" s="23">
        <f t="shared" ref="AM52:AM53" si="58">+AJ52+AL52</f>
        <v>80</v>
      </c>
      <c r="AN52" s="23">
        <v>2</v>
      </c>
      <c r="AO52" s="23">
        <f t="shared" ref="AO52:AO53" si="59">+AM52+AN52</f>
        <v>82</v>
      </c>
      <c r="AP52" s="23">
        <v>2</v>
      </c>
      <c r="AQ52" s="23">
        <f t="shared" ref="AQ52:AQ53" si="60">+AO52+AP52</f>
        <v>84</v>
      </c>
      <c r="AR52" s="23">
        <f t="shared" ref="AR52:AR53" si="61">+AQ52+7</f>
        <v>91</v>
      </c>
      <c r="AS52" s="23">
        <f t="shared" ref="AS52:AS53" si="62">+AR52+7+AT52</f>
        <v>112</v>
      </c>
      <c r="AT52" s="23">
        <v>14</v>
      </c>
      <c r="AU52" s="3">
        <f t="shared" ref="AU52:AU53" si="63">+AA52-R52</f>
        <v>22</v>
      </c>
      <c r="AV52" s="23" t="s">
        <v>133</v>
      </c>
      <c r="AW52" s="23" t="s">
        <v>131</v>
      </c>
      <c r="AX52" s="20" t="s">
        <v>56</v>
      </c>
      <c r="AY52" s="37">
        <v>46143</v>
      </c>
    </row>
    <row r="53" spans="1:51" x14ac:dyDescent="0.35">
      <c r="A53" s="5">
        <v>1039</v>
      </c>
      <c r="B53" s="33" t="s">
        <v>80</v>
      </c>
      <c r="C53" s="6" t="s">
        <v>68</v>
      </c>
      <c r="D53" s="6" t="s">
        <v>58</v>
      </c>
      <c r="E53" s="6" t="s">
        <v>81</v>
      </c>
      <c r="F53" s="19">
        <v>91017700</v>
      </c>
      <c r="G53" s="5" t="s">
        <v>157</v>
      </c>
      <c r="H53" s="2">
        <v>222222</v>
      </c>
      <c r="I53" s="4" t="s">
        <v>46</v>
      </c>
      <c r="J53" s="2">
        <v>222222</v>
      </c>
      <c r="K53" s="4" t="s">
        <v>46</v>
      </c>
      <c r="L53" s="3">
        <v>7</v>
      </c>
      <c r="M53" s="3">
        <f t="shared" si="50"/>
        <v>9</v>
      </c>
      <c r="N53" s="3">
        <v>21</v>
      </c>
      <c r="O53" s="3">
        <f t="shared" si="51"/>
        <v>29</v>
      </c>
      <c r="P53" s="3">
        <f t="shared" ref="P53" si="64">+IF(I53="SFK Freight Forwarder",0,5)</f>
        <v>5</v>
      </c>
      <c r="Q53" s="3">
        <f t="shared" si="52"/>
        <v>33</v>
      </c>
      <c r="R53" s="3">
        <f t="shared" ref="R53" si="65">9+N53</f>
        <v>30</v>
      </c>
      <c r="S53" s="3">
        <v>7</v>
      </c>
      <c r="T53" s="3">
        <f t="shared" ref="T53" si="66">+R53+S53-1</f>
        <v>36</v>
      </c>
      <c r="U53" s="3">
        <f t="shared" ref="U53" si="67">+T53+1</f>
        <v>37</v>
      </c>
      <c r="V53" s="3">
        <v>1</v>
      </c>
      <c r="W53" s="3">
        <f t="shared" si="53"/>
        <v>37</v>
      </c>
      <c r="X53" s="3">
        <v>0</v>
      </c>
      <c r="Y53" s="3">
        <v>37</v>
      </c>
      <c r="Z53" s="6">
        <v>42</v>
      </c>
      <c r="AA53" s="6">
        <f t="shared" si="54"/>
        <v>44</v>
      </c>
      <c r="AB53" s="3">
        <v>3</v>
      </c>
      <c r="AC53" s="3">
        <v>4</v>
      </c>
      <c r="AD53" s="3">
        <v>4</v>
      </c>
      <c r="AE53" s="3">
        <v>40</v>
      </c>
      <c r="AF53" s="3">
        <f t="shared" si="55"/>
        <v>83</v>
      </c>
      <c r="AG53" s="6">
        <v>3</v>
      </c>
      <c r="AH53" s="6">
        <f t="shared" si="56"/>
        <v>86</v>
      </c>
      <c r="AI53" s="3">
        <v>0</v>
      </c>
      <c r="AJ53" s="3">
        <f t="shared" si="57"/>
        <v>86</v>
      </c>
      <c r="AK53" s="3" t="s">
        <v>55</v>
      </c>
      <c r="AL53" s="3">
        <v>2</v>
      </c>
      <c r="AM53" s="3">
        <f t="shared" si="58"/>
        <v>88</v>
      </c>
      <c r="AN53" s="3">
        <v>3</v>
      </c>
      <c r="AO53" s="3">
        <f t="shared" si="59"/>
        <v>91</v>
      </c>
      <c r="AP53" s="3">
        <v>0</v>
      </c>
      <c r="AQ53" s="3">
        <f t="shared" si="60"/>
        <v>91</v>
      </c>
      <c r="AR53" s="3">
        <f t="shared" si="61"/>
        <v>98</v>
      </c>
      <c r="AS53" s="3">
        <f t="shared" si="62"/>
        <v>105</v>
      </c>
      <c r="AT53" s="3">
        <v>0</v>
      </c>
      <c r="AU53" s="3">
        <f t="shared" si="63"/>
        <v>14</v>
      </c>
      <c r="AV53" s="3" t="s">
        <v>130</v>
      </c>
      <c r="AW53" s="3" t="s">
        <v>131</v>
      </c>
      <c r="AX53" s="20" t="s">
        <v>75</v>
      </c>
      <c r="AY53" s="21">
        <v>46507</v>
      </c>
    </row>
  </sheetData>
  <sheetProtection formatCells="0" formatColumns="0" formatRows="0" sort="0" autoFilter="0"/>
  <autoFilter ref="A1:AY52" xr:uid="{869D9611-F0E3-4A7A-9239-9C1FA0F0C8DA}"/>
  <phoneticPr fontId="8" type="noConversion"/>
  <dataValidations count="3">
    <dataValidation type="list" allowBlank="1" showInputMessage="1" showErrorMessage="1" sqref="C2:E12 K2:K12 K16:K1048194 C16:E1048194" xr:uid="{833F6030-824F-4AAE-BA3C-131D886541AF}">
      <formula1>shippername</formula1>
    </dataValidation>
    <dataValidation type="list" allowBlank="1" showInputMessage="1" showErrorMessage="1" sqref="J3:J10 H54:K1048194 C2:E1048194 I2:I53 J12:J53 K2:K53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4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L14" sqref="L14"/>
    </sheetView>
  </sheetViews>
  <sheetFormatPr baseColWidth="10" defaultRowHeight="14.5" x14ac:dyDescent="0.35"/>
  <sheetData>
    <row r="2" spans="2:5" x14ac:dyDescent="0.35">
      <c r="B2" t="s">
        <v>161</v>
      </c>
      <c r="C2" t="s">
        <v>162</v>
      </c>
      <c r="D2" t="s">
        <v>133</v>
      </c>
      <c r="E2" t="s">
        <v>163</v>
      </c>
    </row>
    <row r="3" spans="2:5" x14ac:dyDescent="0.35">
      <c r="B3" t="s">
        <v>164</v>
      </c>
      <c r="C3" t="s">
        <v>165</v>
      </c>
      <c r="D3" t="s">
        <v>133</v>
      </c>
      <c r="E3" t="s">
        <v>166</v>
      </c>
    </row>
    <row r="5" spans="2:5" x14ac:dyDescent="0.35">
      <c r="B5" t="s">
        <v>167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2026-05-14T10:26:38Z</dcterms:modified>
</cp:coreProperties>
</file>