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rojects\VTT Tool\"/>
    </mc:Choice>
  </mc:AlternateContent>
  <xr:revisionPtr revIDLastSave="0" documentId="13_ncr:1_{18A84CA6-B8EE-43AE-850E-771BED3D6D7E}" xr6:coauthVersionLast="47" xr6:coauthVersionMax="47" xr10:uidLastSave="{00000000-0000-0000-0000-000000000000}"/>
  <bookViews>
    <workbookView xWindow="1470" yWindow="1470" windowWidth="38700" windowHeight="15345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  <sheet name="Hoja4" sheetId="5" r:id="rId5"/>
  </sheets>
  <definedNames>
    <definedName name="_xlnm._FilterDatabase" localSheetId="2" hidden="1">Hoja2!$D$7:$H$7</definedName>
    <definedName name="_xlnm._FilterDatabase" localSheetId="0" hidden="1">'VTT actif'!$A$1:$AY$56</definedName>
  </definedName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3" i="1" l="1"/>
  <c r="AF3" i="1"/>
  <c r="AH3" i="1" s="1"/>
  <c r="AJ3" i="1" s="1"/>
  <c r="AM3" i="1" s="1"/>
  <c r="AO3" i="1" s="1"/>
  <c r="AQ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5" i="1"/>
  <c r="R41" i="1"/>
  <c r="R36" i="1"/>
  <c r="T36" i="1" s="1"/>
  <c r="U36" i="1" s="1"/>
  <c r="W36" i="1" s="1"/>
  <c r="Z36" i="1" s="1"/>
  <c r="P36" i="1"/>
  <c r="M36" i="1"/>
  <c r="O36" i="1" s="1"/>
  <c r="AA32" i="1"/>
  <c r="AF32" i="1" s="1"/>
  <c r="AH32" i="1" s="1"/>
  <c r="AJ32" i="1" s="1"/>
  <c r="AM32" i="1" s="1"/>
  <c r="AO32" i="1" s="1"/>
  <c r="AQ32" i="1" s="1"/>
  <c r="AR32" i="1" s="1"/>
  <c r="AS32" i="1" s="1"/>
  <c r="R32" i="1"/>
  <c r="P32" i="1"/>
  <c r="M32" i="1"/>
  <c r="O32" i="1" s="1"/>
  <c r="M15" i="1"/>
  <c r="O15" i="1" s="1"/>
  <c r="M38" i="1"/>
  <c r="O38" i="1" s="1"/>
  <c r="Q23" i="1"/>
  <c r="O44" i="1"/>
  <c r="Q44" i="1" s="1"/>
  <c r="M53" i="1"/>
  <c r="O53" i="1" s="1"/>
  <c r="M41" i="1"/>
  <c r="O41" i="1" s="1"/>
  <c r="M42" i="1"/>
  <c r="O42" i="1" s="1"/>
  <c r="M20" i="1"/>
  <c r="O20" i="1" s="1"/>
  <c r="M43" i="1"/>
  <c r="O43" i="1" s="1"/>
  <c r="M13" i="1"/>
  <c r="O13" i="1" s="1"/>
  <c r="M40" i="1"/>
  <c r="O40" i="1" s="1"/>
  <c r="M9" i="1"/>
  <c r="O9" i="1" s="1"/>
  <c r="M33" i="1"/>
  <c r="O33" i="1" s="1"/>
  <c r="M17" i="1"/>
  <c r="O17" i="1" s="1"/>
  <c r="M50" i="1"/>
  <c r="O50" i="1" s="1"/>
  <c r="M51" i="1"/>
  <c r="O51" i="1" s="1"/>
  <c r="M52" i="1"/>
  <c r="O52" i="1" s="1"/>
  <c r="M34" i="1"/>
  <c r="O34" i="1" s="1"/>
  <c r="M37" i="1"/>
  <c r="O37" i="1" s="1"/>
  <c r="M18" i="1"/>
  <c r="O18" i="1" s="1"/>
  <c r="M39" i="1"/>
  <c r="O39" i="1" s="1"/>
  <c r="M4" i="1"/>
  <c r="O4" i="1" s="1"/>
  <c r="M8" i="1"/>
  <c r="O8" i="1" s="1"/>
  <c r="O54" i="1"/>
  <c r="Q54" i="1" s="1"/>
  <c r="O24" i="1"/>
  <c r="Q24" i="1" s="1"/>
  <c r="O46" i="1"/>
  <c r="Q46" i="1" s="1"/>
  <c r="O25" i="1"/>
  <c r="Q25" i="1" s="1"/>
  <c r="O26" i="1"/>
  <c r="Q26" i="1" s="1"/>
  <c r="O55" i="1"/>
  <c r="Q55" i="1" s="1"/>
  <c r="O29" i="1"/>
  <c r="Q29" i="1" s="1"/>
  <c r="O47" i="1"/>
  <c r="Q47" i="1" s="1"/>
  <c r="O31" i="1"/>
  <c r="Q31" i="1" s="1"/>
  <c r="M5" i="1"/>
  <c r="O5" i="1" s="1"/>
  <c r="M6" i="1"/>
  <c r="O6" i="1" s="1"/>
  <c r="M7" i="1"/>
  <c r="O7" i="1" s="1"/>
  <c r="M48" i="1"/>
  <c r="O48" i="1" s="1"/>
  <c r="M49" i="1"/>
  <c r="O49" i="1" s="1"/>
  <c r="M19" i="1"/>
  <c r="O19" i="1" s="1"/>
  <c r="O27" i="1"/>
  <c r="Q27" i="1" s="1"/>
  <c r="O28" i="1"/>
  <c r="Q28" i="1" s="1"/>
  <c r="O30" i="1"/>
  <c r="Q30" i="1" s="1"/>
  <c r="M22" i="1"/>
  <c r="O22" i="1" s="1"/>
  <c r="M35" i="1"/>
  <c r="O35" i="1" s="1"/>
  <c r="M16" i="1"/>
  <c r="O16" i="1" s="1"/>
  <c r="M14" i="1"/>
  <c r="O14" i="1" s="1"/>
  <c r="AR3" i="1" l="1"/>
  <c r="AS3" i="1" s="1"/>
  <c r="AU11" i="1"/>
  <c r="AF11" i="1"/>
  <c r="AH11" i="1" s="1"/>
  <c r="AJ11" i="1" s="1"/>
  <c r="AM11" i="1" s="1"/>
  <c r="AO11" i="1" s="1"/>
  <c r="AQ11" i="1" s="1"/>
  <c r="AR11" i="1" s="1"/>
  <c r="AS11" i="1" s="1"/>
  <c r="Q36" i="1"/>
  <c r="Q32" i="1"/>
  <c r="AA36" i="1"/>
  <c r="AF36" i="1" s="1"/>
  <c r="AH36" i="1" s="1"/>
  <c r="AJ36" i="1" s="1"/>
  <c r="AM36" i="1" s="1"/>
  <c r="AO36" i="1" s="1"/>
  <c r="AQ36" i="1" s="1"/>
  <c r="AU32" i="1"/>
  <c r="T32" i="1"/>
  <c r="U32" i="1" s="1"/>
  <c r="W32" i="1" s="1"/>
  <c r="AR36" i="1" l="1"/>
  <c r="AS36" i="1" s="1"/>
  <c r="AU36" i="1"/>
  <c r="T2" i="1"/>
  <c r="U2" i="1" l="1"/>
  <c r="W2" i="1" s="1"/>
  <c r="R34" i="1"/>
  <c r="T34" i="1" s="1"/>
  <c r="U34" i="1" s="1"/>
  <c r="W34" i="1" s="1"/>
  <c r="R13" i="1"/>
  <c r="T13" i="1" s="1"/>
  <c r="U13" i="1" s="1"/>
  <c r="W13" i="1" s="1"/>
  <c r="R14" i="1"/>
  <c r="T14" i="1" s="1"/>
  <c r="U14" i="1" s="1"/>
  <c r="W14" i="1" s="1"/>
  <c r="T23" i="1"/>
  <c r="U23" i="1" s="1"/>
  <c r="W23" i="1" s="1"/>
  <c r="Y23" i="1" s="1"/>
  <c r="T44" i="1"/>
  <c r="U44" i="1" s="1"/>
  <c r="W44" i="1" s="1"/>
  <c r="R15" i="1"/>
  <c r="T15" i="1" s="1"/>
  <c r="U15" i="1" s="1"/>
  <c r="W15" i="1" s="1"/>
  <c r="R48" i="1"/>
  <c r="T48" i="1" s="1"/>
  <c r="U48" i="1" s="1"/>
  <c r="W48" i="1" s="1"/>
  <c r="R49" i="1"/>
  <c r="T49" i="1" s="1"/>
  <c r="U49" i="1" s="1"/>
  <c r="W49" i="1" s="1"/>
  <c r="AA49" i="1" s="1"/>
  <c r="R16" i="1"/>
  <c r="T16" i="1" s="1"/>
  <c r="U16" i="1" s="1"/>
  <c r="W16" i="1" s="1"/>
  <c r="R35" i="1"/>
  <c r="T35" i="1" s="1"/>
  <c r="U35" i="1" s="1"/>
  <c r="W35" i="1" s="1"/>
  <c r="R37" i="1"/>
  <c r="T37" i="1" s="1"/>
  <c r="U37" i="1" s="1"/>
  <c r="W37" i="1" s="1"/>
  <c r="R17" i="1"/>
  <c r="T17" i="1" s="1"/>
  <c r="U17" i="1" s="1"/>
  <c r="W17" i="1" s="1"/>
  <c r="R38" i="1"/>
  <c r="T38" i="1" s="1"/>
  <c r="U38" i="1" s="1"/>
  <c r="W38" i="1" s="1"/>
  <c r="R50" i="1"/>
  <c r="T50" i="1" s="1"/>
  <c r="U50" i="1" s="1"/>
  <c r="W50" i="1" s="1"/>
  <c r="R51" i="1"/>
  <c r="T51" i="1" s="1"/>
  <c r="U51" i="1" s="1"/>
  <c r="W51" i="1" s="1"/>
  <c r="R18" i="1"/>
  <c r="T18" i="1" s="1"/>
  <c r="U18" i="1" s="1"/>
  <c r="W18" i="1" s="1"/>
  <c r="R39" i="1"/>
  <c r="T39" i="1" s="1"/>
  <c r="U39" i="1" s="1"/>
  <c r="W39" i="1" s="1"/>
  <c r="R19" i="1"/>
  <c r="T19" i="1" s="1"/>
  <c r="U19" i="1" s="1"/>
  <c r="W19" i="1" s="1"/>
  <c r="R52" i="1"/>
  <c r="T52" i="1" s="1"/>
  <c r="U52" i="1" s="1"/>
  <c r="W52" i="1" s="1"/>
  <c r="R53" i="1"/>
  <c r="T53" i="1" s="1"/>
  <c r="U53" i="1" s="1"/>
  <c r="W53" i="1" s="1"/>
  <c r="R40" i="1"/>
  <c r="T40" i="1" s="1"/>
  <c r="U40" i="1" s="1"/>
  <c r="W40" i="1" s="1"/>
  <c r="T41" i="1"/>
  <c r="U41" i="1" s="1"/>
  <c r="W41" i="1" s="1"/>
  <c r="R42" i="1"/>
  <c r="T42" i="1" s="1"/>
  <c r="U42" i="1" s="1"/>
  <c r="W42" i="1" s="1"/>
  <c r="R20" i="1"/>
  <c r="T20" i="1" s="1"/>
  <c r="U20" i="1" s="1"/>
  <c r="W20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54" i="1"/>
  <c r="T54" i="1" s="1"/>
  <c r="U54" i="1" s="1"/>
  <c r="W54" i="1" s="1"/>
  <c r="R24" i="1"/>
  <c r="T24" i="1" s="1"/>
  <c r="U24" i="1" s="1"/>
  <c r="W24" i="1" s="1"/>
  <c r="R46" i="1"/>
  <c r="T46" i="1" s="1"/>
  <c r="U46" i="1" s="1"/>
  <c r="W46" i="1" s="1"/>
  <c r="Y46" i="1" s="1"/>
  <c r="Z46" i="1" s="1"/>
  <c r="R25" i="1"/>
  <c r="T25" i="1" s="1"/>
  <c r="U25" i="1" s="1"/>
  <c r="W25" i="1" s="1"/>
  <c r="R26" i="1"/>
  <c r="T26" i="1" s="1"/>
  <c r="U26" i="1" s="1"/>
  <c r="W26" i="1" s="1"/>
  <c r="R55" i="1"/>
  <c r="T55" i="1" s="1"/>
  <c r="U55" i="1" s="1"/>
  <c r="W55" i="1" s="1"/>
  <c r="Z55" i="1" s="1"/>
  <c r="R27" i="1"/>
  <c r="T27" i="1" s="1"/>
  <c r="U27" i="1" s="1"/>
  <c r="W27" i="1" s="1"/>
  <c r="R28" i="1"/>
  <c r="T28" i="1" s="1"/>
  <c r="U28" i="1" s="1"/>
  <c r="W28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29" i="1"/>
  <c r="T29" i="1" s="1"/>
  <c r="U29" i="1" s="1"/>
  <c r="W29" i="1" s="1"/>
  <c r="R30" i="1"/>
  <c r="T30" i="1" s="1"/>
  <c r="U30" i="1" s="1"/>
  <c r="W30" i="1" s="1"/>
  <c r="R47" i="1"/>
  <c r="T47" i="1" s="1"/>
  <c r="U47" i="1" s="1"/>
  <c r="W47" i="1" s="1"/>
  <c r="R31" i="1"/>
  <c r="T31" i="1" s="1"/>
  <c r="U31" i="1" s="1"/>
  <c r="W31" i="1" s="1"/>
  <c r="R43" i="1"/>
  <c r="T43" i="1" s="1"/>
  <c r="U43" i="1" s="1"/>
  <c r="W43" i="1" s="1"/>
  <c r="R45" i="1"/>
  <c r="T45" i="1" s="1"/>
  <c r="U45" i="1" s="1"/>
  <c r="W45" i="1" s="1"/>
  <c r="R8" i="1"/>
  <c r="T8" i="1" s="1"/>
  <c r="U8" i="1" s="1"/>
  <c r="R22" i="1"/>
  <c r="T22" i="1" s="1"/>
  <c r="U22" i="1" s="1"/>
  <c r="W22" i="1" s="1"/>
  <c r="R33" i="1"/>
  <c r="T33" i="1" s="1"/>
  <c r="U33" i="1" s="1"/>
  <c r="W33" i="1" s="1"/>
  <c r="P34" i="1"/>
  <c r="Q34" i="1" s="1"/>
  <c r="P13" i="1"/>
  <c r="Q13" i="1" s="1"/>
  <c r="P14" i="1"/>
  <c r="Q14" i="1" s="1"/>
  <c r="P23" i="1"/>
  <c r="P44" i="1"/>
  <c r="P15" i="1"/>
  <c r="Q15" i="1" s="1"/>
  <c r="P48" i="1"/>
  <c r="Q48" i="1" s="1"/>
  <c r="P49" i="1"/>
  <c r="Q49" i="1" s="1"/>
  <c r="P16" i="1"/>
  <c r="Q16" i="1" s="1"/>
  <c r="P35" i="1"/>
  <c r="Q35" i="1" s="1"/>
  <c r="P37" i="1"/>
  <c r="Q37" i="1" s="1"/>
  <c r="P17" i="1"/>
  <c r="Q17" i="1" s="1"/>
  <c r="P38" i="1"/>
  <c r="Q38" i="1" s="1"/>
  <c r="P50" i="1"/>
  <c r="Q50" i="1" s="1"/>
  <c r="P51" i="1"/>
  <c r="Q51" i="1" s="1"/>
  <c r="P18" i="1"/>
  <c r="Q18" i="1" s="1"/>
  <c r="P39" i="1"/>
  <c r="Q39" i="1" s="1"/>
  <c r="P19" i="1"/>
  <c r="Q19" i="1" s="1"/>
  <c r="P52" i="1"/>
  <c r="Q52" i="1" s="1"/>
  <c r="P53" i="1"/>
  <c r="Q53" i="1" s="1"/>
  <c r="P40" i="1"/>
  <c r="Q40" i="1" s="1"/>
  <c r="Q41" i="1"/>
  <c r="P42" i="1"/>
  <c r="Q42" i="1" s="1"/>
  <c r="P20" i="1"/>
  <c r="Q20" i="1" s="1"/>
  <c r="P9" i="1"/>
  <c r="Q9" i="1" s="1"/>
  <c r="P4" i="1"/>
  <c r="Q4" i="1" s="1"/>
  <c r="P54" i="1"/>
  <c r="P24" i="1"/>
  <c r="P46" i="1"/>
  <c r="P25" i="1"/>
  <c r="P26" i="1"/>
  <c r="P55" i="1"/>
  <c r="P27" i="1"/>
  <c r="P28" i="1"/>
  <c r="P5" i="1"/>
  <c r="Q5" i="1" s="1"/>
  <c r="P6" i="1"/>
  <c r="Q6" i="1" s="1"/>
  <c r="P7" i="1"/>
  <c r="Q7" i="1" s="1"/>
  <c r="P29" i="1"/>
  <c r="P30" i="1"/>
  <c r="P47" i="1"/>
  <c r="P31" i="1"/>
  <c r="P43" i="1"/>
  <c r="Q43" i="1" s="1"/>
  <c r="P45" i="1"/>
  <c r="Q45" i="1" s="1"/>
  <c r="P8" i="1"/>
  <c r="Q8" i="1" s="1"/>
  <c r="P22" i="1"/>
  <c r="Q22" i="1" s="1"/>
  <c r="P33" i="1"/>
  <c r="Q33" i="1" s="1"/>
  <c r="AU2" i="1" l="1"/>
  <c r="AF2" i="1"/>
  <c r="AH2" i="1" s="1"/>
  <c r="AJ2" i="1" s="1"/>
  <c r="AM2" i="1" s="1"/>
  <c r="AO2" i="1" s="1"/>
  <c r="AA52" i="1"/>
  <c r="AA13" i="1"/>
  <c r="AA34" i="1"/>
  <c r="AA22" i="1"/>
  <c r="AA7" i="1"/>
  <c r="AA25" i="1"/>
  <c r="AA42" i="1"/>
  <c r="AA18" i="1"/>
  <c r="AA4" i="1"/>
  <c r="AA19" i="1"/>
  <c r="AA33" i="1"/>
  <c r="AF33" i="1" s="1"/>
  <c r="AH33" i="1" s="1"/>
  <c r="AA39" i="1"/>
  <c r="AA8" i="1"/>
  <c r="AA6" i="1"/>
  <c r="AA41" i="1"/>
  <c r="AA51" i="1"/>
  <c r="AA48" i="1"/>
  <c r="AA47" i="1"/>
  <c r="AA14" i="1"/>
  <c r="AA30" i="1"/>
  <c r="AA9" i="1"/>
  <c r="AA29" i="1"/>
  <c r="AA16" i="1"/>
  <c r="AU16" i="1" s="1"/>
  <c r="AA45" i="1"/>
  <c r="AA46" i="1"/>
  <c r="AA40" i="1"/>
  <c r="AA50" i="1"/>
  <c r="AA15" i="1"/>
  <c r="AA27" i="1"/>
  <c r="AA55" i="1"/>
  <c r="AA26" i="1"/>
  <c r="AA43" i="1"/>
  <c r="AA24" i="1"/>
  <c r="AA53" i="1"/>
  <c r="AA38" i="1"/>
  <c r="AA37" i="1"/>
  <c r="AA20" i="1"/>
  <c r="AA31" i="1"/>
  <c r="AA28" i="1"/>
  <c r="AA54" i="1"/>
  <c r="AA23" i="1"/>
  <c r="AS2" i="1" l="1"/>
  <c r="AU22" i="1"/>
  <c r="AF22" i="1"/>
  <c r="AH22" i="1" s="1"/>
  <c r="AJ22" i="1" s="1"/>
  <c r="AM22" i="1" s="1"/>
  <c r="AO22" i="1" s="1"/>
  <c r="AQ22" i="1" s="1"/>
  <c r="AR22" i="1" s="1"/>
  <c r="AS22" i="1" s="1"/>
  <c r="AF47" i="1"/>
  <c r="AH47" i="1" s="1"/>
  <c r="AJ47" i="1" s="1"/>
  <c r="AM47" i="1" s="1"/>
  <c r="AO47" i="1" s="1"/>
  <c r="AQ47" i="1" s="1"/>
  <c r="AR47" i="1" s="1"/>
  <c r="AS47" i="1" s="1"/>
  <c r="AU47" i="1"/>
  <c r="AF31" i="1"/>
  <c r="AH31" i="1" s="1"/>
  <c r="AJ31" i="1" s="1"/>
  <c r="AM31" i="1" s="1"/>
  <c r="AO31" i="1" s="1"/>
  <c r="AQ31" i="1" s="1"/>
  <c r="AR31" i="1" s="1"/>
  <c r="AS31" i="1" s="1"/>
  <c r="AU31" i="1"/>
  <c r="AF46" i="1"/>
  <c r="AH46" i="1" s="1"/>
  <c r="AJ46" i="1" s="1"/>
  <c r="AM46" i="1" s="1"/>
  <c r="AO46" i="1" s="1"/>
  <c r="AQ46" i="1" s="1"/>
  <c r="AR46" i="1" s="1"/>
  <c r="AS46" i="1" s="1"/>
  <c r="AU46" i="1"/>
  <c r="AF17" i="1"/>
  <c r="AH17" i="1" s="1"/>
  <c r="AJ17" i="1" s="1"/>
  <c r="AM17" i="1" s="1"/>
  <c r="AO17" i="1" s="1"/>
  <c r="AQ17" i="1" s="1"/>
  <c r="AR17" i="1" s="1"/>
  <c r="AS17" i="1" s="1"/>
  <c r="AU17" i="1"/>
  <c r="AF27" i="1"/>
  <c r="AH27" i="1" s="1"/>
  <c r="AJ27" i="1" s="1"/>
  <c r="AM27" i="1" s="1"/>
  <c r="AO27" i="1" s="1"/>
  <c r="AQ27" i="1" s="1"/>
  <c r="AR27" i="1" s="1"/>
  <c r="AS27" i="1" s="1"/>
  <c r="AU27" i="1"/>
  <c r="AF29" i="1"/>
  <c r="AH29" i="1" s="1"/>
  <c r="AJ29" i="1" s="1"/>
  <c r="AM29" i="1" s="1"/>
  <c r="AO29" i="1" s="1"/>
  <c r="AQ29" i="1" s="1"/>
  <c r="AR29" i="1" s="1"/>
  <c r="AS29" i="1" s="1"/>
  <c r="AU29" i="1"/>
  <c r="AF18" i="1"/>
  <c r="AH18" i="1" s="1"/>
  <c r="AJ18" i="1" s="1"/>
  <c r="AM18" i="1" s="1"/>
  <c r="AO18" i="1" s="1"/>
  <c r="AQ18" i="1" s="1"/>
  <c r="AR18" i="1" s="1"/>
  <c r="AS18" i="1" s="1"/>
  <c r="AU18" i="1"/>
  <c r="AU33" i="1"/>
  <c r="AF51" i="1"/>
  <c r="AH51" i="1" s="1"/>
  <c r="AJ51" i="1" s="1"/>
  <c r="AM51" i="1" s="1"/>
  <c r="AO51" i="1" s="1"/>
  <c r="AQ51" i="1" s="1"/>
  <c r="AR51" i="1" s="1"/>
  <c r="AS51" i="1" s="1"/>
  <c r="AU51" i="1"/>
  <c r="AU35" i="1"/>
  <c r="AF35" i="1"/>
  <c r="AH35" i="1" s="1"/>
  <c r="AJ35" i="1" s="1"/>
  <c r="AM35" i="1" s="1"/>
  <c r="AO35" i="1" s="1"/>
  <c r="AQ35" i="1" s="1"/>
  <c r="AR35" i="1" s="1"/>
  <c r="AS35" i="1" s="1"/>
  <c r="AF24" i="1"/>
  <c r="AH24" i="1" s="1"/>
  <c r="AJ24" i="1" s="1"/>
  <c r="AM24" i="1" s="1"/>
  <c r="AO24" i="1" s="1"/>
  <c r="AQ24" i="1" s="1"/>
  <c r="AR24" i="1" s="1"/>
  <c r="AS24" i="1" s="1"/>
  <c r="AU24" i="1"/>
  <c r="AU50" i="1"/>
  <c r="AF50" i="1"/>
  <c r="AH50" i="1" s="1"/>
  <c r="AJ50" i="1" s="1"/>
  <c r="AM50" i="1" s="1"/>
  <c r="AO50" i="1" s="1"/>
  <c r="AQ50" i="1" s="1"/>
  <c r="AR50" i="1" s="1"/>
  <c r="AS50" i="1" s="1"/>
  <c r="AF40" i="1"/>
  <c r="AH40" i="1" s="1"/>
  <c r="AJ40" i="1" s="1"/>
  <c r="AM40" i="1" s="1"/>
  <c r="AO40" i="1" s="1"/>
  <c r="AQ40" i="1" s="1"/>
  <c r="AR40" i="1" s="1"/>
  <c r="AS40" i="1" s="1"/>
  <c r="AU40" i="1"/>
  <c r="AF37" i="1"/>
  <c r="AH37" i="1" s="1"/>
  <c r="AJ37" i="1" s="1"/>
  <c r="AM37" i="1" s="1"/>
  <c r="AO37" i="1" s="1"/>
  <c r="AQ37" i="1" s="1"/>
  <c r="AR37" i="1" s="1"/>
  <c r="AS37" i="1" s="1"/>
  <c r="AU37" i="1"/>
  <c r="AF19" i="1"/>
  <c r="AH19" i="1" s="1"/>
  <c r="AJ19" i="1" s="1"/>
  <c r="AM19" i="1" s="1"/>
  <c r="AO19" i="1" s="1"/>
  <c r="AQ19" i="1" s="1"/>
  <c r="AR19" i="1" s="1"/>
  <c r="AS19" i="1" s="1"/>
  <c r="AU19" i="1"/>
  <c r="AF9" i="1"/>
  <c r="AH9" i="1" s="1"/>
  <c r="AJ9" i="1" s="1"/>
  <c r="AM9" i="1" s="1"/>
  <c r="AO9" i="1" s="1"/>
  <c r="AQ9" i="1" s="1"/>
  <c r="AR9" i="1" s="1"/>
  <c r="AS9" i="1" s="1"/>
  <c r="AU9" i="1"/>
  <c r="AF43" i="1"/>
  <c r="AH43" i="1" s="1"/>
  <c r="AJ43" i="1" s="1"/>
  <c r="AM43" i="1" s="1"/>
  <c r="AO43" i="1" s="1"/>
  <c r="AQ43" i="1" s="1"/>
  <c r="AR43" i="1" s="1"/>
  <c r="AS43" i="1" s="1"/>
  <c r="AU43" i="1"/>
  <c r="AF49" i="1"/>
  <c r="AH49" i="1" s="1"/>
  <c r="AJ49" i="1" s="1"/>
  <c r="AM49" i="1" s="1"/>
  <c r="AO49" i="1" s="1"/>
  <c r="AQ49" i="1" s="1"/>
  <c r="AR49" i="1" s="1"/>
  <c r="AS49" i="1" s="1"/>
  <c r="AU49" i="1"/>
  <c r="AF26" i="1"/>
  <c r="AH26" i="1" s="1"/>
  <c r="AJ26" i="1" s="1"/>
  <c r="AM26" i="1" s="1"/>
  <c r="AO26" i="1" s="1"/>
  <c r="AQ26" i="1" s="1"/>
  <c r="AR26" i="1" s="1"/>
  <c r="AS26" i="1" s="1"/>
  <c r="AU26" i="1"/>
  <c r="AF6" i="1"/>
  <c r="AH6" i="1" s="1"/>
  <c r="AJ6" i="1" s="1"/>
  <c r="AM6" i="1" s="1"/>
  <c r="AO6" i="1" s="1"/>
  <c r="AQ6" i="1" s="1"/>
  <c r="AR6" i="1" s="1"/>
  <c r="AS6" i="1" s="1"/>
  <c r="AU6" i="1"/>
  <c r="AF55" i="1"/>
  <c r="AH55" i="1" s="1"/>
  <c r="AJ55" i="1" s="1"/>
  <c r="AM55" i="1" s="1"/>
  <c r="AO55" i="1" s="1"/>
  <c r="AQ55" i="1" s="1"/>
  <c r="AR55" i="1" s="1"/>
  <c r="AS55" i="1" s="1"/>
  <c r="AU55" i="1"/>
  <c r="AF8" i="1"/>
  <c r="AH8" i="1" s="1"/>
  <c r="AJ8" i="1" s="1"/>
  <c r="AM8" i="1" s="1"/>
  <c r="AO8" i="1" s="1"/>
  <c r="AQ8" i="1" s="1"/>
  <c r="AR8" i="1" s="1"/>
  <c r="AS8" i="1" s="1"/>
  <c r="AU8" i="1"/>
  <c r="AU52" i="1"/>
  <c r="AF52" i="1"/>
  <c r="AH52" i="1" s="1"/>
  <c r="AJ52" i="1" s="1"/>
  <c r="AM52" i="1" s="1"/>
  <c r="AO52" i="1" s="1"/>
  <c r="AQ52" i="1" s="1"/>
  <c r="AR52" i="1" s="1"/>
  <c r="AS52" i="1" s="1"/>
  <c r="AF7" i="1"/>
  <c r="AH7" i="1" s="1"/>
  <c r="AJ7" i="1" s="1"/>
  <c r="AM7" i="1" s="1"/>
  <c r="AO7" i="1" s="1"/>
  <c r="AQ7" i="1" s="1"/>
  <c r="AR7" i="1" s="1"/>
  <c r="AS7" i="1" s="1"/>
  <c r="AU7" i="1"/>
  <c r="AU20" i="1"/>
  <c r="AF20" i="1"/>
  <c r="AH20" i="1" s="1"/>
  <c r="AJ20" i="1" s="1"/>
  <c r="AM20" i="1" s="1"/>
  <c r="AO20" i="1" s="1"/>
  <c r="AQ20" i="1" s="1"/>
  <c r="AR20" i="1" s="1"/>
  <c r="AS20" i="1" s="1"/>
  <c r="AF54" i="1"/>
  <c r="AH54" i="1" s="1"/>
  <c r="AJ54" i="1" s="1"/>
  <c r="AM54" i="1" s="1"/>
  <c r="AO54" i="1" s="1"/>
  <c r="AQ54" i="1" s="1"/>
  <c r="AR54" i="1" s="1"/>
  <c r="AS54" i="1" s="1"/>
  <c r="AU54" i="1"/>
  <c r="AF15" i="1"/>
  <c r="AH15" i="1" s="1"/>
  <c r="AJ15" i="1" s="1"/>
  <c r="AM15" i="1" s="1"/>
  <c r="AO15" i="1" s="1"/>
  <c r="AQ15" i="1" s="1"/>
  <c r="AR15" i="1" s="1"/>
  <c r="AS15" i="1" s="1"/>
  <c r="AU15" i="1"/>
  <c r="AU41" i="1"/>
  <c r="AF41" i="1"/>
  <c r="AH41" i="1" s="1"/>
  <c r="AJ41" i="1" s="1"/>
  <c r="AM41" i="1" s="1"/>
  <c r="AO41" i="1" s="1"/>
  <c r="AQ41" i="1" s="1"/>
  <c r="AR41" i="1" s="1"/>
  <c r="AU23" i="1"/>
  <c r="AF23" i="1"/>
  <c r="AH23" i="1" s="1"/>
  <c r="AJ23" i="1" s="1"/>
  <c r="AM23" i="1" s="1"/>
  <c r="AO23" i="1" s="1"/>
  <c r="AQ23" i="1" s="1"/>
  <c r="AR23" i="1" s="1"/>
  <c r="AS23" i="1" s="1"/>
  <c r="AF4" i="1"/>
  <c r="AH4" i="1" s="1"/>
  <c r="AJ4" i="1" s="1"/>
  <c r="AM4" i="1" s="1"/>
  <c r="AO4" i="1" s="1"/>
  <c r="AQ4" i="1" s="1"/>
  <c r="AR4" i="1" s="1"/>
  <c r="AS4" i="1" s="1"/>
  <c r="AU4" i="1"/>
  <c r="AU30" i="1"/>
  <c r="AF30" i="1"/>
  <c r="AH30" i="1" s="1"/>
  <c r="AJ30" i="1" s="1"/>
  <c r="AM30" i="1" s="1"/>
  <c r="AO30" i="1" s="1"/>
  <c r="AQ30" i="1" s="1"/>
  <c r="AR30" i="1" s="1"/>
  <c r="AS30" i="1" s="1"/>
  <c r="AF34" i="1"/>
  <c r="AH34" i="1" s="1"/>
  <c r="AJ34" i="1" s="1"/>
  <c r="AM34" i="1" s="1"/>
  <c r="AO34" i="1" s="1"/>
  <c r="AQ34" i="1" s="1"/>
  <c r="AR34" i="1" s="1"/>
  <c r="AS34" i="1" s="1"/>
  <c r="AU34" i="1"/>
  <c r="AF14" i="1"/>
  <c r="AH14" i="1" s="1"/>
  <c r="AJ14" i="1" s="1"/>
  <c r="AM14" i="1" s="1"/>
  <c r="AO14" i="1" s="1"/>
  <c r="AQ14" i="1" s="1"/>
  <c r="AR14" i="1" s="1"/>
  <c r="AS14" i="1" s="1"/>
  <c r="AU14" i="1"/>
  <c r="AU13" i="1"/>
  <c r="AF13" i="1"/>
  <c r="AH13" i="1" s="1"/>
  <c r="AJ13" i="1" s="1"/>
  <c r="AM13" i="1" s="1"/>
  <c r="AO13" i="1" s="1"/>
  <c r="AQ13" i="1" s="1"/>
  <c r="AR13" i="1" s="1"/>
  <c r="AS13" i="1" s="1"/>
  <c r="AU44" i="1"/>
  <c r="AF44" i="1"/>
  <c r="AH44" i="1" s="1"/>
  <c r="AJ44" i="1" s="1"/>
  <c r="AM44" i="1" s="1"/>
  <c r="AO44" i="1" s="1"/>
  <c r="AQ44" i="1" s="1"/>
  <c r="AR44" i="1" s="1"/>
  <c r="AS44" i="1" s="1"/>
  <c r="AF5" i="1"/>
  <c r="AH5" i="1" s="1"/>
  <c r="AJ5" i="1" s="1"/>
  <c r="AM5" i="1" s="1"/>
  <c r="AO5" i="1" s="1"/>
  <c r="AQ5" i="1" s="1"/>
  <c r="AR5" i="1" s="1"/>
  <c r="AU5" i="1"/>
  <c r="AF38" i="1"/>
  <c r="AH38" i="1" s="1"/>
  <c r="AJ38" i="1" s="1"/>
  <c r="AM38" i="1" s="1"/>
  <c r="AO38" i="1" s="1"/>
  <c r="AQ38" i="1" s="1"/>
  <c r="AR38" i="1" s="1"/>
  <c r="AS38" i="1" s="1"/>
  <c r="AU38" i="1"/>
  <c r="AU45" i="1"/>
  <c r="AF45" i="1"/>
  <c r="AH45" i="1" s="1"/>
  <c r="AJ45" i="1" s="1"/>
  <c r="AM45" i="1" s="1"/>
  <c r="AO45" i="1" s="1"/>
  <c r="AQ45" i="1" s="1"/>
  <c r="AR45" i="1" s="1"/>
  <c r="AS45" i="1" s="1"/>
  <c r="AF39" i="1"/>
  <c r="AH39" i="1" s="1"/>
  <c r="AJ39" i="1" s="1"/>
  <c r="AM39" i="1" s="1"/>
  <c r="AO39" i="1" s="1"/>
  <c r="AQ39" i="1" s="1"/>
  <c r="AR39" i="1" s="1"/>
  <c r="AS39" i="1" s="1"/>
  <c r="AU39" i="1"/>
  <c r="AU42" i="1"/>
  <c r="AF42" i="1"/>
  <c r="AH42" i="1" s="1"/>
  <c r="AJ42" i="1" s="1"/>
  <c r="AM42" i="1" s="1"/>
  <c r="AO42" i="1" s="1"/>
  <c r="AQ42" i="1" s="1"/>
  <c r="AR42" i="1" s="1"/>
  <c r="AS42" i="1" s="1"/>
  <c r="AU28" i="1"/>
  <c r="AF28" i="1"/>
  <c r="AH28" i="1" s="1"/>
  <c r="AJ28" i="1" s="1"/>
  <c r="AM28" i="1" s="1"/>
  <c r="AO28" i="1" s="1"/>
  <c r="AQ28" i="1" s="1"/>
  <c r="AR28" i="1" s="1"/>
  <c r="AS28" i="1" s="1"/>
  <c r="AF53" i="1"/>
  <c r="AH53" i="1" s="1"/>
  <c r="AJ53" i="1" s="1"/>
  <c r="AM53" i="1" s="1"/>
  <c r="AO53" i="1" s="1"/>
  <c r="AQ53" i="1" s="1"/>
  <c r="AR53" i="1" s="1"/>
  <c r="AS53" i="1" s="1"/>
  <c r="AU53" i="1"/>
  <c r="AF16" i="1"/>
  <c r="AH16" i="1" s="1"/>
  <c r="AJ16" i="1" s="1"/>
  <c r="AM16" i="1" s="1"/>
  <c r="AO16" i="1" s="1"/>
  <c r="AQ16" i="1" s="1"/>
  <c r="AR16" i="1" s="1"/>
  <c r="AS16" i="1" s="1"/>
  <c r="AF48" i="1"/>
  <c r="AH48" i="1" s="1"/>
  <c r="AJ48" i="1" s="1"/>
  <c r="AM48" i="1" s="1"/>
  <c r="AO48" i="1" s="1"/>
  <c r="AQ48" i="1" s="1"/>
  <c r="AR48" i="1" s="1"/>
  <c r="AS48" i="1" s="1"/>
  <c r="AU48" i="1"/>
  <c r="AF25" i="1"/>
  <c r="AH25" i="1" s="1"/>
  <c r="AJ25" i="1" s="1"/>
  <c r="AM25" i="1" s="1"/>
  <c r="AO25" i="1" s="1"/>
  <c r="AQ25" i="1" s="1"/>
  <c r="AR25" i="1" s="1"/>
  <c r="AS25" i="1" s="1"/>
  <c r="AU25" i="1"/>
  <c r="AJ33" i="1"/>
  <c r="AM33" i="1" s="1"/>
  <c r="AO33" i="1" s="1"/>
  <c r="AQ33" i="1" s="1"/>
  <c r="AR33" i="1" s="1"/>
  <c r="AS33" i="1" s="1"/>
  <c r="AS5" i="1" l="1"/>
  <c r="AS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<sst xmlns="http://schemas.openxmlformats.org/spreadsheetml/2006/main" count="809" uniqueCount="183">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</sst>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15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pivotButton="1"/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MEDO GALVEZ Jorge Luis" refreshedDate="46287.430380787038" createdVersion="8" refreshedVersion="8" minRefreshableVersion="3" recordCount="54" xr:uid="{0E917E52-5C21-475E-841A-931B20B6E50C}">
  <cacheSource type="worksheet">
    <worksheetSource ref="A1:AY55" sheet="VTT actif"/>
  </cacheSource>
  <cacheFields count="51">
    <cacheField name="ID" numFmtId="0">
      <sharedItems containsMixedTypes="1" containsNumber="1" containsInteger="1" minValue="60" maxValue="1084"/>
    </cacheField>
    <cacheField name="Destin Country" numFmtId="0">
      <sharedItems/>
    </cacheField>
    <cacheField name="POL" numFmtId="0">
      <sharedItems count="17">
        <s v="CNSHA"/>
        <s v="JPNGO"/>
        <s v="JPYOK"/>
        <s v="FRLEH"/>
        <s v="INENR"/>
        <s v="INNSA"/>
        <s v="ESVLC"/>
        <s v="BRPNG"/>
        <s v="KRPUS"/>
        <s v="TRGEM"/>
        <s v="ROCND"/>
        <s v="INMAA"/>
        <s v="MAPTM"/>
        <s v="INKAT"/>
        <s v="MXVER"/>
        <s v="JPSMZ"/>
        <s v="MXATM"/>
      </sharedItems>
    </cacheField>
    <cacheField name="POD" numFmtId="0">
      <sharedItems count="18">
        <s v="PTLEI"/>
        <s v="ESALG"/>
        <s v="BRPNG"/>
        <s v="ROCND"/>
        <s v="FRLEH"/>
        <s v="TRYAR"/>
        <s v="ARROS"/>
        <s v="ESVLC"/>
        <s v="TRIZT"/>
        <s v="CLSAI"/>
        <s v="TRGEM"/>
        <s v="INMAA"/>
        <s v="COBUN"/>
        <s v="MACAS"/>
        <s v="MAPTM"/>
        <s v="SIKOP"/>
        <s v="COCTG"/>
        <s v="ARBUE"/>
      </sharedItems>
    </cacheField>
    <cacheField name="Carrier" numFmtId="0">
      <sharedItems/>
    </cacheField>
    <cacheField name="Compte Consignee" numFmtId="165">
      <sharedItems containsSemiMixedTypes="0" containsString="0" containsNumber="1" containsInteger="1" minValue="900383" maxValue="92000100"/>
    </cacheField>
    <cacheField name="Name Destin Site" numFmtId="0">
      <sharedItems/>
    </cacheField>
    <cacheField name="Compte ILN" numFmtId="164">
      <sharedItems containsSemiMixedTypes="0" containsString="0" containsNumber="1" containsInteger="1" minValue="0" maxValue="2533780546"/>
    </cacheField>
    <cacheField name=" ILN/FF" numFmtId="0">
      <sharedItems/>
    </cacheField>
    <cacheField name="Compte Shipper" numFmtId="164">
      <sharedItems containsSemiMixedTypes="0" containsString="0" containsNumber="1" containsInteger="1" minValue="28390" maxValue="2533780546"/>
    </cacheField>
    <cacheField name=" Shipper" numFmtId="0">
      <sharedItems/>
    </cacheField>
    <cacheField name="1 Day Customer Order" numFmtId="0">
      <sharedItems containsSemiMixedTypes="0" containsString="0" containsNumber="1" containsInteger="1" minValue="2" maxValue="8"/>
    </cacheField>
    <cacheField name="2 Day ILN Order" numFmtId="0">
      <sharedItems containsSemiMixedTypes="0" containsString="0" containsNumber="1" containsInteger="1" minValue="0" maxValue="9"/>
    </cacheField>
    <cacheField name="Delivery time to ILN/Shipper" numFmtId="0">
      <sharedItems containsSemiMixedTypes="0" containsString="0" containsNumber="1" containsInteger="1" minValue="0" maxValue="21"/>
    </cacheField>
    <cacheField name="3 First Receipt Days" numFmtId="0">
      <sharedItems containsSemiMixedTypes="0" containsString="0" containsNumber="1" containsInteger="1" minValue="0" maxValue="29"/>
    </cacheField>
    <cacheField name="3 .1 Time of Recept in ILN" numFmtId="0">
      <sharedItems containsSemiMixedTypes="0" containsString="0" containsNumber="1" containsInteger="1" minValue="0" maxValue="7"/>
    </cacheField>
    <cacheField name="3.2 First Receipt Days" numFmtId="0">
      <sharedItems containsSemiMixedTypes="0" containsString="0" containsNumber="1" containsInteger="1" minValue="0" maxValue="33"/>
    </cacheField>
    <cacheField name="4.1 Packaging préparation &amp; loading" numFmtId="0">
      <sharedItems containsSemiMixedTypes="0" containsString="0" containsNumber="1" containsInteger="1" minValue="9" maxValue="30"/>
    </cacheField>
    <cacheField name="4.2 Packaging préparation &amp; loading" numFmtId="0">
      <sharedItems containsSemiMixedTypes="0" containsString="0" containsNumber="1" containsInteger="1" minValue="0" maxValue="12"/>
    </cacheField>
    <cacheField name="4.3 Packaging préparation &amp; loading" numFmtId="0">
      <sharedItems containsSemiMixedTypes="0" containsString="0" containsNumber="1" containsInteger="1" minValue="15" maxValue="36"/>
    </cacheField>
    <cacheField name="5.1 Transport ILN to POL" numFmtId="0">
      <sharedItems containsSemiMixedTypes="0" containsString="0" containsNumber="1" containsInteger="1" minValue="15" maxValue="37"/>
    </cacheField>
    <cacheField name="5.2 Transport ILN to POL" numFmtId="0">
      <sharedItems containsSemiMixedTypes="0" containsString="0" containsNumber="1" containsInteger="1" minValue="1" maxValue="8"/>
    </cacheField>
    <cacheField name="5.3 Transport ILN to POL" numFmtId="0">
      <sharedItems containsSemiMixedTypes="0" containsString="0" containsNumber="1" containsInteger="1" minValue="18" maxValue="37"/>
    </cacheField>
    <cacheField name="First Day to POL" numFmtId="0">
      <sharedItems containsSemiMixedTypes="0" containsString="0" containsNumber="1" containsInteger="1" minValue="0" maxValue="4"/>
    </cacheField>
    <cacheField name="6 First Day to POL" numFmtId="0">
      <sharedItems containsSemiMixedTypes="0" containsString="0" containsNumber="1" containsInteger="1" minValue="18" maxValue="37"/>
    </cacheField>
    <cacheField name="7 Cutt off" numFmtId="0">
      <sharedItems containsSemiMixedTypes="0" containsString="0" containsNumber="1" containsInteger="1" minValue="19" maxValue="42"/>
    </cacheField>
    <cacheField name="8 ETD" numFmtId="0">
      <sharedItems containsSemiMixedTypes="0" containsString="0" containsNumber="1" containsInteger="1" minValue="22" maxValue="44"/>
    </cacheField>
    <cacheField name="FIXED DATA Day Cut Off" numFmtId="0">
      <sharedItems containsSemiMixedTypes="0" containsString="0" containsNumber="1" containsInteger="1" minValue="1" maxValue="6"/>
    </cacheField>
    <cacheField name="Day ETD" numFmtId="0">
      <sharedItems containsString="0" containsBlank="1" containsNumber="1" containsInteger="1" minValue="3" maxValue="11"/>
    </cacheField>
    <cacheField name="Wished ETD ILN" numFmtId="0">
      <sharedItems containsString="0" containsBlank="1" containsNumber="1" containsInteger="1" minValue="4" maxValue="13"/>
    </cacheField>
    <cacheField name="Transit time" numFmtId="0">
      <sharedItems containsSemiMixedTypes="0" containsString="0" containsNumber="1" containsInteger="1" minValue="16" maxValue="75"/>
    </cacheField>
    <cacheField name="9 ETD&gt;ETA" numFmtId="0">
      <sharedItems containsSemiMixedTypes="0" containsString="0" containsNumber="1" containsInteger="1" minValue="52" maxValue="109"/>
    </cacheField>
    <cacheField name="Time for security" numFmtId="0">
      <sharedItems containsSemiMixedTypes="0" containsString="0" containsNumber="1" containsInteger="1" minValue="0" maxValue="3"/>
    </cacheField>
    <cacheField name="10 Days flexibility 1" numFmtId="0">
      <sharedItems containsSemiMixedTypes="0" containsString="0" containsNumber="1" containsInteger="1" minValue="55" maxValue="112"/>
    </cacheField>
    <cacheField name="Time for security2 buffer" numFmtId="0">
      <sharedItems containsSemiMixedTypes="0" containsString="0" containsNumber="1" containsInteger="1" minValue="0" maxValue="14"/>
    </cacheField>
    <cacheField name="11 Days flexibility 2" numFmtId="0">
      <sharedItems containsSemiMixedTypes="0" containsString="0" containsNumber="1" containsInteger="1" minValue="55" maxValue="119"/>
    </cacheField>
    <cacheField name="Pilot" numFmtId="0">
      <sharedItems containsBlank="1" containsMixedTypes="1" containsNumber="1" containsInteger="1" minValue="0" maxValue="0"/>
    </cacheField>
    <cacheField name="Cust." numFmtId="0">
      <sharedItems containsSemiMixedTypes="0" containsString="0" containsNumber="1" containsInteger="1" minValue="0" maxValue="13"/>
    </cacheField>
    <cacheField name="12 Customs Clearance" numFmtId="0">
      <sharedItems containsSemiMixedTypes="0" containsString="0" containsNumber="1" containsInteger="1" minValue="56" maxValue="121"/>
    </cacheField>
    <cacheField name="Trpt POD/PFI vers Usine" numFmtId="0">
      <sharedItems containsSemiMixedTypes="0" containsString="0" containsNumber="1" containsInteger="1" minValue="0" maxValue="10"/>
    </cacheField>
    <cacheField name="13 Transport to Plant" numFmtId="0">
      <sharedItems containsSemiMixedTypes="0" containsString="0" containsNumber="1" containsInteger="1" minValue="63" maxValue="123"/>
    </cacheField>
    <cacheField name="Round." numFmtId="0">
      <sharedItems containsSemiMixedTypes="0" containsString="0" containsNumber="1" containsInteger="1" minValue="0" maxValue="6"/>
    </cacheField>
    <cacheField name="14 Rounding" numFmtId="0">
      <sharedItems containsSemiMixedTypes="0" containsString="0" containsNumber="1" containsInteger="1" minValue="63" maxValue="126"/>
    </cacheField>
    <cacheField name="15 Due Date" numFmtId="0">
      <sharedItems containsSemiMixedTypes="0" containsString="0" containsNumber="1" containsInteger="1" minValue="70" maxValue="133"/>
    </cacheField>
    <cacheField name="16 Manufacturing" numFmtId="0">
      <sharedItems containsSemiMixedTypes="0" containsString="0" containsNumber="1" containsInteger="1" minValue="77" maxValue="150"/>
    </cacheField>
    <cacheField name="Safety stock" numFmtId="0">
      <sharedItems containsSemiMixedTypes="0" containsString="0" containsNumber="1" containsInteger="1" minValue="0" maxValue="17"/>
    </cacheField>
    <cacheField name="Parts Vanning" numFmtId="0">
      <sharedItems containsSemiMixedTypes="0" containsString="0" containsNumber="1" containsInteger="1" minValue="7" maxValue="27"/>
    </cacheField>
    <cacheField name="Flow Type " numFmtId="0">
      <sharedItems count="3">
        <s v="Direct"/>
        <s v="Indirect"/>
        <s v="MLP"/>
      </sharedItems>
    </cacheField>
    <cacheField name="Comodity" numFmtId="0">
      <sharedItems/>
    </cacheField>
    <cacheField name="X-flows" numFmtId="0">
      <sharedItems/>
    </cacheField>
    <cacheField name="Expiration Date" numFmtId="14">
      <sharedItems containsSemiMixedTypes="0" containsNonDate="0" containsDate="1" containsString="0" minDate="2026-04-30T00:00:00" maxDate="2027-05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O001"/>
    <s v="PORTUGAL"/>
    <x v="0"/>
    <x v="0"/>
    <s v="Hapag Lloyd"/>
    <n v="90016500"/>
    <s v="Horse Portugal"/>
    <n v="0"/>
    <s v="DSV"/>
    <n v="29159"/>
    <s v="INFIMOTION"/>
    <n v="5"/>
    <n v="8"/>
    <n v="1"/>
    <n v="8"/>
    <n v="6"/>
    <n v="13"/>
    <n v="9"/>
    <n v="12"/>
    <n v="20"/>
    <n v="22"/>
    <n v="5"/>
    <n v="26"/>
    <n v="0"/>
    <n v="29"/>
    <n v="29"/>
    <n v="31"/>
    <n v="4"/>
    <m/>
    <m/>
    <n v="41"/>
    <n v="71"/>
    <n v="3"/>
    <n v="74"/>
    <n v="0"/>
    <n v="74"/>
    <m/>
    <n v="5"/>
    <n v="79"/>
    <n v="2"/>
    <n v="81"/>
    <n v="3"/>
    <n v="84"/>
    <n v="91"/>
    <n v="112"/>
    <n v="14"/>
    <n v="22"/>
    <x v="0"/>
    <s v="Parts"/>
    <s v="Renault &gt; Horse"/>
    <d v="2027-04-30T00:00:00"/>
  </r>
  <r>
    <s v="O002"/>
    <s v="SPAIN"/>
    <x v="0"/>
    <x v="1"/>
    <s v="Hapag Lloyd"/>
    <n v="90016500"/>
    <s v="Horse Sevilla"/>
    <n v="0"/>
    <s v="DSV"/>
    <n v="29159"/>
    <s v="INFIMOTION"/>
    <n v="5"/>
    <n v="8"/>
    <n v="1"/>
    <n v="8"/>
    <n v="6"/>
    <n v="13"/>
    <n v="9"/>
    <n v="12"/>
    <n v="20"/>
    <n v="22"/>
    <n v="5"/>
    <n v="26"/>
    <n v="4"/>
    <n v="29"/>
    <n v="34"/>
    <n v="36"/>
    <n v="4"/>
    <m/>
    <m/>
    <n v="34"/>
    <n v="69"/>
    <n v="3"/>
    <n v="72"/>
    <n v="0"/>
    <n v="72"/>
    <m/>
    <n v="2"/>
    <n v="74"/>
    <n v="1"/>
    <n v="75"/>
    <n v="3"/>
    <n v="78"/>
    <n v="82"/>
    <n v="103"/>
    <n v="14"/>
    <n v="27"/>
    <x v="0"/>
    <s v="Parts"/>
    <s v="Renault &gt; Horse"/>
    <d v="2027-04-30T00:00:00"/>
  </r>
  <r>
    <s v="O003"/>
    <s v="BRAZIL"/>
    <x v="1"/>
    <x v="2"/>
    <s v="Hyundai"/>
    <n v="90018600"/>
    <s v="Horse Brazil"/>
    <n v="0"/>
    <s v="DSV"/>
    <n v="112741"/>
    <s v="Aichikikai Japon"/>
    <n v="7"/>
    <n v="9"/>
    <n v="14"/>
    <n v="22"/>
    <n v="5"/>
    <n v="26"/>
    <n v="23"/>
    <n v="7"/>
    <n v="29"/>
    <n v="30"/>
    <n v="2"/>
    <n v="31"/>
    <n v="3"/>
    <n v="31"/>
    <n v="33"/>
    <n v="34"/>
    <n v="2"/>
    <n v="4"/>
    <n v="11"/>
    <n v="52"/>
    <n v="85"/>
    <n v="3"/>
    <n v="88"/>
    <n v="0"/>
    <n v="88"/>
    <s v="Max"/>
    <n v="2"/>
    <n v="90"/>
    <n v="2"/>
    <n v="92"/>
    <n v="6"/>
    <n v="98"/>
    <n v="105"/>
    <n v="112"/>
    <n v="0"/>
    <n v="11"/>
    <x v="0"/>
    <s v="Parts"/>
    <s v="Nissan &gt; Horse"/>
    <d v="2027-04-30T00:00:00"/>
  </r>
  <r>
    <s v="O004"/>
    <s v="ROMANIA"/>
    <x v="2"/>
    <x v="3"/>
    <s v="MSC"/>
    <n v="90012500"/>
    <s v="Horse Romania"/>
    <n v="0"/>
    <s v="DSV"/>
    <n v="29159"/>
    <s v="NML"/>
    <n v="7"/>
    <n v="9"/>
    <n v="14"/>
    <n v="22"/>
    <n v="5"/>
    <n v="26"/>
    <n v="23"/>
    <n v="7"/>
    <n v="29"/>
    <n v="30"/>
    <n v="2"/>
    <n v="31"/>
    <n v="0"/>
    <n v="32"/>
    <n v="33"/>
    <n v="37"/>
    <n v="1"/>
    <n v="3"/>
    <n v="10"/>
    <n v="69"/>
    <n v="105"/>
    <n v="3"/>
    <n v="108"/>
    <n v="0"/>
    <n v="108"/>
    <s v="Max"/>
    <n v="2"/>
    <n v="110"/>
    <n v="7"/>
    <n v="117"/>
    <n v="5"/>
    <n v="122"/>
    <n v="129"/>
    <n v="136"/>
    <n v="0"/>
    <n v="14"/>
    <x v="0"/>
    <s v="Parts"/>
    <s v="Nissan &gt; Horse"/>
    <d v="2027-04-30T00:00:00"/>
  </r>
  <r>
    <s v="O005"/>
    <s v="SPAIN"/>
    <x v="2"/>
    <x v="1"/>
    <s v="MSC"/>
    <n v="90016500"/>
    <s v="Horse Sevilla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3"/>
    <n v="33"/>
    <n v="38"/>
    <n v="6"/>
    <n v="7"/>
    <n v="7"/>
    <n v="45"/>
    <n v="82"/>
    <n v="3"/>
    <n v="85"/>
    <n v="0"/>
    <n v="85"/>
    <s v="Max"/>
    <n v="2"/>
    <n v="87"/>
    <n v="1"/>
    <n v="88"/>
    <n v="3"/>
    <n v="91"/>
    <n v="98"/>
    <n v="105"/>
    <n v="0"/>
    <n v="15"/>
    <x v="0"/>
    <s v="Parts"/>
    <s v="Nissan &gt; Horse"/>
    <d v="2027-04-30T00:00:00"/>
  </r>
  <r>
    <s v="O006"/>
    <s v="FRANCE"/>
    <x v="2"/>
    <x v="4"/>
    <s v="Evergreen"/>
    <n v="92000100"/>
    <s v="CLEON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0"/>
    <n v="31"/>
    <n v="34"/>
    <n v="4"/>
    <n v="5"/>
    <n v="5"/>
    <n v="48"/>
    <n v="81"/>
    <n v="0"/>
    <n v="81"/>
    <n v="0"/>
    <n v="81"/>
    <s v="Max"/>
    <n v="3"/>
    <n v="84"/>
    <n v="8"/>
    <n v="92"/>
    <n v="0"/>
    <n v="92"/>
    <n v="99"/>
    <n v="106"/>
    <n v="0"/>
    <n v="11"/>
    <x v="0"/>
    <s v="Parts"/>
    <s v="Nissan &gt; Renault"/>
    <d v="2026-04-30T00:00:00"/>
  </r>
  <r>
    <s v="O007"/>
    <s v="TURKEY"/>
    <x v="1"/>
    <x v="5"/>
    <s v="MSC"/>
    <n v="90014400"/>
    <s v="Horse Turkey"/>
    <n v="0"/>
    <s v="DSV"/>
    <n v="112741"/>
    <s v="Aichikikai Japon"/>
    <n v="2"/>
    <n v="9"/>
    <n v="14"/>
    <n v="22"/>
    <n v="5"/>
    <n v="26"/>
    <n v="23"/>
    <n v="7"/>
    <n v="29"/>
    <n v="30"/>
    <n v="2"/>
    <n v="30"/>
    <n v="2"/>
    <n v="30"/>
    <n v="30"/>
    <n v="32"/>
    <n v="3"/>
    <n v="4"/>
    <n v="11"/>
    <n v="55"/>
    <n v="86"/>
    <n v="3"/>
    <n v="89"/>
    <n v="0"/>
    <n v="89"/>
    <s v="Max"/>
    <n v="4"/>
    <n v="93"/>
    <n v="2"/>
    <n v="95"/>
    <n v="1"/>
    <n v="96"/>
    <n v="103"/>
    <n v="110"/>
    <n v="0"/>
    <n v="9"/>
    <x v="0"/>
    <s v="Parts"/>
    <s v="Nissan &gt; Horse"/>
    <d v="2027-04-30T00:00:00"/>
  </r>
  <r>
    <s v="O008"/>
    <s v="ARGENTINA"/>
    <x v="3"/>
    <x v="6"/>
    <s v="MSC"/>
    <n v="90016000"/>
    <s v="Horse Argentina"/>
    <n v="0"/>
    <s v="DSV"/>
    <n v="5915200"/>
    <s v="STEEP"/>
    <n v="7"/>
    <n v="9"/>
    <n v="7"/>
    <n v="15"/>
    <n v="5"/>
    <n v="19"/>
    <n v="16"/>
    <n v="3"/>
    <n v="18"/>
    <n v="19"/>
    <n v="5"/>
    <n v="23"/>
    <n v="2"/>
    <n v="23"/>
    <n v="23"/>
    <n v="25"/>
    <n v="3"/>
    <n v="5"/>
    <n v="5"/>
    <n v="40"/>
    <n v="64"/>
    <n v="3"/>
    <n v="67"/>
    <n v="0"/>
    <n v="67"/>
    <n v="0"/>
    <n v="13"/>
    <n v="80"/>
    <n v="2"/>
    <n v="82"/>
    <n v="0"/>
    <n v="82"/>
    <n v="89"/>
    <n v="96"/>
    <n v="0"/>
    <n v="9"/>
    <x v="0"/>
    <s v="Parts"/>
    <s v="Renault &gt; Horse"/>
    <d v="2027-04-30T00:00:00"/>
  </r>
  <r>
    <s v="O009"/>
    <s v="SPAIN"/>
    <x v="0"/>
    <x v="7"/>
    <s v="MSC"/>
    <n v="91017700"/>
    <s v="Horse Valladolid"/>
    <n v="0"/>
    <s v="DSV"/>
    <n v="29159"/>
    <s v="WUHAN JINRUI TECH"/>
    <n v="5"/>
    <n v="9"/>
    <n v="2"/>
    <n v="10"/>
    <n v="5"/>
    <n v="14"/>
    <n v="10"/>
    <n v="12"/>
    <n v="21"/>
    <n v="16"/>
    <n v="7"/>
    <n v="22"/>
    <n v="1"/>
    <n v="22"/>
    <n v="22"/>
    <n v="25"/>
    <n v="4"/>
    <m/>
    <m/>
    <n v="39"/>
    <n v="63"/>
    <n v="3"/>
    <n v="66"/>
    <n v="0"/>
    <n v="66"/>
    <m/>
    <n v="9"/>
    <n v="75"/>
    <n v="8"/>
    <n v="83"/>
    <n v="2"/>
    <n v="85"/>
    <n v="92"/>
    <n v="113"/>
    <n v="14"/>
    <n v="15"/>
    <x v="0"/>
    <s v="Parts"/>
    <s v="Renault &gt; Horse"/>
    <d v="2027-04-30T00:00:00"/>
  </r>
  <r>
    <s v="O010"/>
    <s v="TURKEY"/>
    <x v="0"/>
    <x v="8"/>
    <s v="Hapag Lloyd"/>
    <n v="90014400"/>
    <s v="Horse Turkey"/>
    <n v="0"/>
    <s v="DSV"/>
    <n v="29159"/>
    <s v="WUHAN JINRUI TECH"/>
    <n v="5"/>
    <n v="9"/>
    <n v="2"/>
    <n v="10"/>
    <n v="5"/>
    <n v="14"/>
    <n v="15"/>
    <n v="0"/>
    <n v="15"/>
    <n v="15"/>
    <n v="4"/>
    <n v="18"/>
    <n v="1"/>
    <n v="18"/>
    <n v="19"/>
    <n v="22"/>
    <n v="4"/>
    <m/>
    <m/>
    <n v="46"/>
    <n v="67"/>
    <n v="3"/>
    <n v="70"/>
    <n v="0"/>
    <n v="70"/>
    <m/>
    <n v="10"/>
    <n v="80"/>
    <n v="2"/>
    <n v="82"/>
    <n v="2"/>
    <n v="84"/>
    <n v="91"/>
    <n v="112"/>
    <n v="14"/>
    <n v="7"/>
    <x v="0"/>
    <s v="Parts"/>
    <s v="Renault &gt; Horse"/>
    <d v="2026-05-01T00:00:00"/>
  </r>
  <r>
    <s v="O011"/>
    <s v="PORTUGAL"/>
    <x v="2"/>
    <x v="0"/>
    <s v="MAERSK"/>
    <n v="90016500"/>
    <s v="Horse Portugal"/>
    <n v="0"/>
    <s v="DSV"/>
    <n v="29159"/>
    <s v="NITCO"/>
    <n v="8"/>
    <n v="0"/>
    <n v="14"/>
    <n v="9"/>
    <n v="7"/>
    <n v="15"/>
    <n v="15"/>
    <n v="7"/>
    <n v="21"/>
    <n v="22"/>
    <n v="4"/>
    <n v="25"/>
    <n v="1"/>
    <n v="25"/>
    <n v="25"/>
    <n v="29"/>
    <n v="6"/>
    <n v="7"/>
    <n v="7"/>
    <n v="50"/>
    <n v="78"/>
    <n v="3"/>
    <n v="81"/>
    <n v="0"/>
    <n v="81"/>
    <s v="Max"/>
    <n v="10"/>
    <n v="91"/>
    <n v="5"/>
    <n v="96"/>
    <n v="3"/>
    <n v="99"/>
    <n v="106"/>
    <n v="113"/>
    <n v="0"/>
    <n v="14"/>
    <x v="0"/>
    <s v="Parts"/>
    <s v="Nissan &gt; Horse"/>
    <d v="2027-04-30T00:00:00"/>
  </r>
  <r>
    <n v="60"/>
    <s v="CHILE"/>
    <x v="3"/>
    <x v="9"/>
    <s v="Hapag Lloyd"/>
    <n v="90009500"/>
    <s v="Horse Chile"/>
    <n v="92000100"/>
    <s v="ILN France"/>
    <n v="92000100"/>
    <s v="ILN France"/>
    <n v="7"/>
    <n v="9"/>
    <n v="7"/>
    <n v="15"/>
    <n v="5"/>
    <n v="19"/>
    <n v="16"/>
    <n v="7"/>
    <n v="22"/>
    <n v="23"/>
    <n v="1"/>
    <n v="23"/>
    <n v="0"/>
    <n v="25"/>
    <n v="25"/>
    <n v="27"/>
    <n v="3"/>
    <n v="7"/>
    <n v="7"/>
    <n v="46"/>
    <n v="72"/>
    <n v="3"/>
    <n v="75"/>
    <n v="7"/>
    <n v="82"/>
    <s v="Marc-Aurele"/>
    <n v="2"/>
    <n v="84"/>
    <n v="2"/>
    <n v="86"/>
    <n v="5"/>
    <n v="91"/>
    <n v="98"/>
    <n v="115"/>
    <n v="10"/>
    <n v="11"/>
    <x v="1"/>
    <s v="Parts"/>
    <s v="Renault &gt; Horse"/>
    <d v="2027-04-30T00:00:00"/>
  </r>
  <r>
    <n v="120"/>
    <s v="CHILE"/>
    <x v="4"/>
    <x v="9"/>
    <s v="ONE"/>
    <n v="90009500"/>
    <s v="Horse Chile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3"/>
    <n v="33"/>
    <n v="35"/>
    <n v="3"/>
    <n v="7"/>
    <n v="7"/>
    <n v="68"/>
    <n v="102"/>
    <n v="3"/>
    <n v="105"/>
    <n v="7"/>
    <n v="112"/>
    <s v="Marc-Aurele"/>
    <n v="2"/>
    <n v="114"/>
    <n v="2"/>
    <n v="116"/>
    <n v="3"/>
    <n v="119"/>
    <n v="126"/>
    <n v="143"/>
    <n v="10"/>
    <n v="12"/>
    <x v="1"/>
    <s v="Parts"/>
    <s v="Renault &gt; Horse"/>
    <d v="2027-04-30T00:00:00"/>
  </r>
  <r>
    <n v="121"/>
    <s v="CHILE"/>
    <x v="5"/>
    <x v="9"/>
    <s v="ONE"/>
    <n v="90009500"/>
    <s v="Horse Chile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3"/>
    <n v="35"/>
    <n v="3"/>
    <n v="4"/>
    <n v="11"/>
    <n v="75"/>
    <n v="109"/>
    <n v="3"/>
    <n v="112"/>
    <n v="7"/>
    <n v="119"/>
    <s v="Marc-Aurele"/>
    <n v="2"/>
    <n v="121"/>
    <n v="2"/>
    <n v="123"/>
    <n v="3"/>
    <n v="126"/>
    <n v="133"/>
    <n v="150"/>
    <n v="10"/>
    <n v="12"/>
    <x v="1"/>
    <s v="Parts"/>
    <s v="Renault &gt; Horse"/>
    <d v="2027-04-30T00:00:00"/>
  </r>
  <r>
    <n v="233"/>
    <s v="CHILE"/>
    <x v="6"/>
    <x v="9"/>
    <s v="CMA-CGM"/>
    <n v="90009500"/>
    <s v="Horse Chile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41"/>
    <n v="73"/>
    <n v="3"/>
    <n v="76"/>
    <n v="0"/>
    <n v="76"/>
    <s v="Max"/>
    <n v="2"/>
    <n v="78"/>
    <n v="2"/>
    <n v="80"/>
    <n v="4"/>
    <n v="84"/>
    <n v="91"/>
    <n v="104"/>
    <n v="6"/>
    <n v="17"/>
    <x v="1"/>
    <s v="Parts"/>
    <s v="Renault &gt; Horse"/>
    <d v="2027-04-30T00:00:00"/>
  </r>
  <r>
    <n v="416"/>
    <s v="TURKEY"/>
    <x v="7"/>
    <x v="8"/>
    <s v="CMA-CGM"/>
    <n v="90014400"/>
    <s v="Horse Turkey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4"/>
    <n v="11"/>
    <n v="46"/>
    <n v="77"/>
    <n v="3"/>
    <n v="80"/>
    <n v="0"/>
    <n v="80"/>
    <s v="Jocelyn"/>
    <n v="4"/>
    <n v="84"/>
    <n v="3"/>
    <n v="87"/>
    <n v="4"/>
    <n v="91"/>
    <n v="98"/>
    <n v="112"/>
    <n v="7"/>
    <n v="16"/>
    <x v="1"/>
    <s v="Parts"/>
    <s v="Renault &gt; Horse "/>
    <d v="2027-04-30T00:00:00"/>
  </r>
  <r>
    <n v="901"/>
    <s v="ROMANIA"/>
    <x v="7"/>
    <x v="3"/>
    <s v="CMA-CGM"/>
    <n v="90012500"/>
    <s v="Horse Romania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6"/>
    <n v="13"/>
    <n v="49"/>
    <n v="80"/>
    <n v="3"/>
    <n v="83"/>
    <n v="0"/>
    <n v="83"/>
    <s v="Jocelyn"/>
    <n v="1"/>
    <n v="84"/>
    <n v="8"/>
    <n v="92"/>
    <n v="6"/>
    <n v="98"/>
    <n v="105"/>
    <n v="119"/>
    <n v="7"/>
    <n v="16"/>
    <x v="1"/>
    <s v="Parts"/>
    <s v="Renault &gt; Horse"/>
    <d v="2027-04-30T00:00:00"/>
  </r>
  <r>
    <n v="904"/>
    <s v="TURKEY"/>
    <x v="8"/>
    <x v="10"/>
    <s v="Hyundai"/>
    <n v="90014400"/>
    <s v="Horse Turkey"/>
    <n v="95436"/>
    <s v="ILN Busan"/>
    <n v="95436"/>
    <s v="ILN Busan"/>
    <n v="2"/>
    <n v="9"/>
    <n v="14"/>
    <n v="22"/>
    <n v="5"/>
    <n v="26"/>
    <n v="23"/>
    <n v="7"/>
    <n v="29"/>
    <n v="30"/>
    <n v="1"/>
    <n v="30"/>
    <n v="0"/>
    <n v="31"/>
    <n v="37"/>
    <n v="39"/>
    <n v="3"/>
    <n v="7"/>
    <n v="7"/>
    <n v="57"/>
    <n v="95"/>
    <n v="3"/>
    <n v="98"/>
    <n v="14"/>
    <n v="112"/>
    <s v="Marc-Aurele"/>
    <n v="4"/>
    <n v="116"/>
    <n v="3"/>
    <n v="119"/>
    <n v="0"/>
    <n v="119"/>
    <n v="126"/>
    <n v="147"/>
    <n v="14"/>
    <n v="16"/>
    <x v="1"/>
    <s v="Parts"/>
    <s v="Renault &gt; Horse"/>
    <d v="2027-04-30T00:00:00"/>
  </r>
  <r>
    <n v="906"/>
    <s v="BRAZIL"/>
    <x v="8"/>
    <x v="2"/>
    <s v="Hyundai"/>
    <n v="90018600"/>
    <s v="Horse Brazil"/>
    <n v="95436"/>
    <s v="ILN Busan"/>
    <n v="95436"/>
    <s v="ILN Busan"/>
    <n v="7"/>
    <n v="9"/>
    <n v="14"/>
    <n v="22"/>
    <n v="5"/>
    <n v="26"/>
    <n v="23"/>
    <n v="7"/>
    <n v="29"/>
    <n v="30"/>
    <n v="1"/>
    <n v="30"/>
    <n v="0"/>
    <n v="33"/>
    <n v="37"/>
    <n v="38"/>
    <n v="2"/>
    <n v="7"/>
    <n v="7"/>
    <n v="47"/>
    <n v="84"/>
    <n v="3"/>
    <n v="87"/>
    <n v="14"/>
    <n v="101"/>
    <s v="Marc-Aurele"/>
    <n v="2"/>
    <n v="103"/>
    <n v="2"/>
    <n v="105"/>
    <n v="0"/>
    <n v="105"/>
    <n v="112"/>
    <n v="134"/>
    <n v="15"/>
    <n v="15"/>
    <x v="1"/>
    <s v="Parts"/>
    <s v="Renault &gt; Horse"/>
    <d v="2027-04-30T00:00:00"/>
  </r>
  <r>
    <n v="907"/>
    <s v="BRAZIL"/>
    <x v="9"/>
    <x v="2"/>
    <s v="CMA-CGM"/>
    <n v="90018600"/>
    <s v="Horse Brazil"/>
    <n v="95112"/>
    <s v="ILN Bursa"/>
    <n v="95112"/>
    <s v="ILN Bursa"/>
    <n v="7"/>
    <n v="9"/>
    <n v="7"/>
    <n v="15"/>
    <n v="5"/>
    <n v="19"/>
    <n v="16"/>
    <n v="7"/>
    <n v="22"/>
    <n v="23"/>
    <n v="1"/>
    <n v="23"/>
    <n v="0"/>
    <n v="26"/>
    <n v="31"/>
    <n v="34"/>
    <n v="4"/>
    <n v="5"/>
    <n v="12"/>
    <n v="40"/>
    <n v="73"/>
    <n v="3"/>
    <n v="76"/>
    <n v="0"/>
    <n v="76"/>
    <s v="Max"/>
    <n v="2"/>
    <n v="78"/>
    <n v="2"/>
    <n v="80"/>
    <n v="4"/>
    <n v="84"/>
    <n v="91"/>
    <n v="112"/>
    <n v="14"/>
    <n v="18"/>
    <x v="1"/>
    <s v="Parts"/>
    <s v="Renault &gt; Horse"/>
    <d v="2027-04-30T00:00:00"/>
  </r>
  <r>
    <n v="908"/>
    <s v="BRAZIL"/>
    <x v="10"/>
    <x v="2"/>
    <s v="MAERSK"/>
    <n v="90018600"/>
    <s v="Horse Brazil"/>
    <n v="28390"/>
    <s v="ILN Mioveni"/>
    <n v="28390"/>
    <s v="ILN Mioveni"/>
    <n v="7"/>
    <n v="9"/>
    <n v="14"/>
    <n v="22"/>
    <n v="5"/>
    <n v="26"/>
    <n v="23"/>
    <n v="7"/>
    <n v="29"/>
    <n v="30"/>
    <n v="4"/>
    <n v="33"/>
    <n v="0"/>
    <n v="33"/>
    <n v="36"/>
    <n v="40"/>
    <n v="2"/>
    <n v="7"/>
    <n v="7"/>
    <n v="33"/>
    <n v="72"/>
    <n v="3"/>
    <n v="75"/>
    <n v="7"/>
    <n v="82"/>
    <s v="Julien"/>
    <n v="2"/>
    <n v="84"/>
    <n v="2"/>
    <n v="86"/>
    <n v="5"/>
    <n v="91"/>
    <n v="98"/>
    <n v="121"/>
    <n v="16"/>
    <n v="17"/>
    <x v="1"/>
    <s v="Parts"/>
    <s v="Renault &gt; Horse"/>
    <d v="2027-04-30T00:00:00"/>
  </r>
  <r>
    <n v="910"/>
    <s v="BRAZIL"/>
    <x v="3"/>
    <x v="2"/>
    <s v="Maesrk"/>
    <n v="90018600"/>
    <s v="Horse Brazil"/>
    <n v="92000100"/>
    <s v="ILN France"/>
    <n v="92000100"/>
    <s v="ILN France"/>
    <n v="7"/>
    <n v="9"/>
    <n v="14"/>
    <n v="22"/>
    <n v="5"/>
    <n v="26"/>
    <n v="23"/>
    <n v="7"/>
    <n v="29"/>
    <n v="30"/>
    <n v="1"/>
    <n v="30"/>
    <n v="0"/>
    <n v="36"/>
    <n v="37"/>
    <n v="39"/>
    <n v="3"/>
    <n v="6"/>
    <n v="13"/>
    <n v="26"/>
    <n v="64"/>
    <n v="3"/>
    <n v="67"/>
    <n v="7"/>
    <n v="74"/>
    <s v="Jocelyn"/>
    <n v="2"/>
    <n v="76"/>
    <n v="2"/>
    <n v="78"/>
    <n v="6"/>
    <n v="84"/>
    <n v="91"/>
    <n v="112"/>
    <n v="14"/>
    <n v="16"/>
    <x v="1"/>
    <s v="Parts"/>
    <s v="Renault &gt; Horse"/>
    <d v="2027-04-30T00:00:00"/>
  </r>
  <r>
    <n v="912"/>
    <s v="BRAZIL"/>
    <x v="5"/>
    <x v="2"/>
    <s v="ONE"/>
    <n v="90018600"/>
    <s v="Horse Brazil"/>
    <n v="2533780535"/>
    <s v="ILN Pune"/>
    <n v="2533780535"/>
    <s v="ILN Pune"/>
    <n v="7"/>
    <n v="9"/>
    <n v="14"/>
    <n v="22"/>
    <n v="5"/>
    <n v="26"/>
    <n v="23"/>
    <n v="7"/>
    <n v="29"/>
    <n v="30"/>
    <n v="4"/>
    <n v="33"/>
    <n v="0"/>
    <n v="33"/>
    <n v="33"/>
    <n v="35"/>
    <n v="3"/>
    <n v="4"/>
    <n v="11"/>
    <n v="44"/>
    <n v="78"/>
    <n v="3"/>
    <n v="81"/>
    <n v="7"/>
    <n v="88"/>
    <s v="Marc-Aurele"/>
    <n v="2"/>
    <n v="90"/>
    <n v="2"/>
    <n v="92"/>
    <n v="6"/>
    <n v="98"/>
    <n v="105"/>
    <n v="121"/>
    <n v="9"/>
    <n v="12"/>
    <x v="1"/>
    <s v="Parts"/>
    <s v="Renault &gt; Horse"/>
    <d v="2027-04-30T00:00:00"/>
  </r>
  <r>
    <n v="915"/>
    <s v="ROMANIA"/>
    <x v="4"/>
    <x v="3"/>
    <s v="CMA-CGM"/>
    <n v="90012500"/>
    <s v="Horse Romania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5"/>
    <n v="38"/>
    <n v="2"/>
    <n v="4"/>
    <n v="11"/>
    <n v="43"/>
    <n v="80"/>
    <n v="3"/>
    <n v="83"/>
    <n v="14"/>
    <n v="97"/>
    <s v="Marc-Aurele"/>
    <n v="1"/>
    <n v="98"/>
    <n v="8"/>
    <n v="106"/>
    <n v="6"/>
    <n v="112"/>
    <n v="119"/>
    <n v="139"/>
    <n v="13"/>
    <n v="15"/>
    <x v="1"/>
    <s v="Parts"/>
    <s v="Renault &gt; Horse"/>
    <d v="2027-04-30T00:00:00"/>
  </r>
  <r>
    <n v="916"/>
    <s v="SPAIN"/>
    <x v="7"/>
    <x v="7"/>
    <s v="Hapag Lloyd"/>
    <n v="91017700"/>
    <s v="Horse Valladolid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1"/>
    <n v="33"/>
    <n v="3"/>
    <n v="5"/>
    <n v="12"/>
    <n v="27"/>
    <n v="59"/>
    <n v="3"/>
    <n v="62"/>
    <n v="7"/>
    <n v="69"/>
    <s v="Jocelyn"/>
    <n v="2"/>
    <n v="71"/>
    <n v="9"/>
    <n v="80"/>
    <n v="4"/>
    <n v="84"/>
    <n v="91"/>
    <n v="111"/>
    <n v="13"/>
    <n v="17"/>
    <x v="1"/>
    <s v="Parts"/>
    <s v="Renault &gt; Horse"/>
    <d v="2027-04-30T00:00:00"/>
  </r>
  <r>
    <n v="917"/>
    <s v="TURKEY"/>
    <x v="11"/>
    <x v="8"/>
    <s v="MAERSK"/>
    <n v="90014400"/>
    <s v="Horse Turkey"/>
    <n v="2533780546"/>
    <s v="ILN Chennai"/>
    <n v="2533780546"/>
    <s v="ILN Chennai"/>
    <n v="2"/>
    <n v="9"/>
    <n v="14"/>
    <n v="22"/>
    <n v="5"/>
    <n v="26"/>
    <n v="23"/>
    <n v="7"/>
    <n v="29"/>
    <n v="30"/>
    <n v="2"/>
    <n v="31"/>
    <n v="0"/>
    <n v="33"/>
    <n v="36"/>
    <n v="37"/>
    <n v="2"/>
    <n v="9"/>
    <n v="9"/>
    <n v="37"/>
    <n v="73"/>
    <n v="3"/>
    <n v="76"/>
    <n v="14"/>
    <n v="90"/>
    <s v="Marc-Aurele"/>
    <n v="2"/>
    <n v="92"/>
    <n v="2"/>
    <n v="94"/>
    <n v="4"/>
    <n v="98"/>
    <n v="105"/>
    <n v="126"/>
    <n v="14"/>
    <n v="14"/>
    <x v="1"/>
    <s v="Parts"/>
    <s v="Renault &gt; Horse"/>
    <d v="2027-04-30T00:00:00"/>
  </r>
  <r>
    <n v="918"/>
    <s v="SPAIN"/>
    <x v="4"/>
    <x v="7"/>
    <s v="Hapag Lloyd"/>
    <n v="91017700"/>
    <s v="Horse Valladolid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1"/>
    <n v="35"/>
    <n v="37"/>
    <n v="3"/>
    <n v="6"/>
    <n v="6"/>
    <n v="36"/>
    <n v="72"/>
    <n v="3"/>
    <n v="75"/>
    <n v="14"/>
    <n v="89"/>
    <s v="Marc-Aurele"/>
    <n v="2"/>
    <n v="91"/>
    <n v="7"/>
    <n v="98"/>
    <n v="0"/>
    <n v="98"/>
    <n v="105"/>
    <n v="126"/>
    <n v="14"/>
    <n v="14"/>
    <x v="1"/>
    <s v="Parts"/>
    <s v="Renault &gt; Horse"/>
    <d v="2027-04-30T00:00:00"/>
  </r>
  <r>
    <n v="920"/>
    <s v="SPAIN"/>
    <x v="5"/>
    <x v="7"/>
    <s v="Hapag Lloyd"/>
    <n v="91017500"/>
    <s v="Horse Valladolid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39"/>
    <n v="77"/>
    <n v="3"/>
    <n v="80"/>
    <n v="0"/>
    <n v="80"/>
    <s v="Marc-Aurele"/>
    <n v="3"/>
    <n v="83"/>
    <n v="9"/>
    <n v="92"/>
    <n v="6"/>
    <n v="98"/>
    <n v="105"/>
    <n v="126"/>
    <n v="14"/>
    <n v="16"/>
    <x v="1"/>
    <s v="Parts"/>
    <s v="Renault &gt; Horse"/>
    <d v="2027-04-30T00:00:00"/>
  </r>
  <r>
    <n v="921"/>
    <s v="TURKEY"/>
    <x v="5"/>
    <x v="10"/>
    <s v="CMA-CGM"/>
    <n v="90014400"/>
    <s v="Horse Turkey"/>
    <n v="2533780535"/>
    <s v="ILN Pune"/>
    <n v="2533780535"/>
    <s v="ILN Pune"/>
    <n v="2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46"/>
    <n v="84"/>
    <n v="3"/>
    <n v="87"/>
    <n v="7"/>
    <n v="94"/>
    <s v="Marc-Aurele"/>
    <n v="2"/>
    <n v="96"/>
    <n v="2"/>
    <n v="98"/>
    <n v="0"/>
    <n v="98"/>
    <n v="105"/>
    <n v="126"/>
    <n v="14"/>
    <n v="16"/>
    <x v="1"/>
    <s v="Parts"/>
    <s v="Renault &gt; Horse"/>
    <d v="2027-04-30T00:00:00"/>
  </r>
  <r>
    <n v="924"/>
    <s v="ROMANIA"/>
    <x v="12"/>
    <x v="3"/>
    <s v="MAERSK"/>
    <n v="90012500"/>
    <s v="Horse Romania"/>
    <n v="92050300"/>
    <s v="ILN Tanger"/>
    <n v="92050300"/>
    <s v="ILN Tanger"/>
    <n v="7"/>
    <n v="9"/>
    <n v="7"/>
    <n v="15"/>
    <n v="5"/>
    <n v="19"/>
    <n v="16"/>
    <n v="7"/>
    <n v="22"/>
    <n v="23"/>
    <n v="3"/>
    <n v="25"/>
    <n v="0"/>
    <n v="25"/>
    <n v="30"/>
    <n v="32"/>
    <n v="3"/>
    <n v="7"/>
    <n v="7"/>
    <n v="21"/>
    <n v="52"/>
    <n v="3"/>
    <n v="55"/>
    <n v="0"/>
    <n v="55"/>
    <s v="Julien"/>
    <n v="1"/>
    <n v="56"/>
    <n v="8"/>
    <n v="64"/>
    <n v="6"/>
    <n v="70"/>
    <n v="77"/>
    <n v="84"/>
    <n v="0"/>
    <n v="16"/>
    <x v="1"/>
    <s v="Parts"/>
    <s v="Renault &gt; Horse "/>
    <d v="2027-04-30T00:00:00"/>
  </r>
  <r>
    <n v="925"/>
    <s v="BRAZIL"/>
    <x v="13"/>
    <x v="2"/>
    <s v="ONE"/>
    <n v="90018600"/>
    <s v="Horse Brazil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3"/>
    <n v="35"/>
    <n v="3"/>
    <n v="7"/>
    <n v="7"/>
    <n v="40"/>
    <n v="74"/>
    <n v="3"/>
    <n v="77"/>
    <n v="14"/>
    <n v="91"/>
    <s v="Marc-Aurele"/>
    <n v="2"/>
    <n v="93"/>
    <n v="2"/>
    <n v="95"/>
    <n v="3"/>
    <n v="98"/>
    <n v="105"/>
    <n v="126"/>
    <n v="14"/>
    <n v="12"/>
    <x v="1"/>
    <s v="Parts"/>
    <s v="Renault &gt; Horse"/>
    <d v="2027-04-30T00:00:00"/>
  </r>
  <r>
    <n v="927"/>
    <s v="TURKEY"/>
    <x v="0"/>
    <x v="8"/>
    <s v="Hapag Lloyd"/>
    <n v="90014400"/>
    <s v="Horse Turkey"/>
    <n v="26037000"/>
    <s v="KWE Shanghai"/>
    <n v="26037000"/>
    <s v="KWE Shanghai"/>
    <n v="2"/>
    <n v="9"/>
    <n v="14"/>
    <n v="22"/>
    <n v="5"/>
    <n v="26"/>
    <n v="23"/>
    <n v="7"/>
    <n v="29"/>
    <n v="30"/>
    <n v="1"/>
    <n v="30"/>
    <n v="0"/>
    <n v="30"/>
    <n v="30"/>
    <n v="32"/>
    <n v="3"/>
    <n v="9"/>
    <n v="9"/>
    <n v="46"/>
    <n v="77"/>
    <n v="3"/>
    <n v="80"/>
    <n v="14"/>
    <n v="94"/>
    <s v="Marc-Aurele"/>
    <n v="4"/>
    <n v="98"/>
    <n v="3"/>
    <n v="101"/>
    <n v="4"/>
    <n v="105"/>
    <n v="112"/>
    <n v="133"/>
    <n v="14"/>
    <n v="9"/>
    <x v="1"/>
    <s v="Parts"/>
    <s v="Renault &gt; Horse"/>
    <d v="2027-04-30T00:00:00"/>
  </r>
  <r>
    <n v="928"/>
    <s v="BRAZIL"/>
    <x v="6"/>
    <x v="2"/>
    <s v="Hapag Lloyd"/>
    <n v="90018600"/>
    <s v="Horse Brazil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21"/>
    <n v="53"/>
    <n v="3"/>
    <n v="56"/>
    <n v="7"/>
    <n v="63"/>
    <s v="Max"/>
    <n v="2"/>
    <n v="65"/>
    <n v="2"/>
    <n v="67"/>
    <n v="3"/>
    <n v="70"/>
    <n v="77"/>
    <n v="98"/>
    <n v="14"/>
    <n v="17"/>
    <x v="1"/>
    <s v="Parts"/>
    <s v="Renault &gt; Horse"/>
    <d v="2027-04-30T00:00:00"/>
  </r>
  <r>
    <n v="930"/>
    <s v="SPAIN"/>
    <x v="0"/>
    <x v="7"/>
    <s v="Hapag Lloyd"/>
    <n v="91017700"/>
    <s v="Horse Valladolid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8"/>
    <n v="8"/>
    <n v="40"/>
    <n v="76"/>
    <n v="3"/>
    <n v="79"/>
    <n v="7"/>
    <n v="86"/>
    <s v="Marc-Aurele"/>
    <n v="2"/>
    <n v="88"/>
    <n v="10"/>
    <n v="98"/>
    <n v="0"/>
    <n v="98"/>
    <n v="105"/>
    <n v="129"/>
    <n v="17"/>
    <n v="14"/>
    <x v="1"/>
    <s v="Parts"/>
    <s v="Renault &gt; Horse"/>
    <d v="2027-04-30T00:00:00"/>
  </r>
  <r>
    <n v="931"/>
    <s v="BRAZIL"/>
    <x v="0"/>
    <x v="2"/>
    <s v="ONE"/>
    <n v="90018600"/>
    <s v="Horse Brazil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3"/>
    <n v="35"/>
    <n v="3"/>
    <n v="9"/>
    <n v="9"/>
    <n v="43"/>
    <n v="77"/>
    <n v="3"/>
    <n v="80"/>
    <n v="7"/>
    <n v="87"/>
    <s v="Marc-Aurele"/>
    <n v="2"/>
    <n v="89"/>
    <n v="2"/>
    <n v="91"/>
    <n v="0"/>
    <n v="91"/>
    <n v="98"/>
    <n v="122"/>
    <n v="17"/>
    <n v="12"/>
    <x v="1"/>
    <s v="Parts"/>
    <s v="Renault &gt; Horse"/>
    <d v="2027-04-30T00:00:00"/>
  </r>
  <r>
    <n v="932"/>
    <s v="ROMANIA"/>
    <x v="0"/>
    <x v="3"/>
    <s v="MSC"/>
    <n v="90012500"/>
    <s v="Horse Romania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5"/>
    <n v="5"/>
    <n v="58"/>
    <n v="94"/>
    <n v="3"/>
    <n v="97"/>
    <n v="7"/>
    <n v="104"/>
    <s v="Marc-Aurele"/>
    <n v="1"/>
    <n v="105"/>
    <n v="8"/>
    <n v="113"/>
    <n v="6"/>
    <n v="119"/>
    <n v="126"/>
    <n v="147"/>
    <n v="14"/>
    <n v="14"/>
    <x v="1"/>
    <s v="Parts"/>
    <s v="Renault &gt; Horse"/>
    <d v="2027-04-30T00:00:00"/>
  </r>
  <r>
    <n v="1039"/>
    <s v="SPAIN"/>
    <x v="0"/>
    <x v="7"/>
    <s v="Hapag Lloyd"/>
    <n v="91017700"/>
    <s v="Horse Valladolid"/>
    <n v="222222"/>
    <s v="ILN Chine "/>
    <n v="222222"/>
    <s v="ILN Chine "/>
    <n v="7"/>
    <n v="9"/>
    <n v="21"/>
    <n v="29"/>
    <n v="5"/>
    <n v="33"/>
    <n v="30"/>
    <n v="7"/>
    <n v="36"/>
    <n v="37"/>
    <n v="1"/>
    <n v="37"/>
    <n v="0"/>
    <n v="37"/>
    <n v="42"/>
    <n v="44"/>
    <n v="3"/>
    <n v="4"/>
    <n v="4"/>
    <n v="40"/>
    <n v="83"/>
    <n v="3"/>
    <n v="86"/>
    <n v="0"/>
    <n v="86"/>
    <s v="Marc-Aurele"/>
    <n v="2"/>
    <n v="88"/>
    <n v="3"/>
    <n v="91"/>
    <n v="0"/>
    <n v="91"/>
    <n v="98"/>
    <n v="105"/>
    <n v="0"/>
    <n v="14"/>
    <x v="1"/>
    <s v="Parts"/>
    <s v="Nissan &gt; Renault"/>
    <d v="2027-04-30T00:00:00"/>
  </r>
  <r>
    <n v="1045"/>
    <s v="TURKEY"/>
    <x v="0"/>
    <x v="8"/>
    <s v="Hapag Lloyd"/>
    <n v="90014400"/>
    <s v="Horse Turkey"/>
    <n v="222222"/>
    <s v="ILN Chine "/>
    <n v="222222"/>
    <s v="ILN Chine "/>
    <n v="2"/>
    <n v="9"/>
    <n v="21"/>
    <n v="29"/>
    <n v="5"/>
    <n v="33"/>
    <n v="30"/>
    <n v="7"/>
    <n v="36"/>
    <n v="37"/>
    <n v="1"/>
    <n v="37"/>
    <n v="0"/>
    <n v="37"/>
    <n v="37"/>
    <n v="39"/>
    <n v="3"/>
    <n v="5"/>
    <n v="5"/>
    <n v="46"/>
    <n v="84"/>
    <n v="3"/>
    <n v="87"/>
    <n v="7"/>
    <n v="94"/>
    <s v="Marc-Aurele"/>
    <n v="4"/>
    <n v="98"/>
    <n v="3"/>
    <n v="101"/>
    <n v="4"/>
    <n v="105"/>
    <n v="112"/>
    <n v="119"/>
    <n v="0"/>
    <n v="9"/>
    <x v="1"/>
    <s v="Parts"/>
    <s v="Nissan &gt; Horse"/>
    <d v="2027-04-30T00:00:00"/>
  </r>
  <r>
    <n v="1084"/>
    <s v="BRAZIL"/>
    <x v="14"/>
    <x v="2"/>
    <s v="MAERSK"/>
    <n v="90018600"/>
    <s v="Horse Brazil"/>
    <n v="333333"/>
    <s v="ILN Mexique"/>
    <n v="333333"/>
    <s v="ILN Mexique"/>
    <n v="7"/>
    <n v="9"/>
    <n v="14"/>
    <n v="22"/>
    <n v="5"/>
    <n v="26"/>
    <n v="23"/>
    <n v="7"/>
    <n v="29"/>
    <n v="30"/>
    <n v="2"/>
    <n v="31"/>
    <n v="0"/>
    <n v="36"/>
    <n v="39"/>
    <n v="41"/>
    <n v="3"/>
    <n v="5"/>
    <n v="5"/>
    <n v="35"/>
    <n v="75"/>
    <n v="3"/>
    <n v="78"/>
    <n v="0"/>
    <n v="78"/>
    <s v="Jocelyn"/>
    <n v="2"/>
    <n v="80"/>
    <n v="2"/>
    <n v="82"/>
    <n v="2"/>
    <n v="84"/>
    <n v="91"/>
    <n v="98"/>
    <n v="0"/>
    <n v="18"/>
    <x v="1"/>
    <s v="Parts"/>
    <s v="Nissan &gt; Horse"/>
    <d v="2027-04-30T00:00:00"/>
  </r>
  <r>
    <n v="752"/>
    <s v="BRAZIL"/>
    <x v="0"/>
    <x v="2"/>
    <s v="ONE"/>
    <n v="90018000"/>
    <s v="Curitiba CVP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3"/>
    <n v="5"/>
    <n v="5"/>
    <n v="43"/>
    <n v="77"/>
    <n v="3"/>
    <n v="80"/>
    <n v="0"/>
    <n v="80"/>
    <s v="Max"/>
    <n v="2"/>
    <n v="82"/>
    <n v="2"/>
    <n v="84"/>
    <n v="0"/>
    <n v="84"/>
    <n v="91"/>
    <n v="98"/>
    <n v="0"/>
    <n v="19"/>
    <x v="2"/>
    <s v="Parts"/>
    <s v="Horse &gt; Renault"/>
    <d v="2027-04-30T00:00:00"/>
  </r>
  <r>
    <n v="761"/>
    <s v="FRANCE"/>
    <x v="0"/>
    <x v="4"/>
    <s v="CMA-CGM"/>
    <n v="90016900"/>
    <s v="SOVAB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4"/>
    <n v="6"/>
    <n v="6"/>
    <n v="38"/>
    <n v="72"/>
    <n v="3"/>
    <n v="75"/>
    <n v="7"/>
    <n v="82"/>
    <s v="Max"/>
    <n v="3"/>
    <n v="85"/>
    <n v="6"/>
    <n v="91"/>
    <n v="0"/>
    <n v="91"/>
    <n v="98"/>
    <n v="105"/>
    <n v="0"/>
    <n v="19"/>
    <x v="2"/>
    <s v="Parts"/>
    <s v="Horse &gt; Renault"/>
    <d v="2027-04-30T00:00:00"/>
  </r>
  <r>
    <n v="888"/>
    <s v="INDIA"/>
    <x v="0"/>
    <x v="11"/>
    <s v="ONE"/>
    <n v="26549502"/>
    <s v="CHENNAI Vehicule"/>
    <n v="0"/>
    <s v="SFK Freight Forwarder"/>
    <n v="42838302"/>
    <s v="Magna Shanghai"/>
    <n v="5"/>
    <n v="0"/>
    <n v="7"/>
    <n v="0"/>
    <n v="0"/>
    <n v="0"/>
    <n v="16"/>
    <n v="7"/>
    <n v="22"/>
    <n v="23"/>
    <n v="8"/>
    <n v="30"/>
    <n v="0"/>
    <n v="31"/>
    <n v="36"/>
    <n v="38"/>
    <n v="3"/>
    <n v="9"/>
    <n v="9"/>
    <n v="16"/>
    <n v="53"/>
    <n v="3"/>
    <n v="56"/>
    <n v="7"/>
    <n v="63"/>
    <s v="Marc-Aurele"/>
    <n v="4"/>
    <n v="67"/>
    <n v="3"/>
    <n v="70"/>
    <n v="0"/>
    <n v="70"/>
    <n v="77"/>
    <n v="84"/>
    <n v="0"/>
    <n v="22"/>
    <x v="2"/>
    <s v="Parts"/>
    <s v="Nissan &gt; Renault"/>
    <d v="2027-04-30T00:00:00"/>
  </r>
  <r>
    <n v="1005"/>
    <s v="COLOMBIA"/>
    <x v="15"/>
    <x v="12"/>
    <s v="CMA-CGM"/>
    <n v="9510600"/>
    <s v="SOFAS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3"/>
    <n v="3"/>
    <n v="4"/>
    <n v="11"/>
    <n v="34"/>
    <n v="66"/>
    <n v="3"/>
    <n v="69"/>
    <n v="14"/>
    <n v="83"/>
    <s v="Max"/>
    <n v="0"/>
    <n v="83"/>
    <n v="0"/>
    <n v="83"/>
    <n v="1"/>
    <n v="84"/>
    <n v="91"/>
    <n v="98"/>
    <n v="0"/>
    <n v="10"/>
    <x v="2"/>
    <s v="Parts"/>
    <s v="Nissan &gt; Renault"/>
    <d v="2027-04-30T00:00:00"/>
  </r>
  <r>
    <n v="1006"/>
    <s v="MOROCCO"/>
    <x v="15"/>
    <x v="13"/>
    <s v="CMA-CGM"/>
    <n v="90038200"/>
    <s v="SOMAC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4"/>
    <n v="4"/>
    <n v="4"/>
    <n v="11"/>
    <n v="58"/>
    <n v="91"/>
    <n v="3"/>
    <n v="94"/>
    <n v="0"/>
    <n v="94"/>
    <s v="Max"/>
    <n v="1"/>
    <n v="95"/>
    <n v="4"/>
    <n v="99"/>
    <n v="6"/>
    <n v="105"/>
    <n v="112"/>
    <n v="119"/>
    <n v="0"/>
    <n v="11"/>
    <x v="2"/>
    <s v="Parts"/>
    <s v="Nissan &gt; Renault"/>
    <d v="2027-04-30T00:00:00"/>
  </r>
  <r>
    <n v="1007"/>
    <s v="MOROCCO"/>
    <x v="15"/>
    <x v="14"/>
    <s v="ONE"/>
    <n v="900383"/>
    <s v="TANGER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5"/>
    <n v="3"/>
    <n v="7"/>
    <n v="7"/>
    <n v="49"/>
    <n v="83"/>
    <n v="3"/>
    <n v="86"/>
    <n v="7"/>
    <n v="93"/>
    <s v="Max"/>
    <n v="3"/>
    <n v="96"/>
    <n v="1"/>
    <n v="97"/>
    <n v="1"/>
    <n v="98"/>
    <n v="105"/>
    <n v="112"/>
    <n v="0"/>
    <n v="12"/>
    <x v="2"/>
    <s v="Parts"/>
    <s v="Nissan &gt; Renault"/>
    <d v="2027-04-30T00:00:00"/>
  </r>
  <r>
    <n v="1009"/>
    <s v="SLOVENIA"/>
    <x v="15"/>
    <x v="15"/>
    <s v="MAERSK"/>
    <n v="90016700"/>
    <s v="REVOZ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6"/>
    <n v="37"/>
    <n v="2"/>
    <n v="4"/>
    <n v="11"/>
    <n v="53"/>
    <n v="89"/>
    <n v="3"/>
    <n v="92"/>
    <n v="0"/>
    <n v="92"/>
    <s v="Max"/>
    <n v="2"/>
    <n v="94"/>
    <n v="2"/>
    <n v="96"/>
    <n v="2"/>
    <n v="98"/>
    <n v="105"/>
    <n v="112"/>
    <n v="0"/>
    <n v="14"/>
    <x v="2"/>
    <s v="Parts"/>
    <s v="Nissan &gt; Renault"/>
    <d v="2027-04-30T00:00:00"/>
  </r>
  <r>
    <n v="1010"/>
    <s v="TURKEY"/>
    <x v="15"/>
    <x v="8"/>
    <s v="CMA-CGM"/>
    <n v="90017000"/>
    <s v="OYAK MONT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3"/>
    <n v="98"/>
    <n v="3"/>
    <n v="101"/>
    <n v="0"/>
    <n v="101"/>
    <s v="Max"/>
    <n v="4"/>
    <n v="105"/>
    <n v="3"/>
    <n v="108"/>
    <n v="4"/>
    <n v="112"/>
    <n v="119"/>
    <n v="126"/>
    <n v="0"/>
    <n v="13"/>
    <x v="2"/>
    <s v="Parts"/>
    <s v="Nissan &gt; Renault"/>
    <d v="2027-04-30T00:00:00"/>
  </r>
  <r>
    <n v="1012"/>
    <s v="BRAZIL"/>
    <x v="15"/>
    <x v="2"/>
    <s v="CMA-CGM"/>
    <n v="90018000"/>
    <s v="Curitiba CVP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7"/>
    <n v="5"/>
    <n v="4"/>
    <n v="11"/>
    <n v="48"/>
    <n v="84"/>
    <n v="3"/>
    <n v="87"/>
    <n v="14"/>
    <n v="101"/>
    <s v="Max"/>
    <n v="2"/>
    <n v="103"/>
    <n v="2"/>
    <n v="105"/>
    <n v="0"/>
    <n v="105"/>
    <n v="112"/>
    <n v="119"/>
    <n v="0"/>
    <n v="14"/>
    <x v="2"/>
    <s v="Parts"/>
    <s v="Nissan &gt; Renault"/>
    <d v="2027-04-30T00:00:00"/>
  </r>
  <r>
    <n v="1014"/>
    <s v="COLOMBIA"/>
    <x v="16"/>
    <x v="16"/>
    <s v="MSC"/>
    <n v="9510600"/>
    <s v="SOFAS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17"/>
    <n v="60"/>
    <n v="3"/>
    <n v="63"/>
    <n v="0"/>
    <n v="63"/>
    <s v="Max"/>
    <n v="0"/>
    <n v="63"/>
    <n v="0"/>
    <n v="63"/>
    <n v="0"/>
    <n v="63"/>
    <n v="70"/>
    <n v="77"/>
    <n v="0"/>
    <n v="21"/>
    <x v="2"/>
    <s v="Parts"/>
    <s v="Nissan &gt; Renault"/>
    <d v="2027-04-30T00:00:00"/>
  </r>
  <r>
    <n v="1015"/>
    <s v="BRAZIL"/>
    <x v="14"/>
    <x v="2"/>
    <s v="CMA-CGM"/>
    <n v="90018000"/>
    <s v="Curitiba CVP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34"/>
    <n v="77"/>
    <n v="3"/>
    <n v="80"/>
    <n v="0"/>
    <n v="80"/>
    <s v="Max"/>
    <n v="2"/>
    <n v="82"/>
    <n v="2"/>
    <n v="84"/>
    <n v="0"/>
    <n v="84"/>
    <n v="91"/>
    <n v="98"/>
    <n v="0"/>
    <n v="21"/>
    <x v="2"/>
    <s v="Parts"/>
    <s v="Nissan &gt; Renault"/>
    <d v="2027-04-30T00:00:00"/>
  </r>
  <r>
    <n v="1034"/>
    <s v="SPAIN"/>
    <x v="15"/>
    <x v="7"/>
    <s v="ONE"/>
    <n v="91017300"/>
    <s v="VALL MONTAG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5"/>
    <n v="3"/>
    <n v="4"/>
    <n v="11"/>
    <n v="53"/>
    <n v="87"/>
    <n v="3"/>
    <n v="90"/>
    <n v="0"/>
    <n v="90"/>
    <s v="Max"/>
    <n v="2"/>
    <n v="92"/>
    <n v="6"/>
    <n v="98"/>
    <n v="0"/>
    <n v="98"/>
    <n v="105"/>
    <n v="112"/>
    <n v="0"/>
    <n v="12"/>
    <x v="2"/>
    <s v="Parts"/>
    <s v="Nissan &gt; Renault"/>
    <d v="2027-04-30T00:00:00"/>
  </r>
  <r>
    <n v="1036"/>
    <s v="SPAIN"/>
    <x v="16"/>
    <x v="7"/>
    <s v="Hapag Lloyd"/>
    <n v="91017200"/>
    <s v="PALENCI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4"/>
    <n v="36"/>
    <n v="3"/>
    <n v="5"/>
    <n v="12"/>
    <n v="31"/>
    <n v="66"/>
    <n v="3"/>
    <n v="69"/>
    <n v="0"/>
    <n v="69"/>
    <s v="Max"/>
    <n v="2"/>
    <n v="71"/>
    <n v="5"/>
    <n v="76"/>
    <n v="1"/>
    <n v="77"/>
    <n v="84"/>
    <n v="91"/>
    <n v="0"/>
    <n v="13"/>
    <x v="2"/>
    <s v="Parts"/>
    <s v="Nissan &gt; Renault"/>
    <d v="2027-04-30T00:00:00"/>
  </r>
  <r>
    <n v="1037"/>
    <s v="ARGENTINA"/>
    <x v="15"/>
    <x v="17"/>
    <s v="ONE"/>
    <n v="90016000"/>
    <s v="CORDOB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7"/>
    <n v="102"/>
    <n v="3"/>
    <n v="105"/>
    <n v="7"/>
    <n v="112"/>
    <s v="Max"/>
    <n v="3"/>
    <n v="115"/>
    <n v="3"/>
    <n v="118"/>
    <n v="1"/>
    <n v="119"/>
    <n v="126"/>
    <n v="133"/>
    <n v="0"/>
    <n v="13"/>
    <x v="2"/>
    <s v="Parts"/>
    <s v="Nissan &gt; Renault"/>
    <d v="2027-04-30T00:00:00"/>
  </r>
  <r>
    <n v="1040"/>
    <s v="INDIA"/>
    <x v="15"/>
    <x v="11"/>
    <s v="ONE"/>
    <n v="26549502"/>
    <s v="CHENNAI Vehicul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11"/>
    <n v="11"/>
    <n v="32"/>
    <n v="67"/>
    <n v="3"/>
    <n v="70"/>
    <n v="0"/>
    <n v="70"/>
    <s v="Max"/>
    <n v="4"/>
    <n v="74"/>
    <n v="3"/>
    <n v="77"/>
    <n v="0"/>
    <n v="77"/>
    <n v="84"/>
    <n v="91"/>
    <n v="0"/>
    <n v="13"/>
    <x v="2"/>
    <s v="Parts"/>
    <s v="Nissan &gt; Renault"/>
    <d v="2027-04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0C66C-B4D2-463C-A713-134E1EB6281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5" firstHeaderRow="1" firstDataRow="1" firstDataCol="2" rowPageCount="1" colPageCount="1"/>
  <pivotFields count="5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7"/>
        <item x="0"/>
        <item x="6"/>
        <item x="3"/>
        <item x="4"/>
        <item x="13"/>
        <item x="11"/>
        <item x="5"/>
        <item x="1"/>
        <item x="15"/>
        <item x="2"/>
        <item x="8"/>
        <item x="12"/>
        <item x="16"/>
        <item x="14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9">
        <item x="17"/>
        <item x="6"/>
        <item x="2"/>
        <item x="9"/>
        <item x="12"/>
        <item x="16"/>
        <item x="1"/>
        <item x="7"/>
        <item x="4"/>
        <item x="11"/>
        <item x="13"/>
        <item x="14"/>
        <item x="0"/>
        <item x="3"/>
        <item x="15"/>
        <item x="10"/>
        <item x="8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4">
        <item x="0"/>
        <item h="1"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2">
    <i>
      <x v="1"/>
      <x v="6"/>
    </i>
    <i r="1">
      <x v="7"/>
    </i>
    <i r="1">
      <x v="12"/>
    </i>
    <i r="1">
      <x v="16"/>
    </i>
    <i>
      <x v="3"/>
      <x v="1"/>
    </i>
    <i>
      <x v="8"/>
      <x v="2"/>
    </i>
    <i r="1">
      <x v="17"/>
    </i>
    <i>
      <x v="10"/>
      <x v="6"/>
    </i>
    <i r="1">
      <x v="8"/>
    </i>
    <i r="1">
      <x v="12"/>
    </i>
    <i r="1">
      <x v="13"/>
    </i>
    <i t="grand">
      <x/>
    </i>
  </rowItems>
  <colItems count="1">
    <i/>
  </colItems>
  <pageFields count="1">
    <pageField fld="4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6"/>
  <sheetViews>
    <sheetView tabSelected="1" zoomScale="115" zoomScaleNormal="115" workbookViewId="0">
      <pane xSplit="11" ySplit="1" topLeftCell="AC10" activePane="bottomRight" state="frozen"/>
      <selection pane="topRight" activeCell="L1" sqref="L1"/>
      <selection pane="bottomLeft" activeCell="A2" sqref="A2"/>
      <selection pane="bottomRight" activeCell="AQ10" sqref="AQ10"/>
    </sheetView>
  </sheetViews>
  <sheetFormatPr baseColWidth="10" defaultColWidth="10.42578125" defaultRowHeight="15" outlineLevelCol="1"/>
  <cols>
    <col min="1" max="1" width="9.5703125" customWidth="1"/>
    <col min="2" max="2" width="17.140625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0</v>
      </c>
      <c r="AJ2" s="23">
        <f t="shared" ref="AJ2:AJ33" si="6">+AI2+AH2</f>
        <v>74</v>
      </c>
      <c r="AK2" s="23"/>
      <c r="AL2" s="23">
        <v>5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+AQ3+7</f>
        <v>84</v>
      </c>
      <c r="AS3" s="23">
        <f t="shared" si="9"/>
        <v>105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1</v>
      </c>
      <c r="AM5" s="3">
        <f t="shared" si="7"/>
        <v>109</v>
      </c>
      <c r="AN5" s="3">
        <v>8</v>
      </c>
      <c r="AO5" s="3">
        <f t="shared" si="8"/>
        <v>117</v>
      </c>
      <c r="AP5" s="3">
        <v>2</v>
      </c>
      <c r="AQ5" s="3">
        <f t="shared" si="11"/>
        <v>119</v>
      </c>
      <c r="AR5" s="3">
        <f>+AQ5+7</f>
        <v>126</v>
      </c>
      <c r="AS5" s="3">
        <f t="shared" si="9"/>
        <v>133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6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ref="AR6:AR37" si="17">+AQ6+7</f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6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7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8">
        <f t="shared" si="16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3</v>
      </c>
      <c r="AQ8" s="3">
        <f t="shared" si="11"/>
        <v>98</v>
      </c>
      <c r="AR8" s="3">
        <f t="shared" si="17"/>
        <v>105</v>
      </c>
      <c r="AS8" s="3">
        <f t="shared" si="9"/>
        <v>112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6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0</v>
      </c>
      <c r="AJ9" s="3">
        <f t="shared" si="6"/>
        <v>67</v>
      </c>
      <c r="AK9" s="3">
        <v>0</v>
      </c>
      <c r="AL9" s="50">
        <v>13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7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6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51">
        <v>9</v>
      </c>
      <c r="AM10" s="23">
        <f t="shared" si="7"/>
        <v>75</v>
      </c>
      <c r="AN10" s="23">
        <v>8</v>
      </c>
      <c r="AO10" s="23">
        <f t="shared" si="8"/>
        <v>83</v>
      </c>
      <c r="AP10" s="23">
        <v>1</v>
      </c>
      <c r="AQ10" s="23">
        <f t="shared" si="11"/>
        <v>84</v>
      </c>
      <c r="AR10" s="23">
        <f t="shared" si="17"/>
        <v>91</v>
      </c>
      <c r="AS10" s="23">
        <f t="shared" si="9"/>
        <v>112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15</v>
      </c>
      <c r="S11" s="23">
        <v>0</v>
      </c>
      <c r="T11" s="25">
        <v>15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6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0</v>
      </c>
      <c r="AJ11" s="23">
        <f t="shared" si="6"/>
        <v>70</v>
      </c>
      <c r="AK11" s="23"/>
      <c r="AL11" s="52">
        <v>10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7"/>
        <v>91</v>
      </c>
      <c r="AS11" s="23">
        <f t="shared" si="9"/>
        <v>112</v>
      </c>
      <c r="AT11" s="23">
        <v>14</v>
      </c>
      <c r="AU11" s="3">
        <f t="shared" si="10"/>
        <v>7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>
      <c r="A12" s="5" t="s">
        <v>175</v>
      </c>
      <c r="B12" s="23" t="s">
        <v>135</v>
      </c>
      <c r="C12" s="43" t="s">
        <v>98</v>
      </c>
      <c r="D12" s="43" t="s">
        <v>136</v>
      </c>
      <c r="E12" s="47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7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>
      <c r="A13" s="5">
        <v>233</v>
      </c>
      <c r="B13" s="32" t="s">
        <v>51</v>
      </c>
      <c r="C13" s="6" t="s">
        <v>58</v>
      </c>
      <c r="D13" s="6" t="s">
        <v>54</v>
      </c>
      <c r="E13" s="6" t="s">
        <v>59</v>
      </c>
      <c r="F13" s="19">
        <v>90009500</v>
      </c>
      <c r="G13" s="4" t="s">
        <v>148</v>
      </c>
      <c r="H13" s="2">
        <v>91018400</v>
      </c>
      <c r="I13" s="4" t="s">
        <v>23</v>
      </c>
      <c r="J13" s="2">
        <v>91018400</v>
      </c>
      <c r="K13" s="4" t="s">
        <v>23</v>
      </c>
      <c r="L13" s="3">
        <v>7</v>
      </c>
      <c r="M13" s="3">
        <f t="shared" ref="M13:M22" si="20">+IF(I13="SFK Freight Forwarder",L13,9)</f>
        <v>9</v>
      </c>
      <c r="N13" s="3">
        <v>7</v>
      </c>
      <c r="O13" s="3">
        <f t="shared" ref="O13:O22" si="21">IF(I13="SFK Freight Forwarder",M13,M13+N13-1)</f>
        <v>15</v>
      </c>
      <c r="P13" s="3">
        <f t="shared" ref="P13:P40" si="22">+IF(I13="SFK Freight Forwarder",0,5)</f>
        <v>5</v>
      </c>
      <c r="Q13" s="3">
        <f t="shared" si="1"/>
        <v>19</v>
      </c>
      <c r="R13" s="3">
        <f t="shared" ref="R13:R22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2</v>
      </c>
      <c r="W13" s="3">
        <f t="shared" si="18"/>
        <v>24</v>
      </c>
      <c r="X13" s="3">
        <v>0</v>
      </c>
      <c r="Y13" s="3">
        <v>26</v>
      </c>
      <c r="Z13" s="27">
        <v>31</v>
      </c>
      <c r="AA13" s="6">
        <f>+Z13+AB13-1</f>
        <v>33</v>
      </c>
      <c r="AB13" s="3">
        <v>3</v>
      </c>
      <c r="AC13" s="3">
        <v>9</v>
      </c>
      <c r="AD13" s="3">
        <v>9</v>
      </c>
      <c r="AE13" s="3">
        <v>41</v>
      </c>
      <c r="AF13" s="3">
        <f t="shared" si="4"/>
        <v>73</v>
      </c>
      <c r="AG13" s="6">
        <v>3</v>
      </c>
      <c r="AH13" s="6">
        <f t="shared" si="5"/>
        <v>76</v>
      </c>
      <c r="AI13" s="3">
        <v>0</v>
      </c>
      <c r="AJ13" s="3">
        <f t="shared" si="6"/>
        <v>76</v>
      </c>
      <c r="AK13" s="3" t="s">
        <v>60</v>
      </c>
      <c r="AL13" s="3">
        <v>2</v>
      </c>
      <c r="AM13" s="3">
        <f t="shared" si="7"/>
        <v>78</v>
      </c>
      <c r="AN13" s="3">
        <v>2</v>
      </c>
      <c r="AO13" s="3">
        <f t="shared" si="8"/>
        <v>80</v>
      </c>
      <c r="AP13" s="3">
        <v>4</v>
      </c>
      <c r="AQ13" s="3">
        <f t="shared" si="11"/>
        <v>84</v>
      </c>
      <c r="AR13" s="3">
        <f t="shared" si="17"/>
        <v>91</v>
      </c>
      <c r="AS13" s="3">
        <f t="shared" si="9"/>
        <v>104</v>
      </c>
      <c r="AT13" s="3">
        <v>6</v>
      </c>
      <c r="AU13" s="3">
        <f t="shared" si="10"/>
        <v>17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>
      <c r="A14" s="5">
        <v>416</v>
      </c>
      <c r="B14" s="32" t="s">
        <v>61</v>
      </c>
      <c r="C14" s="6" t="s">
        <v>62</v>
      </c>
      <c r="D14" s="6" t="s">
        <v>64</v>
      </c>
      <c r="E14" s="6" t="s">
        <v>59</v>
      </c>
      <c r="F14" s="19">
        <v>90014400</v>
      </c>
      <c r="G14" s="4" t="s">
        <v>155</v>
      </c>
      <c r="H14" s="2">
        <v>95207</v>
      </c>
      <c r="I14" s="4" t="s">
        <v>30</v>
      </c>
      <c r="J14" s="2">
        <v>95207</v>
      </c>
      <c r="K14" s="4" t="s">
        <v>30</v>
      </c>
      <c r="L14" s="3">
        <v>7</v>
      </c>
      <c r="M14" s="3">
        <f t="shared" si="20"/>
        <v>9</v>
      </c>
      <c r="N14" s="3">
        <v>7</v>
      </c>
      <c r="O14" s="3">
        <f t="shared" si="21"/>
        <v>15</v>
      </c>
      <c r="P14" s="3">
        <f t="shared" si="22"/>
        <v>5</v>
      </c>
      <c r="Q14" s="3">
        <f t="shared" si="1"/>
        <v>19</v>
      </c>
      <c r="R14" s="3">
        <f t="shared" si="23"/>
        <v>16</v>
      </c>
      <c r="S14" s="3">
        <v>7</v>
      </c>
      <c r="T14" s="3">
        <f t="shared" si="24"/>
        <v>22</v>
      </c>
      <c r="U14" s="3">
        <f t="shared" si="19"/>
        <v>23</v>
      </c>
      <c r="V14" s="3">
        <v>4</v>
      </c>
      <c r="W14" s="3">
        <f t="shared" si="18"/>
        <v>26</v>
      </c>
      <c r="X14" s="3">
        <v>0</v>
      </c>
      <c r="Y14" s="3">
        <v>26</v>
      </c>
      <c r="Z14" s="6">
        <v>30</v>
      </c>
      <c r="AA14" s="6">
        <f>+Z14+AB14-1</f>
        <v>32</v>
      </c>
      <c r="AB14" s="3">
        <v>3</v>
      </c>
      <c r="AC14" s="3">
        <v>4</v>
      </c>
      <c r="AD14" s="3">
        <v>11</v>
      </c>
      <c r="AE14" s="3">
        <v>46</v>
      </c>
      <c r="AF14" s="3">
        <f t="shared" si="4"/>
        <v>77</v>
      </c>
      <c r="AG14" s="6">
        <v>3</v>
      </c>
      <c r="AH14" s="6">
        <f t="shared" si="5"/>
        <v>80</v>
      </c>
      <c r="AI14" s="3">
        <v>0</v>
      </c>
      <c r="AJ14" s="3">
        <f t="shared" si="6"/>
        <v>80</v>
      </c>
      <c r="AK14" s="3" t="s">
        <v>65</v>
      </c>
      <c r="AL14" s="3">
        <v>4</v>
      </c>
      <c r="AM14" s="3">
        <f t="shared" si="7"/>
        <v>84</v>
      </c>
      <c r="AN14" s="3">
        <v>3</v>
      </c>
      <c r="AO14" s="3">
        <f t="shared" si="8"/>
        <v>87</v>
      </c>
      <c r="AP14" s="3">
        <v>4</v>
      </c>
      <c r="AQ14" s="3">
        <f t="shared" si="11"/>
        <v>91</v>
      </c>
      <c r="AR14" s="3">
        <f t="shared" si="17"/>
        <v>98</v>
      </c>
      <c r="AS14" s="3">
        <f t="shared" si="9"/>
        <v>112</v>
      </c>
      <c r="AT14" s="3">
        <v>7</v>
      </c>
      <c r="AU14" s="3">
        <f t="shared" si="10"/>
        <v>16</v>
      </c>
      <c r="AV14" s="3" t="s">
        <v>130</v>
      </c>
      <c r="AW14" s="3" t="s">
        <v>131</v>
      </c>
      <c r="AX14" s="20" t="s">
        <v>66</v>
      </c>
      <c r="AY14" s="21">
        <v>46507</v>
      </c>
    </row>
    <row r="15" spans="1:58" hidden="1">
      <c r="A15" s="5">
        <v>901</v>
      </c>
      <c r="B15" s="32" t="s">
        <v>76</v>
      </c>
      <c r="C15" s="6" t="s">
        <v>62</v>
      </c>
      <c r="D15" s="6" t="s">
        <v>77</v>
      </c>
      <c r="E15" s="6" t="s">
        <v>59</v>
      </c>
      <c r="F15" s="19">
        <v>90012500</v>
      </c>
      <c r="G15" s="5" t="s">
        <v>153</v>
      </c>
      <c r="H15" s="2">
        <v>95207</v>
      </c>
      <c r="I15" s="4" t="s">
        <v>30</v>
      </c>
      <c r="J15" s="2">
        <v>95207</v>
      </c>
      <c r="K15" s="4" t="s">
        <v>30</v>
      </c>
      <c r="L15" s="3">
        <v>7</v>
      </c>
      <c r="M15" s="3">
        <f t="shared" si="20"/>
        <v>9</v>
      </c>
      <c r="N15" s="3">
        <v>7</v>
      </c>
      <c r="O15" s="3">
        <f t="shared" si="21"/>
        <v>15</v>
      </c>
      <c r="P15" s="3">
        <f t="shared" si="22"/>
        <v>5</v>
      </c>
      <c r="Q15" s="3">
        <f t="shared" si="1"/>
        <v>19</v>
      </c>
      <c r="R15" s="3">
        <f t="shared" si="23"/>
        <v>16</v>
      </c>
      <c r="S15" s="3">
        <v>7</v>
      </c>
      <c r="T15" s="3">
        <f t="shared" si="24"/>
        <v>22</v>
      </c>
      <c r="U15" s="3">
        <f t="shared" si="19"/>
        <v>23</v>
      </c>
      <c r="V15" s="3">
        <v>4</v>
      </c>
      <c r="W15" s="3">
        <f t="shared" si="18"/>
        <v>26</v>
      </c>
      <c r="X15" s="3">
        <v>0</v>
      </c>
      <c r="Y15" s="3">
        <v>26</v>
      </c>
      <c r="Z15" s="6">
        <v>30</v>
      </c>
      <c r="AA15" s="6">
        <f>+Z15+AB15-1</f>
        <v>32</v>
      </c>
      <c r="AB15" s="3">
        <v>3</v>
      </c>
      <c r="AC15" s="3">
        <v>6</v>
      </c>
      <c r="AD15" s="3">
        <v>13</v>
      </c>
      <c r="AE15" s="3">
        <v>49</v>
      </c>
      <c r="AF15" s="3">
        <f t="shared" si="4"/>
        <v>80</v>
      </c>
      <c r="AG15" s="6">
        <v>3</v>
      </c>
      <c r="AH15" s="6">
        <f t="shared" si="5"/>
        <v>83</v>
      </c>
      <c r="AI15" s="3">
        <v>0</v>
      </c>
      <c r="AJ15" s="3">
        <f t="shared" si="6"/>
        <v>83</v>
      </c>
      <c r="AK15" s="3" t="s">
        <v>65</v>
      </c>
      <c r="AL15" s="3">
        <v>1</v>
      </c>
      <c r="AM15" s="3">
        <f t="shared" si="7"/>
        <v>84</v>
      </c>
      <c r="AN15" s="3">
        <v>8</v>
      </c>
      <c r="AO15" s="3">
        <f t="shared" si="8"/>
        <v>92</v>
      </c>
      <c r="AP15" s="3">
        <v>6</v>
      </c>
      <c r="AQ15" s="3">
        <f t="shared" si="11"/>
        <v>98</v>
      </c>
      <c r="AR15" s="3">
        <f t="shared" si="17"/>
        <v>105</v>
      </c>
      <c r="AS15" s="3">
        <f t="shared" si="9"/>
        <v>119</v>
      </c>
      <c r="AT15" s="3">
        <v>7</v>
      </c>
      <c r="AU15" s="3">
        <f t="shared" si="10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>
      <c r="A16" s="5">
        <v>907</v>
      </c>
      <c r="B16" s="32" t="s">
        <v>67</v>
      </c>
      <c r="C16" s="6" t="s">
        <v>50</v>
      </c>
      <c r="D16" s="6" t="s">
        <v>62</v>
      </c>
      <c r="E16" s="6" t="s">
        <v>59</v>
      </c>
      <c r="F16" s="19">
        <v>90018600</v>
      </c>
      <c r="G16" s="4" t="s">
        <v>156</v>
      </c>
      <c r="H16" s="2">
        <v>95112</v>
      </c>
      <c r="I16" s="4" t="s">
        <v>24</v>
      </c>
      <c r="J16" s="2">
        <v>95112</v>
      </c>
      <c r="K16" s="4" t="s">
        <v>24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1</v>
      </c>
      <c r="W16" s="3">
        <f t="shared" si="18"/>
        <v>23</v>
      </c>
      <c r="X16" s="3">
        <v>0</v>
      </c>
      <c r="Y16" s="3">
        <v>26</v>
      </c>
      <c r="Z16" s="6">
        <v>31</v>
      </c>
      <c r="AA16" s="6">
        <f>+Z16+AB16-1</f>
        <v>34</v>
      </c>
      <c r="AB16" s="3">
        <v>4</v>
      </c>
      <c r="AC16" s="3">
        <v>5</v>
      </c>
      <c r="AD16" s="3">
        <v>12</v>
      </c>
      <c r="AE16" s="3">
        <v>40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7"/>
        <v>91</v>
      </c>
      <c r="AS16" s="3">
        <f t="shared" si="9"/>
        <v>112</v>
      </c>
      <c r="AT16" s="3">
        <v>14</v>
      </c>
      <c r="AU16" s="3">
        <f t="shared" si="10"/>
        <v>18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20"/>
        <v>9</v>
      </c>
      <c r="N17" s="3">
        <v>14</v>
      </c>
      <c r="O17" s="3">
        <f t="shared" si="21"/>
        <v>22</v>
      </c>
      <c r="P17" s="3">
        <f t="shared" si="22"/>
        <v>5</v>
      </c>
      <c r="Q17" s="3">
        <f t="shared" si="1"/>
        <v>26</v>
      </c>
      <c r="R17" s="3">
        <f t="shared" si="23"/>
        <v>23</v>
      </c>
      <c r="S17" s="3">
        <v>7</v>
      </c>
      <c r="T17" s="3">
        <f t="shared" si="24"/>
        <v>29</v>
      </c>
      <c r="U17" s="3">
        <f t="shared" si="19"/>
        <v>30</v>
      </c>
      <c r="V17" s="3">
        <v>2</v>
      </c>
      <c r="W17" s="3">
        <f t="shared" si="18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4"/>
        <v>80</v>
      </c>
      <c r="AG17" s="6">
        <v>3</v>
      </c>
      <c r="AH17" s="6">
        <f t="shared" si="5"/>
        <v>83</v>
      </c>
      <c r="AI17" s="3">
        <v>0</v>
      </c>
      <c r="AJ17" s="3">
        <f t="shared" si="6"/>
        <v>83</v>
      </c>
      <c r="AK17" s="3" t="s">
        <v>55</v>
      </c>
      <c r="AL17" s="3">
        <v>15</v>
      </c>
      <c r="AM17" s="3">
        <f t="shared" si="7"/>
        <v>98</v>
      </c>
      <c r="AN17" s="3">
        <v>8</v>
      </c>
      <c r="AO17" s="3">
        <f t="shared" si="8"/>
        <v>106</v>
      </c>
      <c r="AP17" s="3">
        <v>6</v>
      </c>
      <c r="AQ17" s="3">
        <f t="shared" si="11"/>
        <v>112</v>
      </c>
      <c r="AR17" s="3">
        <f t="shared" si="17"/>
        <v>119</v>
      </c>
      <c r="AS17" s="3">
        <f t="shared" si="9"/>
        <v>139</v>
      </c>
      <c r="AT17" s="3">
        <v>13</v>
      </c>
      <c r="AU17" s="3">
        <f t="shared" si="10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>
      <c r="A18" s="5">
        <v>920</v>
      </c>
      <c r="B18" s="33" t="s">
        <v>80</v>
      </c>
      <c r="C18" s="33" t="s">
        <v>57</v>
      </c>
      <c r="D18" s="33" t="s">
        <v>58</v>
      </c>
      <c r="E18" s="33" t="s">
        <v>81</v>
      </c>
      <c r="F18" s="19">
        <v>91017500</v>
      </c>
      <c r="G18" s="35" t="s">
        <v>157</v>
      </c>
      <c r="H18" s="2">
        <v>2533780535</v>
      </c>
      <c r="I18" s="4" t="s">
        <v>22</v>
      </c>
      <c r="J18" s="2">
        <v>2533780535</v>
      </c>
      <c r="K18" s="44" t="s">
        <v>22</v>
      </c>
      <c r="L18" s="3">
        <v>7</v>
      </c>
      <c r="M18" s="3">
        <f t="shared" si="20"/>
        <v>9</v>
      </c>
      <c r="N18" s="3">
        <v>14</v>
      </c>
      <c r="O18" s="3">
        <f t="shared" si="21"/>
        <v>22</v>
      </c>
      <c r="P18" s="3">
        <f t="shared" si="22"/>
        <v>5</v>
      </c>
      <c r="Q18" s="3">
        <f t="shared" si="1"/>
        <v>26</v>
      </c>
      <c r="R18" s="3">
        <f t="shared" si="23"/>
        <v>23</v>
      </c>
      <c r="S18" s="3">
        <v>7</v>
      </c>
      <c r="T18" s="3">
        <f t="shared" si="24"/>
        <v>29</v>
      </c>
      <c r="U18" s="3">
        <f t="shared" si="19"/>
        <v>30</v>
      </c>
      <c r="V18" s="3">
        <v>3</v>
      </c>
      <c r="W18" s="3">
        <f t="shared" si="18"/>
        <v>32</v>
      </c>
      <c r="X18" s="3">
        <v>0</v>
      </c>
      <c r="Y18" s="3">
        <v>33</v>
      </c>
      <c r="Z18" s="6">
        <v>37</v>
      </c>
      <c r="AA18" s="6">
        <f t="shared" ref="AA18:AA34" si="25">+Z18+AB18-1</f>
        <v>39</v>
      </c>
      <c r="AB18" s="3">
        <v>3</v>
      </c>
      <c r="AC18" s="3">
        <v>6</v>
      </c>
      <c r="AD18" s="3">
        <v>13</v>
      </c>
      <c r="AE18" s="3">
        <v>39</v>
      </c>
      <c r="AF18" s="3">
        <f t="shared" si="4"/>
        <v>77</v>
      </c>
      <c r="AG18" s="6">
        <v>3</v>
      </c>
      <c r="AH18" s="6">
        <f t="shared" si="5"/>
        <v>80</v>
      </c>
      <c r="AI18" s="3">
        <v>0</v>
      </c>
      <c r="AJ18" s="3">
        <f t="shared" si="6"/>
        <v>80</v>
      </c>
      <c r="AK18" s="3" t="s">
        <v>55</v>
      </c>
      <c r="AL18" s="46">
        <v>3</v>
      </c>
      <c r="AM18" s="3">
        <f t="shared" si="7"/>
        <v>83</v>
      </c>
      <c r="AN18" s="3">
        <v>9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7"/>
        <v>105</v>
      </c>
      <c r="AS18" s="3">
        <f t="shared" si="9"/>
        <v>126</v>
      </c>
      <c r="AT18" s="3">
        <v>14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>
      <c r="A19" s="5">
        <v>924</v>
      </c>
      <c r="B19" s="32" t="s">
        <v>76</v>
      </c>
      <c r="C19" s="6" t="s">
        <v>82</v>
      </c>
      <c r="D19" s="6" t="s">
        <v>77</v>
      </c>
      <c r="E19" s="6" t="s">
        <v>63</v>
      </c>
      <c r="F19" s="19">
        <v>90012500</v>
      </c>
      <c r="G19" s="5" t="s">
        <v>153</v>
      </c>
      <c r="H19" s="2">
        <v>92050300</v>
      </c>
      <c r="I19" s="4" t="s">
        <v>29</v>
      </c>
      <c r="J19" s="2">
        <v>92050300</v>
      </c>
      <c r="K19" s="4" t="s">
        <v>29</v>
      </c>
      <c r="L19" s="3">
        <v>7</v>
      </c>
      <c r="M19" s="3">
        <f t="shared" si="20"/>
        <v>9</v>
      </c>
      <c r="N19" s="3">
        <v>7</v>
      </c>
      <c r="O19" s="3">
        <f t="shared" si="21"/>
        <v>15</v>
      </c>
      <c r="P19" s="3">
        <f t="shared" si="22"/>
        <v>5</v>
      </c>
      <c r="Q19" s="3">
        <f t="shared" si="1"/>
        <v>19</v>
      </c>
      <c r="R19" s="3">
        <f t="shared" si="23"/>
        <v>16</v>
      </c>
      <c r="S19" s="3">
        <v>7</v>
      </c>
      <c r="T19" s="3">
        <f t="shared" si="24"/>
        <v>22</v>
      </c>
      <c r="U19" s="3">
        <f t="shared" si="19"/>
        <v>23</v>
      </c>
      <c r="V19" s="3">
        <v>3</v>
      </c>
      <c r="W19" s="3">
        <f t="shared" si="18"/>
        <v>25</v>
      </c>
      <c r="X19" s="3">
        <v>0</v>
      </c>
      <c r="Y19" s="3">
        <v>25</v>
      </c>
      <c r="Z19" s="6">
        <v>30</v>
      </c>
      <c r="AA19" s="6">
        <f t="shared" si="25"/>
        <v>32</v>
      </c>
      <c r="AB19" s="3">
        <v>3</v>
      </c>
      <c r="AC19" s="3">
        <v>7</v>
      </c>
      <c r="AD19" s="3">
        <v>7</v>
      </c>
      <c r="AE19" s="3">
        <v>17</v>
      </c>
      <c r="AF19" s="3">
        <f t="shared" si="4"/>
        <v>48</v>
      </c>
      <c r="AG19" s="6">
        <v>3</v>
      </c>
      <c r="AH19" s="6">
        <f t="shared" si="5"/>
        <v>51</v>
      </c>
      <c r="AI19" s="3">
        <v>0</v>
      </c>
      <c r="AJ19" s="3">
        <f t="shared" si="6"/>
        <v>51</v>
      </c>
      <c r="AK19" s="3" t="s">
        <v>79</v>
      </c>
      <c r="AL19" s="3">
        <v>8</v>
      </c>
      <c r="AM19" s="3">
        <f t="shared" si="7"/>
        <v>59</v>
      </c>
      <c r="AN19" s="3">
        <v>8</v>
      </c>
      <c r="AO19" s="3">
        <f t="shared" si="8"/>
        <v>67</v>
      </c>
      <c r="AP19" s="3">
        <v>3</v>
      </c>
      <c r="AQ19" s="3">
        <f t="shared" si="11"/>
        <v>70</v>
      </c>
      <c r="AR19" s="3">
        <f t="shared" si="17"/>
        <v>77</v>
      </c>
      <c r="AS19" s="3">
        <f t="shared" si="9"/>
        <v>84</v>
      </c>
      <c r="AT19" s="3">
        <v>0</v>
      </c>
      <c r="AU19" s="3">
        <f t="shared" si="10"/>
        <v>16</v>
      </c>
      <c r="AV19" s="3" t="s">
        <v>130</v>
      </c>
      <c r="AW19" s="3" t="s">
        <v>131</v>
      </c>
      <c r="AX19" s="20" t="s">
        <v>66</v>
      </c>
      <c r="AY19" s="21">
        <v>46507</v>
      </c>
    </row>
    <row r="20" spans="1:51" hidden="1">
      <c r="A20" s="5">
        <v>932</v>
      </c>
      <c r="B20" s="32" t="s">
        <v>76</v>
      </c>
      <c r="C20" s="6" t="s">
        <v>68</v>
      </c>
      <c r="D20" s="6" t="s">
        <v>77</v>
      </c>
      <c r="E20" s="6" t="s">
        <v>59</v>
      </c>
      <c r="F20" s="19">
        <v>90012500</v>
      </c>
      <c r="G20" s="5" t="s">
        <v>153</v>
      </c>
      <c r="H20" s="2">
        <v>26037000</v>
      </c>
      <c r="I20" s="4" t="s">
        <v>35</v>
      </c>
      <c r="J20" s="2">
        <v>26037000</v>
      </c>
      <c r="K20" s="4" t="s">
        <v>35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30</v>
      </c>
      <c r="Z20" s="6">
        <v>35</v>
      </c>
      <c r="AA20" s="6">
        <f t="shared" si="25"/>
        <v>37</v>
      </c>
      <c r="AB20" s="3">
        <v>3</v>
      </c>
      <c r="AC20" s="3">
        <v>5</v>
      </c>
      <c r="AD20" s="3">
        <v>5</v>
      </c>
      <c r="AE20" s="3">
        <v>58</v>
      </c>
      <c r="AF20" s="3">
        <f t="shared" si="4"/>
        <v>94</v>
      </c>
      <c r="AG20" s="6">
        <v>3</v>
      </c>
      <c r="AH20" s="6">
        <f t="shared" si="5"/>
        <v>97</v>
      </c>
      <c r="AI20" s="3">
        <v>0</v>
      </c>
      <c r="AJ20" s="3">
        <f t="shared" si="6"/>
        <v>97</v>
      </c>
      <c r="AK20" s="3" t="s">
        <v>55</v>
      </c>
      <c r="AL20" s="3">
        <v>8</v>
      </c>
      <c r="AM20" s="3">
        <f t="shared" si="7"/>
        <v>105</v>
      </c>
      <c r="AN20" s="3">
        <v>8</v>
      </c>
      <c r="AO20" s="3">
        <f t="shared" si="8"/>
        <v>113</v>
      </c>
      <c r="AP20" s="3">
        <v>6</v>
      </c>
      <c r="AQ20" s="3">
        <f t="shared" si="11"/>
        <v>119</v>
      </c>
      <c r="AR20" s="3">
        <f t="shared" si="17"/>
        <v>126</v>
      </c>
      <c r="AS20" s="3">
        <f t="shared" si="9"/>
        <v>147</v>
      </c>
      <c r="AT20" s="3">
        <v>14</v>
      </c>
      <c r="AU20" s="3">
        <f t="shared" si="10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 t="shared" si="20"/>
        <v>9</v>
      </c>
      <c r="N21" s="3">
        <v>21</v>
      </c>
      <c r="O21" s="3">
        <f t="shared" si="21"/>
        <v>29</v>
      </c>
      <c r="P21" s="3">
        <f t="shared" si="22"/>
        <v>5</v>
      </c>
      <c r="Q21" s="3">
        <f t="shared" si="1"/>
        <v>33</v>
      </c>
      <c r="R21" s="3">
        <f t="shared" si="23"/>
        <v>30</v>
      </c>
      <c r="S21" s="3">
        <v>7</v>
      </c>
      <c r="T21" s="3">
        <f t="shared" si="24"/>
        <v>36</v>
      </c>
      <c r="U21" s="3">
        <f t="shared" si="19"/>
        <v>37</v>
      </c>
      <c r="V21" s="3">
        <v>1</v>
      </c>
      <c r="W21" s="3">
        <f t="shared" si="18"/>
        <v>37</v>
      </c>
      <c r="X21" s="3">
        <v>0</v>
      </c>
      <c r="Y21" s="3">
        <v>37</v>
      </c>
      <c r="Z21" s="6">
        <v>42</v>
      </c>
      <c r="AA21" s="6">
        <f t="shared" si="25"/>
        <v>44</v>
      </c>
      <c r="AB21" s="3">
        <v>3</v>
      </c>
      <c r="AC21" s="3">
        <v>4</v>
      </c>
      <c r="AD21" s="3">
        <v>4</v>
      </c>
      <c r="AE21" s="3">
        <v>40</v>
      </c>
      <c r="AF21" s="3">
        <f t="shared" si="4"/>
        <v>83</v>
      </c>
      <c r="AG21" s="6">
        <v>3</v>
      </c>
      <c r="AH21" s="6">
        <f t="shared" si="5"/>
        <v>86</v>
      </c>
      <c r="AI21" s="3">
        <v>0</v>
      </c>
      <c r="AJ21" s="3">
        <f t="shared" si="6"/>
        <v>86</v>
      </c>
      <c r="AK21" s="3" t="s">
        <v>55</v>
      </c>
      <c r="AL21" s="3">
        <v>2</v>
      </c>
      <c r="AM21" s="3">
        <f t="shared" si="7"/>
        <v>88</v>
      </c>
      <c r="AN21" s="3">
        <v>3</v>
      </c>
      <c r="AO21" s="3">
        <f t="shared" si="8"/>
        <v>91</v>
      </c>
      <c r="AP21" s="3">
        <v>0</v>
      </c>
      <c r="AQ21" s="3">
        <f t="shared" si="11"/>
        <v>91</v>
      </c>
      <c r="AR21" s="3">
        <f t="shared" si="17"/>
        <v>98</v>
      </c>
      <c r="AS21" s="3">
        <f t="shared" si="9"/>
        <v>105</v>
      </c>
      <c r="AT21" s="3">
        <v>0</v>
      </c>
      <c r="AU21" s="3">
        <f t="shared" si="10"/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>
      <c r="A22" s="5">
        <v>1084</v>
      </c>
      <c r="B22" s="33" t="s">
        <v>67</v>
      </c>
      <c r="C22" s="6" t="s">
        <v>100</v>
      </c>
      <c r="D22" s="6" t="s">
        <v>62</v>
      </c>
      <c r="E22" s="6" t="s">
        <v>170</v>
      </c>
      <c r="F22" s="19">
        <v>90018600</v>
      </c>
      <c r="G22" s="5" t="s">
        <v>156</v>
      </c>
      <c r="H22" s="2">
        <v>333333</v>
      </c>
      <c r="I22" s="4" t="s">
        <v>49</v>
      </c>
      <c r="J22" s="2">
        <v>333333</v>
      </c>
      <c r="K22" s="4" t="s">
        <v>49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2</v>
      </c>
      <c r="W22" s="3">
        <f t="shared" si="18"/>
        <v>31</v>
      </c>
      <c r="X22" s="3">
        <v>0</v>
      </c>
      <c r="Y22" s="3">
        <v>36</v>
      </c>
      <c r="Z22" s="6">
        <v>39</v>
      </c>
      <c r="AA22" s="6">
        <f t="shared" si="25"/>
        <v>41</v>
      </c>
      <c r="AB22" s="3">
        <v>3</v>
      </c>
      <c r="AC22" s="3">
        <v>5</v>
      </c>
      <c r="AD22" s="3">
        <v>5</v>
      </c>
      <c r="AE22" s="3">
        <v>35</v>
      </c>
      <c r="AF22" s="3">
        <f t="shared" si="4"/>
        <v>75</v>
      </c>
      <c r="AG22" s="6">
        <v>3</v>
      </c>
      <c r="AH22" s="6">
        <f t="shared" si="5"/>
        <v>78</v>
      </c>
      <c r="AI22" s="3">
        <v>0</v>
      </c>
      <c r="AJ22" s="3">
        <f t="shared" si="6"/>
        <v>78</v>
      </c>
      <c r="AK22" s="3" t="s">
        <v>65</v>
      </c>
      <c r="AL22" s="3">
        <v>2</v>
      </c>
      <c r="AM22" s="3">
        <f t="shared" si="7"/>
        <v>80</v>
      </c>
      <c r="AN22" s="3">
        <v>2</v>
      </c>
      <c r="AO22" s="3">
        <f t="shared" si="8"/>
        <v>82</v>
      </c>
      <c r="AP22" s="3">
        <v>2</v>
      </c>
      <c r="AQ22" s="3">
        <f t="shared" si="11"/>
        <v>84</v>
      </c>
      <c r="AR22" s="3">
        <f t="shared" si="17"/>
        <v>91</v>
      </c>
      <c r="AS22" s="3">
        <f t="shared" si="9"/>
        <v>98</v>
      </c>
      <c r="AT22" s="3">
        <v>0</v>
      </c>
      <c r="AU22" s="3">
        <f t="shared" si="10"/>
        <v>18</v>
      </c>
      <c r="AV22" s="3" t="s">
        <v>130</v>
      </c>
      <c r="AW22" s="3" t="s">
        <v>134</v>
      </c>
      <c r="AX22" s="20" t="s">
        <v>88</v>
      </c>
      <c r="AY22" s="21">
        <v>46507</v>
      </c>
    </row>
    <row r="23" spans="1:51" hidden="1">
      <c r="A23" s="5">
        <v>752</v>
      </c>
      <c r="B23" s="32" t="s">
        <v>67</v>
      </c>
      <c r="C23" s="6" t="s">
        <v>68</v>
      </c>
      <c r="D23" s="6" t="s">
        <v>62</v>
      </c>
      <c r="E23" s="6" t="s">
        <v>85</v>
      </c>
      <c r="F23" s="19">
        <v>90018000</v>
      </c>
      <c r="G23" s="4" t="s">
        <v>25</v>
      </c>
      <c r="H23" s="2">
        <v>0</v>
      </c>
      <c r="I23" s="4" t="s">
        <v>26</v>
      </c>
      <c r="J23" s="2">
        <v>42838302</v>
      </c>
      <c r="K23" s="4" t="s">
        <v>27</v>
      </c>
      <c r="L23" s="3">
        <v>7</v>
      </c>
      <c r="M23" s="3">
        <v>0</v>
      </c>
      <c r="N23" s="3">
        <v>0</v>
      </c>
      <c r="O23" s="3">
        <v>0</v>
      </c>
      <c r="P23" s="3">
        <f t="shared" si="22"/>
        <v>0</v>
      </c>
      <c r="Q23" s="3">
        <f t="shared" si="1"/>
        <v>0</v>
      </c>
      <c r="R23" s="3">
        <v>16</v>
      </c>
      <c r="S23" s="3">
        <v>7</v>
      </c>
      <c r="T23" s="3">
        <f t="shared" si="24"/>
        <v>22</v>
      </c>
      <c r="U23" s="3">
        <f t="shared" si="19"/>
        <v>23</v>
      </c>
      <c r="V23" s="3">
        <v>8</v>
      </c>
      <c r="W23" s="3">
        <f t="shared" si="18"/>
        <v>30</v>
      </c>
      <c r="X23" s="3">
        <v>0</v>
      </c>
      <c r="Y23" s="26">
        <f>+W23+1</f>
        <v>31</v>
      </c>
      <c r="Z23" s="6">
        <v>33</v>
      </c>
      <c r="AA23" s="6">
        <f t="shared" si="25"/>
        <v>35</v>
      </c>
      <c r="AB23" s="3">
        <v>3</v>
      </c>
      <c r="AC23" s="3">
        <v>5</v>
      </c>
      <c r="AD23" s="3">
        <v>5</v>
      </c>
      <c r="AE23" s="3">
        <v>43</v>
      </c>
      <c r="AF23" s="3">
        <f t="shared" si="4"/>
        <v>77</v>
      </c>
      <c r="AG23" s="6">
        <v>3</v>
      </c>
      <c r="AH23" s="6">
        <f t="shared" si="5"/>
        <v>80</v>
      </c>
      <c r="AI23" s="3">
        <v>0</v>
      </c>
      <c r="AJ23" s="3">
        <f t="shared" si="6"/>
        <v>80</v>
      </c>
      <c r="AK23" s="3" t="s">
        <v>60</v>
      </c>
      <c r="AL23" s="3">
        <v>2</v>
      </c>
      <c r="AM23" s="3">
        <f t="shared" si="7"/>
        <v>82</v>
      </c>
      <c r="AN23" s="3">
        <v>2</v>
      </c>
      <c r="AO23" s="3">
        <f t="shared" si="8"/>
        <v>84</v>
      </c>
      <c r="AP23" s="3">
        <v>0</v>
      </c>
      <c r="AQ23" s="3">
        <f t="shared" si="11"/>
        <v>84</v>
      </c>
      <c r="AR23" s="3">
        <f t="shared" si="17"/>
        <v>91</v>
      </c>
      <c r="AS23" s="3">
        <f t="shared" si="9"/>
        <v>98</v>
      </c>
      <c r="AT23" s="3">
        <v>0</v>
      </c>
      <c r="AU23" s="3">
        <f t="shared" si="10"/>
        <v>19</v>
      </c>
      <c r="AV23" s="3" t="s">
        <v>132</v>
      </c>
      <c r="AW23" s="3" t="s">
        <v>131</v>
      </c>
      <c r="AX23" s="20" t="s">
        <v>69</v>
      </c>
      <c r="AY23" s="40">
        <v>46507</v>
      </c>
    </row>
    <row r="24" spans="1:51" hidden="1">
      <c r="A24" s="5">
        <v>1006</v>
      </c>
      <c r="B24" s="33" t="s">
        <v>92</v>
      </c>
      <c r="C24" s="6" t="s">
        <v>90</v>
      </c>
      <c r="D24" s="6" t="s">
        <v>93</v>
      </c>
      <c r="E24" s="6" t="s">
        <v>59</v>
      </c>
      <c r="F24" s="19">
        <v>90038200</v>
      </c>
      <c r="G24" s="5" t="s">
        <v>42</v>
      </c>
      <c r="H24" s="2">
        <v>0</v>
      </c>
      <c r="I24" s="4" t="s">
        <v>26</v>
      </c>
      <c r="J24" s="2">
        <v>119640</v>
      </c>
      <c r="K24" s="4" t="s">
        <v>41</v>
      </c>
      <c r="L24" s="3">
        <v>7</v>
      </c>
      <c r="M24" s="3">
        <v>0</v>
      </c>
      <c r="N24" s="3">
        <v>14</v>
      </c>
      <c r="O24" s="3">
        <f t="shared" ref="O24:O55" si="26">IF(I24="SFK Freight Forwarder",M24,M24+N24-1)</f>
        <v>0</v>
      </c>
      <c r="P24" s="3">
        <f t="shared" si="22"/>
        <v>0</v>
      </c>
      <c r="Q24" s="3">
        <f t="shared" si="1"/>
        <v>0</v>
      </c>
      <c r="R24" s="3">
        <f t="shared" ref="R24:R43" si="27">9+N24</f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1</v>
      </c>
      <c r="W24" s="3">
        <f t="shared" si="18"/>
        <v>30</v>
      </c>
      <c r="X24" s="3">
        <v>0</v>
      </c>
      <c r="Y24" s="3">
        <v>31</v>
      </c>
      <c r="Z24" s="6">
        <v>31</v>
      </c>
      <c r="AA24" s="6">
        <f t="shared" si="25"/>
        <v>34</v>
      </c>
      <c r="AB24" s="3">
        <v>4</v>
      </c>
      <c r="AC24" s="3">
        <v>4</v>
      </c>
      <c r="AD24" s="3">
        <v>11</v>
      </c>
      <c r="AE24" s="3">
        <v>58</v>
      </c>
      <c r="AF24" s="3">
        <f t="shared" si="4"/>
        <v>91</v>
      </c>
      <c r="AG24" s="6">
        <v>3</v>
      </c>
      <c r="AH24" s="6">
        <f t="shared" si="5"/>
        <v>94</v>
      </c>
      <c r="AI24" s="3">
        <v>0</v>
      </c>
      <c r="AJ24" s="3">
        <f t="shared" si="6"/>
        <v>94</v>
      </c>
      <c r="AK24" s="3" t="s">
        <v>60</v>
      </c>
      <c r="AL24" s="3">
        <v>1</v>
      </c>
      <c r="AM24" s="3">
        <f t="shared" si="7"/>
        <v>95</v>
      </c>
      <c r="AN24" s="3">
        <v>4</v>
      </c>
      <c r="AO24" s="3">
        <f t="shared" si="8"/>
        <v>99</v>
      </c>
      <c r="AP24" s="3">
        <v>6</v>
      </c>
      <c r="AQ24" s="3">
        <f t="shared" si="11"/>
        <v>105</v>
      </c>
      <c r="AR24" s="3">
        <f t="shared" si="17"/>
        <v>112</v>
      </c>
      <c r="AS24" s="3">
        <f t="shared" si="9"/>
        <v>119</v>
      </c>
      <c r="AT24" s="3">
        <v>0</v>
      </c>
      <c r="AU24" s="3">
        <f t="shared" si="10"/>
        <v>11</v>
      </c>
      <c r="AV24" s="3" t="s">
        <v>132</v>
      </c>
      <c r="AW24" s="3" t="s">
        <v>131</v>
      </c>
      <c r="AX24" s="20" t="s">
        <v>75</v>
      </c>
      <c r="AY24" s="37">
        <v>46507</v>
      </c>
    </row>
    <row r="25" spans="1:51" hidden="1">
      <c r="A25" s="5">
        <v>1009</v>
      </c>
      <c r="B25" s="33" t="s">
        <v>94</v>
      </c>
      <c r="C25" s="6" t="s">
        <v>90</v>
      </c>
      <c r="D25" s="6" t="s">
        <v>95</v>
      </c>
      <c r="E25" s="6" t="s">
        <v>170</v>
      </c>
      <c r="F25" s="19">
        <v>90016700</v>
      </c>
      <c r="G25" s="5" t="s">
        <v>44</v>
      </c>
      <c r="H25" s="2">
        <v>0</v>
      </c>
      <c r="I25" s="4" t="s">
        <v>26</v>
      </c>
      <c r="J25" s="2">
        <v>119640</v>
      </c>
      <c r="K25" s="4" t="s">
        <v>41</v>
      </c>
      <c r="L25" s="3">
        <v>7</v>
      </c>
      <c r="M25" s="3">
        <v>0</v>
      </c>
      <c r="N25" s="3">
        <v>14</v>
      </c>
      <c r="O25" s="3">
        <f t="shared" si="26"/>
        <v>0</v>
      </c>
      <c r="P25" s="3">
        <f t="shared" si="22"/>
        <v>0</v>
      </c>
      <c r="Q25" s="3">
        <f t="shared" si="1"/>
        <v>0</v>
      </c>
      <c r="R25" s="3">
        <f t="shared" si="27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1</v>
      </c>
      <c r="W25" s="3">
        <f t="shared" si="18"/>
        <v>30</v>
      </c>
      <c r="X25" s="3">
        <v>0</v>
      </c>
      <c r="Y25" s="3">
        <v>31</v>
      </c>
      <c r="Z25" s="6">
        <v>36</v>
      </c>
      <c r="AA25" s="6">
        <f t="shared" si="25"/>
        <v>37</v>
      </c>
      <c r="AB25" s="3">
        <v>2</v>
      </c>
      <c r="AC25" s="3">
        <v>4</v>
      </c>
      <c r="AD25" s="3">
        <v>11</v>
      </c>
      <c r="AE25" s="3">
        <v>53</v>
      </c>
      <c r="AF25" s="3">
        <f t="shared" si="4"/>
        <v>89</v>
      </c>
      <c r="AG25" s="6">
        <v>3</v>
      </c>
      <c r="AH25" s="6">
        <f t="shared" si="5"/>
        <v>92</v>
      </c>
      <c r="AI25" s="3">
        <v>0</v>
      </c>
      <c r="AJ25" s="3">
        <f t="shared" si="6"/>
        <v>92</v>
      </c>
      <c r="AK25" s="3" t="s">
        <v>60</v>
      </c>
      <c r="AL25" s="3">
        <v>2</v>
      </c>
      <c r="AM25" s="3">
        <f t="shared" si="7"/>
        <v>94</v>
      </c>
      <c r="AN25" s="3">
        <v>2</v>
      </c>
      <c r="AO25" s="3">
        <f t="shared" si="8"/>
        <v>96</v>
      </c>
      <c r="AP25" s="3">
        <v>2</v>
      </c>
      <c r="AQ25" s="3">
        <f t="shared" si="11"/>
        <v>98</v>
      </c>
      <c r="AR25" s="3">
        <f t="shared" si="17"/>
        <v>105</v>
      </c>
      <c r="AS25" s="3">
        <f t="shared" si="9"/>
        <v>112</v>
      </c>
      <c r="AT25" s="3">
        <v>0</v>
      </c>
      <c r="AU25" s="3">
        <f t="shared" si="10"/>
        <v>14</v>
      </c>
      <c r="AV25" s="3" t="s">
        <v>132</v>
      </c>
      <c r="AW25" s="3" t="s">
        <v>131</v>
      </c>
      <c r="AX25" s="20" t="s">
        <v>75</v>
      </c>
      <c r="AY25" s="40">
        <v>46507</v>
      </c>
    </row>
    <row r="26" spans="1:51" hidden="1">
      <c r="A26" s="5">
        <v>1010</v>
      </c>
      <c r="B26" s="33" t="s">
        <v>61</v>
      </c>
      <c r="C26" s="6" t="s">
        <v>90</v>
      </c>
      <c r="D26" s="6" t="s">
        <v>64</v>
      </c>
      <c r="E26" s="6" t="s">
        <v>59</v>
      </c>
      <c r="F26" s="19">
        <v>90017000</v>
      </c>
      <c r="G26" s="5" t="s">
        <v>33</v>
      </c>
      <c r="H26" s="2">
        <v>0</v>
      </c>
      <c r="I26" s="4" t="s">
        <v>26</v>
      </c>
      <c r="J26" s="2">
        <v>119640</v>
      </c>
      <c r="K26" s="4" t="s">
        <v>41</v>
      </c>
      <c r="L26" s="3">
        <v>7</v>
      </c>
      <c r="M26" s="3">
        <v>0</v>
      </c>
      <c r="N26" s="3">
        <v>14</v>
      </c>
      <c r="O26" s="3">
        <f t="shared" si="26"/>
        <v>0</v>
      </c>
      <c r="P26" s="3">
        <f t="shared" si="22"/>
        <v>0</v>
      </c>
      <c r="Q26" s="3">
        <f t="shared" si="1"/>
        <v>0</v>
      </c>
      <c r="R26" s="3">
        <f t="shared" si="27"/>
        <v>23</v>
      </c>
      <c r="S26" s="3">
        <v>7</v>
      </c>
      <c r="T26" s="3">
        <f t="shared" si="24"/>
        <v>29</v>
      </c>
      <c r="U26" s="3">
        <f t="shared" si="19"/>
        <v>30</v>
      </c>
      <c r="V26" s="3">
        <v>1</v>
      </c>
      <c r="W26" s="3">
        <f t="shared" si="18"/>
        <v>30</v>
      </c>
      <c r="X26" s="3">
        <v>0</v>
      </c>
      <c r="Y26" s="3">
        <v>31</v>
      </c>
      <c r="Z26" s="6">
        <v>33</v>
      </c>
      <c r="AA26" s="6">
        <f t="shared" si="25"/>
        <v>36</v>
      </c>
      <c r="AB26" s="3">
        <v>4</v>
      </c>
      <c r="AC26" s="3">
        <v>4</v>
      </c>
      <c r="AD26" s="3">
        <v>11</v>
      </c>
      <c r="AE26" s="3">
        <v>63</v>
      </c>
      <c r="AF26" s="3">
        <f t="shared" si="4"/>
        <v>98</v>
      </c>
      <c r="AG26" s="6">
        <v>3</v>
      </c>
      <c r="AH26" s="6">
        <f t="shared" si="5"/>
        <v>101</v>
      </c>
      <c r="AI26" s="3">
        <v>0</v>
      </c>
      <c r="AJ26" s="3">
        <f t="shared" si="6"/>
        <v>101</v>
      </c>
      <c r="AK26" s="3" t="s">
        <v>60</v>
      </c>
      <c r="AL26" s="3">
        <v>4</v>
      </c>
      <c r="AM26" s="3">
        <f t="shared" si="7"/>
        <v>105</v>
      </c>
      <c r="AN26" s="3">
        <v>3</v>
      </c>
      <c r="AO26" s="3">
        <f t="shared" si="8"/>
        <v>108</v>
      </c>
      <c r="AP26" s="3">
        <v>4</v>
      </c>
      <c r="AQ26" s="3">
        <f t="shared" si="11"/>
        <v>112</v>
      </c>
      <c r="AR26" s="3">
        <f t="shared" si="17"/>
        <v>119</v>
      </c>
      <c r="AS26" s="3">
        <f t="shared" si="9"/>
        <v>126</v>
      </c>
      <c r="AT26" s="3">
        <v>0</v>
      </c>
      <c r="AU26" s="3">
        <f t="shared" si="10"/>
        <v>13</v>
      </c>
      <c r="AV26" s="3" t="s">
        <v>132</v>
      </c>
      <c r="AW26" s="3" t="s">
        <v>131</v>
      </c>
      <c r="AX26" s="20" t="s">
        <v>75</v>
      </c>
      <c r="AY26" s="37">
        <v>46507</v>
      </c>
    </row>
    <row r="27" spans="1:51" hidden="1">
      <c r="A27" s="5">
        <v>1014</v>
      </c>
      <c r="B27" s="33" t="s">
        <v>89</v>
      </c>
      <c r="C27" s="6" t="s">
        <v>96</v>
      </c>
      <c r="D27" s="6" t="s">
        <v>97</v>
      </c>
      <c r="E27" s="6" t="s">
        <v>53</v>
      </c>
      <c r="F27" s="19">
        <v>9510600</v>
      </c>
      <c r="G27" s="5" t="s">
        <v>40</v>
      </c>
      <c r="H27" s="2">
        <v>0</v>
      </c>
      <c r="I27" s="4" t="s">
        <v>26</v>
      </c>
      <c r="J27" s="2">
        <v>261427</v>
      </c>
      <c r="K27" s="4" t="s">
        <v>37</v>
      </c>
      <c r="L27" s="3">
        <v>7</v>
      </c>
      <c r="M27" s="3">
        <v>0</v>
      </c>
      <c r="N27" s="3">
        <v>14</v>
      </c>
      <c r="O27" s="3">
        <f t="shared" si="26"/>
        <v>0</v>
      </c>
      <c r="P27" s="3">
        <f t="shared" si="22"/>
        <v>0</v>
      </c>
      <c r="Q27" s="3">
        <f t="shared" si="1"/>
        <v>0</v>
      </c>
      <c r="R27" s="3">
        <f t="shared" si="27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39</v>
      </c>
      <c r="AA27" s="6">
        <f t="shared" si="25"/>
        <v>44</v>
      </c>
      <c r="AB27" s="3">
        <v>6</v>
      </c>
      <c r="AC27" s="3">
        <v>8</v>
      </c>
      <c r="AD27" s="3">
        <v>8</v>
      </c>
      <c r="AE27" s="3">
        <v>17</v>
      </c>
      <c r="AF27" s="3">
        <f t="shared" si="4"/>
        <v>60</v>
      </c>
      <c r="AG27" s="6">
        <v>3</v>
      </c>
      <c r="AH27" s="6">
        <f t="shared" si="5"/>
        <v>63</v>
      </c>
      <c r="AI27" s="3">
        <v>0</v>
      </c>
      <c r="AJ27" s="3">
        <f t="shared" si="6"/>
        <v>63</v>
      </c>
      <c r="AK27" s="3" t="s">
        <v>60</v>
      </c>
      <c r="AL27" s="3">
        <v>0</v>
      </c>
      <c r="AM27" s="3">
        <f t="shared" si="7"/>
        <v>63</v>
      </c>
      <c r="AN27" s="3">
        <v>0</v>
      </c>
      <c r="AO27" s="3">
        <f t="shared" si="8"/>
        <v>63</v>
      </c>
      <c r="AP27" s="3">
        <v>0</v>
      </c>
      <c r="AQ27" s="3">
        <f t="shared" si="11"/>
        <v>63</v>
      </c>
      <c r="AR27" s="3">
        <f t="shared" si="17"/>
        <v>70</v>
      </c>
      <c r="AS27" s="3">
        <f t="shared" si="9"/>
        <v>77</v>
      </c>
      <c r="AT27" s="3">
        <v>0</v>
      </c>
      <c r="AU27" s="3">
        <f t="shared" si="10"/>
        <v>21</v>
      </c>
      <c r="AV27" s="3" t="s">
        <v>132</v>
      </c>
      <c r="AW27" s="3" t="s">
        <v>131</v>
      </c>
      <c r="AX27" s="20" t="s">
        <v>75</v>
      </c>
      <c r="AY27" s="40">
        <v>46507</v>
      </c>
    </row>
    <row r="28" spans="1:51" ht="15.75" hidden="1" customHeight="1">
      <c r="A28" s="5">
        <v>1015</v>
      </c>
      <c r="B28" s="33" t="s">
        <v>67</v>
      </c>
      <c r="C28" s="6" t="s">
        <v>100</v>
      </c>
      <c r="D28" s="6" t="s">
        <v>62</v>
      </c>
      <c r="E28" s="6" t="s">
        <v>59</v>
      </c>
      <c r="F28" s="19">
        <v>90018000</v>
      </c>
      <c r="G28" s="5" t="s">
        <v>45</v>
      </c>
      <c r="H28" s="2">
        <v>0</v>
      </c>
      <c r="I28" s="4" t="s">
        <v>26</v>
      </c>
      <c r="J28" s="2">
        <v>261427</v>
      </c>
      <c r="K28" s="4" t="s">
        <v>37</v>
      </c>
      <c r="L28" s="3">
        <v>7</v>
      </c>
      <c r="M28" s="3">
        <v>0</v>
      </c>
      <c r="N28" s="3">
        <v>14</v>
      </c>
      <c r="O28" s="3">
        <f t="shared" si="26"/>
        <v>0</v>
      </c>
      <c r="P28" s="3">
        <f t="shared" si="22"/>
        <v>0</v>
      </c>
      <c r="Q28" s="3">
        <f t="shared" si="1"/>
        <v>0</v>
      </c>
      <c r="R28" s="3">
        <f t="shared" si="27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33</v>
      </c>
      <c r="Z28" s="6">
        <v>39</v>
      </c>
      <c r="AA28" s="6">
        <f t="shared" si="25"/>
        <v>44</v>
      </c>
      <c r="AB28" s="3">
        <v>6</v>
      </c>
      <c r="AC28" s="3">
        <v>8</v>
      </c>
      <c r="AD28" s="3">
        <v>8</v>
      </c>
      <c r="AE28" s="3">
        <v>34</v>
      </c>
      <c r="AF28" s="3">
        <f t="shared" si="4"/>
        <v>77</v>
      </c>
      <c r="AG28" s="6">
        <v>3</v>
      </c>
      <c r="AH28" s="6">
        <f t="shared" si="5"/>
        <v>80</v>
      </c>
      <c r="AI28" s="3">
        <v>0</v>
      </c>
      <c r="AJ28" s="3">
        <f t="shared" si="6"/>
        <v>80</v>
      </c>
      <c r="AK28" s="3" t="s">
        <v>60</v>
      </c>
      <c r="AL28" s="3">
        <v>2</v>
      </c>
      <c r="AM28" s="3">
        <f t="shared" si="7"/>
        <v>82</v>
      </c>
      <c r="AN28" s="3">
        <v>2</v>
      </c>
      <c r="AO28" s="3">
        <f t="shared" si="8"/>
        <v>84</v>
      </c>
      <c r="AP28" s="3">
        <v>0</v>
      </c>
      <c r="AQ28" s="3">
        <f t="shared" si="11"/>
        <v>84</v>
      </c>
      <c r="AR28" s="3">
        <f t="shared" si="17"/>
        <v>91</v>
      </c>
      <c r="AS28" s="3">
        <f t="shared" si="9"/>
        <v>98</v>
      </c>
      <c r="AT28" s="3">
        <v>0</v>
      </c>
      <c r="AU28" s="3">
        <f t="shared" si="10"/>
        <v>21</v>
      </c>
      <c r="AV28" s="3" t="s">
        <v>132</v>
      </c>
      <c r="AW28" s="3" t="s">
        <v>131</v>
      </c>
      <c r="AX28" s="20" t="s">
        <v>75</v>
      </c>
      <c r="AY28" s="40">
        <v>46507</v>
      </c>
    </row>
    <row r="29" spans="1:51" hidden="1">
      <c r="A29" s="5">
        <v>1034</v>
      </c>
      <c r="B29" s="33" t="s">
        <v>80</v>
      </c>
      <c r="C29" s="6" t="s">
        <v>90</v>
      </c>
      <c r="D29" s="6" t="s">
        <v>58</v>
      </c>
      <c r="E29" s="6" t="s">
        <v>85</v>
      </c>
      <c r="F29" s="19">
        <v>91017300</v>
      </c>
      <c r="G29" s="5" t="s">
        <v>36</v>
      </c>
      <c r="H29" s="2">
        <v>0</v>
      </c>
      <c r="I29" s="4" t="s">
        <v>26</v>
      </c>
      <c r="J29" s="2">
        <v>119640</v>
      </c>
      <c r="K29" s="4" t="s">
        <v>41</v>
      </c>
      <c r="L29" s="3">
        <v>7</v>
      </c>
      <c r="M29" s="3">
        <v>0</v>
      </c>
      <c r="N29" s="3">
        <v>14</v>
      </c>
      <c r="O29" s="3">
        <f t="shared" si="26"/>
        <v>0</v>
      </c>
      <c r="P29" s="3">
        <f t="shared" si="22"/>
        <v>0</v>
      </c>
      <c r="Q29" s="3">
        <f t="shared" si="1"/>
        <v>0</v>
      </c>
      <c r="R29" s="3">
        <f t="shared" si="27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1</v>
      </c>
      <c r="W29" s="3">
        <f t="shared" si="18"/>
        <v>30</v>
      </c>
      <c r="X29" s="3">
        <v>0</v>
      </c>
      <c r="Y29" s="3">
        <v>31</v>
      </c>
      <c r="Z29" s="6">
        <v>33</v>
      </c>
      <c r="AA29" s="6">
        <f t="shared" si="25"/>
        <v>35</v>
      </c>
      <c r="AB29" s="3">
        <v>3</v>
      </c>
      <c r="AC29" s="3">
        <v>4</v>
      </c>
      <c r="AD29" s="3">
        <v>11</v>
      </c>
      <c r="AE29" s="3">
        <v>53</v>
      </c>
      <c r="AF29" s="3">
        <f t="shared" si="4"/>
        <v>87</v>
      </c>
      <c r="AG29" s="6">
        <v>3</v>
      </c>
      <c r="AH29" s="6">
        <f t="shared" si="5"/>
        <v>90</v>
      </c>
      <c r="AI29" s="3">
        <v>0</v>
      </c>
      <c r="AJ29" s="3">
        <f t="shared" si="6"/>
        <v>90</v>
      </c>
      <c r="AK29" s="3" t="s">
        <v>60</v>
      </c>
      <c r="AL29" s="3">
        <v>2</v>
      </c>
      <c r="AM29" s="3">
        <f t="shared" si="7"/>
        <v>92</v>
      </c>
      <c r="AN29" s="3">
        <v>6</v>
      </c>
      <c r="AO29" s="3">
        <f t="shared" si="8"/>
        <v>98</v>
      </c>
      <c r="AP29" s="3">
        <v>0</v>
      </c>
      <c r="AQ29" s="3">
        <f t="shared" si="11"/>
        <v>98</v>
      </c>
      <c r="AR29" s="3">
        <f t="shared" si="17"/>
        <v>105</v>
      </c>
      <c r="AS29" s="3">
        <f t="shared" si="9"/>
        <v>112</v>
      </c>
      <c r="AT29" s="3">
        <v>0</v>
      </c>
      <c r="AU29" s="3">
        <f t="shared" si="10"/>
        <v>12</v>
      </c>
      <c r="AV29" s="3" t="s">
        <v>132</v>
      </c>
      <c r="AW29" s="3" t="s">
        <v>131</v>
      </c>
      <c r="AX29" s="20" t="s">
        <v>75</v>
      </c>
      <c r="AY29" s="40">
        <v>46507</v>
      </c>
    </row>
    <row r="30" spans="1:51" hidden="1">
      <c r="A30" s="5">
        <v>1036</v>
      </c>
      <c r="B30" s="33" t="s">
        <v>80</v>
      </c>
      <c r="C30" s="6" t="s">
        <v>96</v>
      </c>
      <c r="D30" s="6" t="s">
        <v>58</v>
      </c>
      <c r="E30" s="6" t="s">
        <v>81</v>
      </c>
      <c r="F30" s="19">
        <v>91017200</v>
      </c>
      <c r="G30" s="5" t="s">
        <v>39</v>
      </c>
      <c r="H30" s="2">
        <v>0</v>
      </c>
      <c r="I30" s="4" t="s">
        <v>26</v>
      </c>
      <c r="J30" s="2">
        <v>261427</v>
      </c>
      <c r="K30" s="4" t="s">
        <v>37</v>
      </c>
      <c r="L30" s="3">
        <v>7</v>
      </c>
      <c r="M30" s="3">
        <v>0</v>
      </c>
      <c r="N30" s="3">
        <v>14</v>
      </c>
      <c r="O30" s="3">
        <f t="shared" si="26"/>
        <v>0</v>
      </c>
      <c r="P30" s="3">
        <f t="shared" si="22"/>
        <v>0</v>
      </c>
      <c r="Q30" s="3">
        <f t="shared" si="1"/>
        <v>0</v>
      </c>
      <c r="R30" s="3">
        <f t="shared" si="27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2</v>
      </c>
      <c r="W30" s="3">
        <f t="shared" si="18"/>
        <v>31</v>
      </c>
      <c r="X30" s="3">
        <v>0</v>
      </c>
      <c r="Y30" s="3">
        <v>33</v>
      </c>
      <c r="Z30" s="6">
        <v>34</v>
      </c>
      <c r="AA30" s="6">
        <f t="shared" si="25"/>
        <v>36</v>
      </c>
      <c r="AB30" s="3">
        <v>3</v>
      </c>
      <c r="AC30" s="3">
        <v>5</v>
      </c>
      <c r="AD30" s="3">
        <v>12</v>
      </c>
      <c r="AE30" s="3">
        <v>31</v>
      </c>
      <c r="AF30" s="3">
        <f t="shared" si="4"/>
        <v>66</v>
      </c>
      <c r="AG30" s="6">
        <v>3</v>
      </c>
      <c r="AH30" s="6">
        <f t="shared" si="5"/>
        <v>69</v>
      </c>
      <c r="AI30" s="3">
        <v>0</v>
      </c>
      <c r="AJ30" s="3">
        <f t="shared" si="6"/>
        <v>69</v>
      </c>
      <c r="AK30" s="3" t="s">
        <v>60</v>
      </c>
      <c r="AL30" s="3">
        <v>2</v>
      </c>
      <c r="AM30" s="3">
        <f t="shared" si="7"/>
        <v>71</v>
      </c>
      <c r="AN30" s="3">
        <v>5</v>
      </c>
      <c r="AO30" s="3">
        <f t="shared" si="8"/>
        <v>76</v>
      </c>
      <c r="AP30" s="3">
        <v>1</v>
      </c>
      <c r="AQ30" s="3">
        <f t="shared" si="11"/>
        <v>77</v>
      </c>
      <c r="AR30" s="3">
        <f t="shared" si="17"/>
        <v>84</v>
      </c>
      <c r="AS30" s="3">
        <f t="shared" si="9"/>
        <v>91</v>
      </c>
      <c r="AT30" s="3">
        <v>0</v>
      </c>
      <c r="AU30" s="3">
        <f t="shared" si="10"/>
        <v>13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>
      <c r="A31" s="5">
        <v>1040</v>
      </c>
      <c r="B31" s="33" t="s">
        <v>73</v>
      </c>
      <c r="C31" s="6" t="s">
        <v>90</v>
      </c>
      <c r="D31" s="6" t="s">
        <v>74</v>
      </c>
      <c r="E31" s="6" t="s">
        <v>85</v>
      </c>
      <c r="F31" s="19">
        <v>26549502</v>
      </c>
      <c r="G31" s="5" t="s">
        <v>48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26"/>
        <v>0</v>
      </c>
      <c r="P31" s="3">
        <f t="shared" si="22"/>
        <v>0</v>
      </c>
      <c r="Q31" s="3">
        <f t="shared" si="1"/>
        <v>0</v>
      </c>
      <c r="R31" s="3">
        <f t="shared" si="27"/>
        <v>23</v>
      </c>
      <c r="S31" s="3">
        <v>7</v>
      </c>
      <c r="T31" s="3">
        <f t="shared" si="24"/>
        <v>29</v>
      </c>
      <c r="U31" s="3">
        <f t="shared" si="19"/>
        <v>30</v>
      </c>
      <c r="V31" s="3">
        <v>1</v>
      </c>
      <c r="W31" s="3">
        <f t="shared" si="18"/>
        <v>30</v>
      </c>
      <c r="X31" s="3">
        <v>0</v>
      </c>
      <c r="Y31" s="3">
        <v>31</v>
      </c>
      <c r="Z31" s="6">
        <v>33</v>
      </c>
      <c r="AA31" s="6">
        <f t="shared" si="25"/>
        <v>36</v>
      </c>
      <c r="AB31" s="3">
        <v>4</v>
      </c>
      <c r="AC31" s="3">
        <v>11</v>
      </c>
      <c r="AD31" s="3">
        <v>11</v>
      </c>
      <c r="AE31" s="3">
        <v>32</v>
      </c>
      <c r="AF31" s="3">
        <f t="shared" si="4"/>
        <v>67</v>
      </c>
      <c r="AG31" s="6">
        <v>3</v>
      </c>
      <c r="AH31" s="6">
        <f t="shared" si="5"/>
        <v>70</v>
      </c>
      <c r="AI31" s="3">
        <v>0</v>
      </c>
      <c r="AJ31" s="3">
        <f t="shared" si="6"/>
        <v>70</v>
      </c>
      <c r="AK31" s="3" t="s">
        <v>60</v>
      </c>
      <c r="AL31" s="3">
        <v>4</v>
      </c>
      <c r="AM31" s="3">
        <f t="shared" si="7"/>
        <v>74</v>
      </c>
      <c r="AN31" s="3">
        <v>3</v>
      </c>
      <c r="AO31" s="3">
        <f t="shared" si="8"/>
        <v>77</v>
      </c>
      <c r="AP31" s="3">
        <v>0</v>
      </c>
      <c r="AQ31" s="3">
        <f t="shared" si="11"/>
        <v>77</v>
      </c>
      <c r="AR31" s="3">
        <f t="shared" si="17"/>
        <v>84</v>
      </c>
      <c r="AS31" s="3">
        <f t="shared" si="9"/>
        <v>91</v>
      </c>
      <c r="AT31" s="3">
        <v>0</v>
      </c>
      <c r="AU31" s="3">
        <f t="shared" si="10"/>
        <v>13</v>
      </c>
      <c r="AV31" s="3" t="s">
        <v>132</v>
      </c>
      <c r="AW31" s="3" t="s">
        <v>131</v>
      </c>
      <c r="AX31" s="20" t="s">
        <v>75</v>
      </c>
      <c r="AY31" s="40">
        <v>46507</v>
      </c>
    </row>
    <row r="32" spans="1:51" hidden="1">
      <c r="A32" s="5">
        <v>60</v>
      </c>
      <c r="B32" s="32" t="s">
        <v>51</v>
      </c>
      <c r="C32" s="6" t="s">
        <v>72</v>
      </c>
      <c r="D32" s="6" t="s">
        <v>54</v>
      </c>
      <c r="E32" s="6" t="s">
        <v>81</v>
      </c>
      <c r="F32" s="19">
        <v>90009500</v>
      </c>
      <c r="G32" s="4" t="s">
        <v>148</v>
      </c>
      <c r="H32" s="2">
        <v>92000100</v>
      </c>
      <c r="I32" s="4" t="s">
        <v>149</v>
      </c>
      <c r="J32" s="2">
        <v>92000100</v>
      </c>
      <c r="K32" s="4" t="s">
        <v>149</v>
      </c>
      <c r="L32" s="3">
        <v>7</v>
      </c>
      <c r="M32" s="3">
        <f t="shared" ref="M32:M43" si="28">+IF(I32="SFK Freight Forwarder",L32,9)</f>
        <v>9</v>
      </c>
      <c r="N32" s="3">
        <v>7</v>
      </c>
      <c r="O32" s="3">
        <f t="shared" si="26"/>
        <v>15</v>
      </c>
      <c r="P32" s="3">
        <f t="shared" si="22"/>
        <v>5</v>
      </c>
      <c r="Q32" s="3">
        <f t="shared" si="1"/>
        <v>19</v>
      </c>
      <c r="R32" s="3">
        <f t="shared" si="27"/>
        <v>16</v>
      </c>
      <c r="S32" s="3">
        <v>7</v>
      </c>
      <c r="T32" s="3">
        <f t="shared" si="24"/>
        <v>22</v>
      </c>
      <c r="U32" s="3">
        <f t="shared" si="19"/>
        <v>23</v>
      </c>
      <c r="V32" s="3">
        <v>1</v>
      </c>
      <c r="W32" s="3">
        <f t="shared" si="18"/>
        <v>23</v>
      </c>
      <c r="X32" s="3">
        <v>0</v>
      </c>
      <c r="Y32" s="3">
        <v>25</v>
      </c>
      <c r="Z32" s="6">
        <v>25</v>
      </c>
      <c r="AA32" s="6">
        <f t="shared" si="25"/>
        <v>27</v>
      </c>
      <c r="AB32" s="3">
        <v>3</v>
      </c>
      <c r="AC32" s="3">
        <v>7</v>
      </c>
      <c r="AD32" s="3">
        <v>7</v>
      </c>
      <c r="AE32" s="3">
        <v>46</v>
      </c>
      <c r="AF32" s="3">
        <f t="shared" si="4"/>
        <v>72</v>
      </c>
      <c r="AG32" s="6">
        <v>3</v>
      </c>
      <c r="AH32" s="6">
        <f t="shared" si="5"/>
        <v>75</v>
      </c>
      <c r="AI32" s="3">
        <v>0</v>
      </c>
      <c r="AJ32" s="3">
        <f t="shared" si="6"/>
        <v>75</v>
      </c>
      <c r="AK32" s="3" t="s">
        <v>55</v>
      </c>
      <c r="AL32" s="3">
        <v>9</v>
      </c>
      <c r="AM32" s="3">
        <f t="shared" si="7"/>
        <v>84</v>
      </c>
      <c r="AN32" s="3">
        <v>2</v>
      </c>
      <c r="AO32" s="3">
        <f t="shared" si="8"/>
        <v>86</v>
      </c>
      <c r="AP32" s="3">
        <v>5</v>
      </c>
      <c r="AQ32" s="3">
        <f t="shared" si="11"/>
        <v>91</v>
      </c>
      <c r="AR32" s="3">
        <f t="shared" si="17"/>
        <v>98</v>
      </c>
      <c r="AS32" s="3">
        <f t="shared" si="9"/>
        <v>115</v>
      </c>
      <c r="AT32" s="3">
        <v>10</v>
      </c>
      <c r="AU32" s="3">
        <f t="shared" si="10"/>
        <v>11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>
      <c r="A33" s="5">
        <v>120</v>
      </c>
      <c r="B33" s="32" t="s">
        <v>51</v>
      </c>
      <c r="C33" s="6" t="s">
        <v>52</v>
      </c>
      <c r="D33" s="6" t="s">
        <v>54</v>
      </c>
      <c r="E33" s="6" t="s">
        <v>85</v>
      </c>
      <c r="F33" s="19">
        <v>90009500</v>
      </c>
      <c r="G33" s="4" t="s">
        <v>148</v>
      </c>
      <c r="H33" s="2">
        <v>2533780546</v>
      </c>
      <c r="I33" s="4" t="s">
        <v>21</v>
      </c>
      <c r="J33" s="2">
        <v>2533780546</v>
      </c>
      <c r="K33" s="4" t="s">
        <v>21</v>
      </c>
      <c r="L33" s="3">
        <v>7</v>
      </c>
      <c r="M33" s="3">
        <f t="shared" si="28"/>
        <v>9</v>
      </c>
      <c r="N33" s="3">
        <v>14</v>
      </c>
      <c r="O33" s="3">
        <f t="shared" si="26"/>
        <v>22</v>
      </c>
      <c r="P33" s="3">
        <f t="shared" si="22"/>
        <v>5</v>
      </c>
      <c r="Q33" s="3">
        <f t="shared" si="1"/>
        <v>26</v>
      </c>
      <c r="R33" s="3">
        <f t="shared" si="27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2</v>
      </c>
      <c r="W33" s="3">
        <f t="shared" si="18"/>
        <v>31</v>
      </c>
      <c r="X33" s="3">
        <v>0</v>
      </c>
      <c r="Y33" s="3">
        <v>33</v>
      </c>
      <c r="Z33" s="6">
        <v>33</v>
      </c>
      <c r="AA33" s="6">
        <f t="shared" si="25"/>
        <v>35</v>
      </c>
      <c r="AB33" s="3">
        <v>3</v>
      </c>
      <c r="AC33" s="3">
        <v>7</v>
      </c>
      <c r="AD33" s="3">
        <v>7</v>
      </c>
      <c r="AE33" s="3">
        <v>68</v>
      </c>
      <c r="AF33" s="3">
        <f t="shared" si="4"/>
        <v>102</v>
      </c>
      <c r="AG33" s="6">
        <v>3</v>
      </c>
      <c r="AH33" s="6">
        <f t="shared" si="5"/>
        <v>105</v>
      </c>
      <c r="AI33" s="3">
        <v>0</v>
      </c>
      <c r="AJ33" s="3">
        <f t="shared" si="6"/>
        <v>105</v>
      </c>
      <c r="AK33" s="3" t="s">
        <v>55</v>
      </c>
      <c r="AL33" s="3">
        <v>9</v>
      </c>
      <c r="AM33" s="3">
        <f t="shared" si="7"/>
        <v>114</v>
      </c>
      <c r="AN33" s="3">
        <v>2</v>
      </c>
      <c r="AO33" s="3">
        <f t="shared" si="8"/>
        <v>116</v>
      </c>
      <c r="AP33" s="3">
        <v>3</v>
      </c>
      <c r="AQ33" s="3">
        <f t="shared" si="11"/>
        <v>119</v>
      </c>
      <c r="AR33" s="3">
        <f t="shared" si="17"/>
        <v>126</v>
      </c>
      <c r="AS33" s="3">
        <f t="shared" si="9"/>
        <v>143</v>
      </c>
      <c r="AT33" s="3">
        <v>10</v>
      </c>
      <c r="AU33" s="3">
        <f t="shared" si="10"/>
        <v>12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>
      <c r="A34" s="5">
        <v>121</v>
      </c>
      <c r="B34" s="32" t="s">
        <v>51</v>
      </c>
      <c r="C34" s="6" t="s">
        <v>57</v>
      </c>
      <c r="D34" s="6" t="s">
        <v>54</v>
      </c>
      <c r="E34" s="6" t="s">
        <v>85</v>
      </c>
      <c r="F34" s="19">
        <v>90009500</v>
      </c>
      <c r="G34" s="4" t="s">
        <v>148</v>
      </c>
      <c r="H34" s="2">
        <v>2533780535</v>
      </c>
      <c r="I34" s="4" t="s">
        <v>22</v>
      </c>
      <c r="J34" s="2">
        <v>2533780535</v>
      </c>
      <c r="K34" s="4" t="s">
        <v>22</v>
      </c>
      <c r="L34" s="3">
        <v>7</v>
      </c>
      <c r="M34" s="3">
        <f t="shared" si="28"/>
        <v>9</v>
      </c>
      <c r="N34" s="3">
        <v>14</v>
      </c>
      <c r="O34" s="3">
        <f t="shared" si="26"/>
        <v>22</v>
      </c>
      <c r="P34" s="3">
        <f t="shared" si="22"/>
        <v>5</v>
      </c>
      <c r="Q34" s="3">
        <f t="shared" ref="Q34:Q55" si="29">+IF(I34="SFK Freight Forwarder",O34,O34+P34-1)</f>
        <v>26</v>
      </c>
      <c r="R34" s="3">
        <f t="shared" si="27"/>
        <v>23</v>
      </c>
      <c r="S34" s="3">
        <v>7</v>
      </c>
      <c r="T34" s="3">
        <f t="shared" si="24"/>
        <v>29</v>
      </c>
      <c r="U34" s="3">
        <f t="shared" si="19"/>
        <v>30</v>
      </c>
      <c r="V34" s="3">
        <v>3</v>
      </c>
      <c r="W34" s="3">
        <f t="shared" si="18"/>
        <v>32</v>
      </c>
      <c r="X34" s="3">
        <v>0</v>
      </c>
      <c r="Y34" s="3">
        <v>33</v>
      </c>
      <c r="Z34" s="6">
        <v>33</v>
      </c>
      <c r="AA34" s="6">
        <f t="shared" si="25"/>
        <v>35</v>
      </c>
      <c r="AB34" s="3">
        <v>3</v>
      </c>
      <c r="AC34" s="3">
        <v>4</v>
      </c>
      <c r="AD34" s="3">
        <v>11</v>
      </c>
      <c r="AE34" s="3">
        <v>75</v>
      </c>
      <c r="AF34" s="3">
        <f t="shared" ref="AF34:AF55" si="30">+AE34+AA34-1</f>
        <v>109</v>
      </c>
      <c r="AG34" s="6">
        <v>3</v>
      </c>
      <c r="AH34" s="6">
        <f t="shared" ref="AH34:AH55" si="31">+AF34+AG34</f>
        <v>112</v>
      </c>
      <c r="AI34" s="3">
        <v>0</v>
      </c>
      <c r="AJ34" s="3">
        <f t="shared" ref="AJ34:AJ55" si="32">+AI34+AH34</f>
        <v>112</v>
      </c>
      <c r="AK34" s="3" t="s">
        <v>55</v>
      </c>
      <c r="AL34" s="3">
        <v>9</v>
      </c>
      <c r="AM34" s="3">
        <f t="shared" ref="AM34:AM55" si="33">+AJ34+AL34</f>
        <v>121</v>
      </c>
      <c r="AN34" s="3">
        <v>2</v>
      </c>
      <c r="AO34" s="3">
        <f t="shared" ref="AO34:AO55" si="34">+AM34+AN34</f>
        <v>123</v>
      </c>
      <c r="AP34" s="3">
        <v>3</v>
      </c>
      <c r="AQ34" s="3">
        <f t="shared" si="11"/>
        <v>126</v>
      </c>
      <c r="AR34" s="3">
        <f t="shared" si="17"/>
        <v>133</v>
      </c>
      <c r="AS34" s="3">
        <f t="shared" ref="AS34:AS55" si="35">+AR34+7+AT34</f>
        <v>150</v>
      </c>
      <c r="AT34" s="3">
        <v>10</v>
      </c>
      <c r="AU34" s="3">
        <f t="shared" ref="AU34:AU55" si="36">+AA34-R34</f>
        <v>12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>
      <c r="A35" s="5">
        <v>908</v>
      </c>
      <c r="B35" s="32" t="s">
        <v>67</v>
      </c>
      <c r="C35" s="6" t="s">
        <v>77</v>
      </c>
      <c r="D35" s="6" t="s">
        <v>62</v>
      </c>
      <c r="E35" s="6" t="s">
        <v>63</v>
      </c>
      <c r="F35" s="19">
        <v>90018600</v>
      </c>
      <c r="G35" s="4" t="s">
        <v>156</v>
      </c>
      <c r="H35" s="2">
        <v>28390</v>
      </c>
      <c r="I35" s="4" t="s">
        <v>32</v>
      </c>
      <c r="J35" s="2">
        <v>28390</v>
      </c>
      <c r="K35" s="4" t="s">
        <v>32</v>
      </c>
      <c r="L35" s="3">
        <v>7</v>
      </c>
      <c r="M35" s="3">
        <f t="shared" si="28"/>
        <v>9</v>
      </c>
      <c r="N35" s="3">
        <v>14</v>
      </c>
      <c r="O35" s="3">
        <f t="shared" si="26"/>
        <v>22</v>
      </c>
      <c r="P35" s="3">
        <f t="shared" si="22"/>
        <v>5</v>
      </c>
      <c r="Q35" s="3">
        <f t="shared" si="29"/>
        <v>26</v>
      </c>
      <c r="R35" s="3">
        <f t="shared" si="27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4</v>
      </c>
      <c r="W35" s="3">
        <f t="shared" si="18"/>
        <v>33</v>
      </c>
      <c r="X35" s="3">
        <v>0</v>
      </c>
      <c r="Y35" s="3">
        <v>33</v>
      </c>
      <c r="Z35" s="6">
        <v>36</v>
      </c>
      <c r="AA35" s="6">
        <v>40</v>
      </c>
      <c r="AB35" s="3">
        <v>2</v>
      </c>
      <c r="AC35" s="3">
        <v>7</v>
      </c>
      <c r="AD35" s="3">
        <v>7</v>
      </c>
      <c r="AE35" s="3">
        <v>33</v>
      </c>
      <c r="AF35" s="3">
        <f t="shared" si="30"/>
        <v>72</v>
      </c>
      <c r="AG35" s="6">
        <v>3</v>
      </c>
      <c r="AH35" s="6">
        <f t="shared" si="31"/>
        <v>75</v>
      </c>
      <c r="AI35" s="3">
        <v>0</v>
      </c>
      <c r="AJ35" s="3">
        <f t="shared" si="32"/>
        <v>75</v>
      </c>
      <c r="AK35" s="28" t="s">
        <v>79</v>
      </c>
      <c r="AL35" s="3">
        <v>9</v>
      </c>
      <c r="AM35" s="3">
        <f t="shared" si="33"/>
        <v>84</v>
      </c>
      <c r="AN35" s="3">
        <v>2</v>
      </c>
      <c r="AO35" s="3">
        <f t="shared" si="34"/>
        <v>86</v>
      </c>
      <c r="AP35" s="3">
        <v>5</v>
      </c>
      <c r="AQ35" s="3">
        <f t="shared" ref="AQ35:AQ55" si="37">+AO35+AP35</f>
        <v>91</v>
      </c>
      <c r="AR35" s="3">
        <f t="shared" si="17"/>
        <v>98</v>
      </c>
      <c r="AS35" s="3">
        <f t="shared" si="35"/>
        <v>121</v>
      </c>
      <c r="AT35" s="3">
        <v>16</v>
      </c>
      <c r="AU35" s="3">
        <f t="shared" si="36"/>
        <v>17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>
      <c r="A36" s="5">
        <v>910</v>
      </c>
      <c r="B36" s="32" t="s">
        <v>67</v>
      </c>
      <c r="C36" s="6" t="s">
        <v>72</v>
      </c>
      <c r="D36" s="6" t="s">
        <v>62</v>
      </c>
      <c r="E36" s="6" t="s">
        <v>150</v>
      </c>
      <c r="F36" s="19">
        <v>90018600</v>
      </c>
      <c r="G36" s="5" t="s">
        <v>156</v>
      </c>
      <c r="H36" s="2">
        <v>92000100</v>
      </c>
      <c r="I36" s="4" t="s">
        <v>149</v>
      </c>
      <c r="J36" s="2">
        <v>92000100</v>
      </c>
      <c r="K36" s="4" t="s">
        <v>149</v>
      </c>
      <c r="L36" s="3">
        <v>7</v>
      </c>
      <c r="M36" s="3">
        <f t="shared" si="28"/>
        <v>9</v>
      </c>
      <c r="N36" s="3">
        <v>14</v>
      </c>
      <c r="O36" s="3">
        <f t="shared" si="26"/>
        <v>22</v>
      </c>
      <c r="P36" s="3">
        <f t="shared" si="22"/>
        <v>5</v>
      </c>
      <c r="Q36" s="3">
        <f t="shared" si="29"/>
        <v>26</v>
      </c>
      <c r="R36" s="3">
        <f t="shared" si="27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36</v>
      </c>
      <c r="Z36" s="6">
        <f>+Y36+1</f>
        <v>37</v>
      </c>
      <c r="AA36" s="6">
        <f t="shared" ref="AA36:AA43" si="38">+Z36+AB36-1</f>
        <v>39</v>
      </c>
      <c r="AB36" s="3">
        <v>3</v>
      </c>
      <c r="AC36" s="3">
        <v>6</v>
      </c>
      <c r="AD36" s="3">
        <v>13</v>
      </c>
      <c r="AE36" s="3">
        <v>26</v>
      </c>
      <c r="AF36" s="3">
        <f t="shared" si="30"/>
        <v>64</v>
      </c>
      <c r="AG36" s="6">
        <v>3</v>
      </c>
      <c r="AH36" s="6">
        <f t="shared" si="31"/>
        <v>67</v>
      </c>
      <c r="AI36" s="3">
        <v>0</v>
      </c>
      <c r="AJ36" s="3">
        <f t="shared" si="32"/>
        <v>67</v>
      </c>
      <c r="AK36" s="3" t="s">
        <v>65</v>
      </c>
      <c r="AL36" s="3">
        <v>9</v>
      </c>
      <c r="AM36" s="3">
        <f t="shared" si="33"/>
        <v>76</v>
      </c>
      <c r="AN36" s="3">
        <v>2</v>
      </c>
      <c r="AO36" s="3">
        <f t="shared" si="34"/>
        <v>78</v>
      </c>
      <c r="AP36" s="3">
        <v>6</v>
      </c>
      <c r="AQ36" s="3">
        <f t="shared" si="37"/>
        <v>84</v>
      </c>
      <c r="AR36" s="3">
        <f t="shared" si="17"/>
        <v>91</v>
      </c>
      <c r="AS36" s="3">
        <f t="shared" si="35"/>
        <v>112</v>
      </c>
      <c r="AT36" s="3">
        <v>14</v>
      </c>
      <c r="AU36" s="3">
        <f t="shared" si="36"/>
        <v>16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>
      <c r="A37" s="5">
        <v>912</v>
      </c>
      <c r="B37" s="32" t="s">
        <v>67</v>
      </c>
      <c r="C37" s="6" t="s">
        <v>57</v>
      </c>
      <c r="D37" s="6" t="s">
        <v>62</v>
      </c>
      <c r="E37" s="6" t="s">
        <v>85</v>
      </c>
      <c r="F37" s="19">
        <v>90018600</v>
      </c>
      <c r="G37" s="4" t="s">
        <v>156</v>
      </c>
      <c r="H37" s="2">
        <v>2533780535</v>
      </c>
      <c r="I37" s="4" t="s">
        <v>22</v>
      </c>
      <c r="J37" s="2">
        <v>2533780535</v>
      </c>
      <c r="K37" s="4" t="s">
        <v>22</v>
      </c>
      <c r="L37" s="3">
        <v>7</v>
      </c>
      <c r="M37" s="3">
        <f t="shared" si="28"/>
        <v>9</v>
      </c>
      <c r="N37" s="3">
        <v>14</v>
      </c>
      <c r="O37" s="3">
        <f t="shared" si="26"/>
        <v>22</v>
      </c>
      <c r="P37" s="3">
        <f t="shared" si="22"/>
        <v>5</v>
      </c>
      <c r="Q37" s="3">
        <f t="shared" si="29"/>
        <v>26</v>
      </c>
      <c r="R37" s="3">
        <f t="shared" si="27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4</v>
      </c>
      <c r="W37" s="3">
        <f t="shared" si="18"/>
        <v>33</v>
      </c>
      <c r="X37" s="3">
        <v>0</v>
      </c>
      <c r="Y37" s="3">
        <v>33</v>
      </c>
      <c r="Z37" s="6">
        <v>33</v>
      </c>
      <c r="AA37" s="6">
        <f t="shared" si="38"/>
        <v>35</v>
      </c>
      <c r="AB37" s="3">
        <v>3</v>
      </c>
      <c r="AC37" s="3">
        <v>4</v>
      </c>
      <c r="AD37" s="3">
        <v>11</v>
      </c>
      <c r="AE37" s="3">
        <v>44</v>
      </c>
      <c r="AF37" s="3">
        <f t="shared" si="30"/>
        <v>78</v>
      </c>
      <c r="AG37" s="6">
        <v>3</v>
      </c>
      <c r="AH37" s="6">
        <f t="shared" si="31"/>
        <v>81</v>
      </c>
      <c r="AI37" s="3">
        <v>0</v>
      </c>
      <c r="AJ37" s="3">
        <f t="shared" si="32"/>
        <v>81</v>
      </c>
      <c r="AK37" s="3" t="s">
        <v>55</v>
      </c>
      <c r="AL37" s="3">
        <v>9</v>
      </c>
      <c r="AM37" s="3">
        <f t="shared" si="33"/>
        <v>90</v>
      </c>
      <c r="AN37" s="3">
        <v>2</v>
      </c>
      <c r="AO37" s="3">
        <f t="shared" si="34"/>
        <v>92</v>
      </c>
      <c r="AP37" s="3">
        <v>6</v>
      </c>
      <c r="AQ37" s="3">
        <f t="shared" si="37"/>
        <v>98</v>
      </c>
      <c r="AR37" s="3">
        <f t="shared" si="17"/>
        <v>105</v>
      </c>
      <c r="AS37" s="3">
        <f t="shared" si="35"/>
        <v>121</v>
      </c>
      <c r="AT37" s="3">
        <v>9</v>
      </c>
      <c r="AU37" s="3">
        <f t="shared" si="36"/>
        <v>12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>
      <c r="A38" s="5">
        <v>916</v>
      </c>
      <c r="B38" s="32" t="s">
        <v>80</v>
      </c>
      <c r="C38" s="6" t="s">
        <v>62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95207</v>
      </c>
      <c r="I38" s="4" t="s">
        <v>30</v>
      </c>
      <c r="J38" s="2">
        <v>95207</v>
      </c>
      <c r="K38" s="4" t="s">
        <v>30</v>
      </c>
      <c r="L38" s="3">
        <v>7</v>
      </c>
      <c r="M38" s="3">
        <f t="shared" si="28"/>
        <v>9</v>
      </c>
      <c r="N38" s="3">
        <v>7</v>
      </c>
      <c r="O38" s="3">
        <f t="shared" si="26"/>
        <v>15</v>
      </c>
      <c r="P38" s="3">
        <f t="shared" si="22"/>
        <v>5</v>
      </c>
      <c r="Q38" s="3">
        <f t="shared" si="29"/>
        <v>19</v>
      </c>
      <c r="R38" s="3">
        <f t="shared" si="27"/>
        <v>16</v>
      </c>
      <c r="S38" s="3">
        <v>7</v>
      </c>
      <c r="T38" s="3">
        <f t="shared" si="24"/>
        <v>22</v>
      </c>
      <c r="U38" s="3">
        <f t="shared" si="19"/>
        <v>23</v>
      </c>
      <c r="V38" s="3">
        <v>4</v>
      </c>
      <c r="W38" s="3">
        <f t="shared" si="18"/>
        <v>26</v>
      </c>
      <c r="X38" s="3">
        <v>0</v>
      </c>
      <c r="Y38" s="3">
        <v>26</v>
      </c>
      <c r="Z38" s="6">
        <v>31</v>
      </c>
      <c r="AA38" s="6">
        <f t="shared" si="38"/>
        <v>33</v>
      </c>
      <c r="AB38" s="3">
        <v>3</v>
      </c>
      <c r="AC38" s="3">
        <v>5</v>
      </c>
      <c r="AD38" s="3">
        <v>12</v>
      </c>
      <c r="AE38" s="3">
        <v>27</v>
      </c>
      <c r="AF38" s="3">
        <f t="shared" si="30"/>
        <v>59</v>
      </c>
      <c r="AG38" s="6">
        <v>3</v>
      </c>
      <c r="AH38" s="6">
        <f t="shared" si="31"/>
        <v>62</v>
      </c>
      <c r="AI38" s="3">
        <v>0</v>
      </c>
      <c r="AJ38" s="3">
        <f t="shared" si="32"/>
        <v>62</v>
      </c>
      <c r="AK38" s="3" t="s">
        <v>65</v>
      </c>
      <c r="AL38" s="3">
        <v>9</v>
      </c>
      <c r="AM38" s="3">
        <f t="shared" si="33"/>
        <v>71</v>
      </c>
      <c r="AN38" s="3">
        <v>9</v>
      </c>
      <c r="AO38" s="3">
        <f t="shared" si="34"/>
        <v>80</v>
      </c>
      <c r="AP38" s="3">
        <v>4</v>
      </c>
      <c r="AQ38" s="3">
        <f t="shared" si="37"/>
        <v>84</v>
      </c>
      <c r="AR38" s="3">
        <f t="shared" ref="AR38:AR55" si="39">+AQ38+7</f>
        <v>91</v>
      </c>
      <c r="AS38" s="3">
        <f t="shared" si="35"/>
        <v>111</v>
      </c>
      <c r="AT38" s="3">
        <v>13</v>
      </c>
      <c r="AU38" s="3">
        <f t="shared" si="36"/>
        <v>17</v>
      </c>
      <c r="AV38" s="3" t="s">
        <v>130</v>
      </c>
      <c r="AW38" s="3" t="s">
        <v>131</v>
      </c>
      <c r="AX38" s="20" t="s">
        <v>56</v>
      </c>
      <c r="AY38" s="21">
        <v>46507</v>
      </c>
    </row>
    <row r="39" spans="1:51" hidden="1">
      <c r="A39" s="5">
        <v>921</v>
      </c>
      <c r="B39" s="33" t="s">
        <v>61</v>
      </c>
      <c r="C39" s="6" t="s">
        <v>57</v>
      </c>
      <c r="D39" s="6" t="s">
        <v>50</v>
      </c>
      <c r="E39" s="6" t="s">
        <v>59</v>
      </c>
      <c r="F39" s="19">
        <v>90014400</v>
      </c>
      <c r="G39" s="5" t="s">
        <v>155</v>
      </c>
      <c r="H39" s="2">
        <v>2533780535</v>
      </c>
      <c r="I39" s="4" t="s">
        <v>22</v>
      </c>
      <c r="J39" s="2">
        <v>2533780535</v>
      </c>
      <c r="K39" s="4" t="s">
        <v>22</v>
      </c>
      <c r="L39" s="3">
        <v>2</v>
      </c>
      <c r="M39" s="3">
        <f t="shared" si="28"/>
        <v>9</v>
      </c>
      <c r="N39" s="3">
        <v>14</v>
      </c>
      <c r="O39" s="3">
        <f t="shared" si="26"/>
        <v>22</v>
      </c>
      <c r="P39" s="3">
        <f t="shared" si="22"/>
        <v>5</v>
      </c>
      <c r="Q39" s="3">
        <f t="shared" si="29"/>
        <v>26</v>
      </c>
      <c r="R39" s="3">
        <f t="shared" si="27"/>
        <v>23</v>
      </c>
      <c r="S39" s="3">
        <v>7</v>
      </c>
      <c r="T39" s="3">
        <f t="shared" si="24"/>
        <v>29</v>
      </c>
      <c r="U39" s="3">
        <f t="shared" si="19"/>
        <v>30</v>
      </c>
      <c r="V39" s="3">
        <v>3</v>
      </c>
      <c r="W39" s="3">
        <f t="shared" si="18"/>
        <v>32</v>
      </c>
      <c r="X39" s="3">
        <v>0</v>
      </c>
      <c r="Y39" s="3">
        <v>33</v>
      </c>
      <c r="Z39" s="6">
        <v>37</v>
      </c>
      <c r="AA39" s="6">
        <f t="shared" si="38"/>
        <v>39</v>
      </c>
      <c r="AB39" s="3">
        <v>3</v>
      </c>
      <c r="AC39" s="3">
        <v>6</v>
      </c>
      <c r="AD39" s="3">
        <v>13</v>
      </c>
      <c r="AE39" s="3">
        <v>46</v>
      </c>
      <c r="AF39" s="3">
        <f t="shared" si="30"/>
        <v>84</v>
      </c>
      <c r="AG39" s="6">
        <v>3</v>
      </c>
      <c r="AH39" s="6">
        <f t="shared" si="31"/>
        <v>87</v>
      </c>
      <c r="AI39" s="3">
        <v>0</v>
      </c>
      <c r="AJ39" s="3">
        <f t="shared" si="32"/>
        <v>87</v>
      </c>
      <c r="AK39" s="3" t="s">
        <v>55</v>
      </c>
      <c r="AL39" s="3">
        <v>9</v>
      </c>
      <c r="AM39" s="3">
        <f t="shared" si="33"/>
        <v>96</v>
      </c>
      <c r="AN39" s="3">
        <v>2</v>
      </c>
      <c r="AO39" s="3">
        <f t="shared" si="34"/>
        <v>98</v>
      </c>
      <c r="AP39" s="3">
        <v>0</v>
      </c>
      <c r="AQ39" s="3">
        <f t="shared" si="37"/>
        <v>98</v>
      </c>
      <c r="AR39" s="3">
        <f t="shared" si="39"/>
        <v>105</v>
      </c>
      <c r="AS39" s="3">
        <f t="shared" si="35"/>
        <v>126</v>
      </c>
      <c r="AT39" s="3">
        <v>14</v>
      </c>
      <c r="AU39" s="3">
        <f t="shared" si="36"/>
        <v>16</v>
      </c>
      <c r="AV39" s="3" t="s">
        <v>130</v>
      </c>
      <c r="AW39" s="3" t="s">
        <v>131</v>
      </c>
      <c r="AX39" s="20" t="s">
        <v>56</v>
      </c>
      <c r="AY39" s="21">
        <v>46507</v>
      </c>
    </row>
    <row r="40" spans="1:51" hidden="1">
      <c r="A40" s="5">
        <v>928</v>
      </c>
      <c r="B40" s="32" t="s">
        <v>67</v>
      </c>
      <c r="C40" s="6" t="s">
        <v>58</v>
      </c>
      <c r="D40" s="6" t="s">
        <v>62</v>
      </c>
      <c r="E40" s="6" t="s">
        <v>81</v>
      </c>
      <c r="F40" s="19">
        <v>90018600</v>
      </c>
      <c r="G40" s="4" t="s">
        <v>156</v>
      </c>
      <c r="H40" s="2">
        <v>91018400</v>
      </c>
      <c r="I40" s="4" t="s">
        <v>23</v>
      </c>
      <c r="J40" s="2">
        <v>91018400</v>
      </c>
      <c r="K40" s="4" t="s">
        <v>23</v>
      </c>
      <c r="L40" s="3">
        <v>7</v>
      </c>
      <c r="M40" s="3">
        <f t="shared" si="28"/>
        <v>9</v>
      </c>
      <c r="N40" s="3">
        <v>7</v>
      </c>
      <c r="O40" s="3">
        <f t="shared" si="26"/>
        <v>15</v>
      </c>
      <c r="P40" s="3">
        <f t="shared" si="22"/>
        <v>5</v>
      </c>
      <c r="Q40" s="3">
        <f t="shared" si="29"/>
        <v>19</v>
      </c>
      <c r="R40" s="3">
        <f t="shared" si="27"/>
        <v>16</v>
      </c>
      <c r="S40" s="3">
        <v>7</v>
      </c>
      <c r="T40" s="3">
        <f t="shared" si="24"/>
        <v>22</v>
      </c>
      <c r="U40" s="3">
        <f t="shared" si="19"/>
        <v>23</v>
      </c>
      <c r="V40" s="3">
        <v>2</v>
      </c>
      <c r="W40" s="3">
        <f t="shared" si="18"/>
        <v>24</v>
      </c>
      <c r="X40" s="3">
        <v>0</v>
      </c>
      <c r="Y40" s="3">
        <v>26</v>
      </c>
      <c r="Z40" s="6">
        <v>31</v>
      </c>
      <c r="AA40" s="6">
        <f t="shared" si="38"/>
        <v>33</v>
      </c>
      <c r="AB40" s="3">
        <v>3</v>
      </c>
      <c r="AC40" s="3">
        <v>9</v>
      </c>
      <c r="AD40" s="3">
        <v>9</v>
      </c>
      <c r="AE40" s="3">
        <v>21</v>
      </c>
      <c r="AF40" s="3">
        <f t="shared" si="30"/>
        <v>53</v>
      </c>
      <c r="AG40" s="6">
        <v>3</v>
      </c>
      <c r="AH40" s="6">
        <f t="shared" si="31"/>
        <v>56</v>
      </c>
      <c r="AI40" s="3">
        <v>0</v>
      </c>
      <c r="AJ40" s="3">
        <f t="shared" si="32"/>
        <v>56</v>
      </c>
      <c r="AK40" s="3" t="s">
        <v>60</v>
      </c>
      <c r="AL40" s="3">
        <v>9</v>
      </c>
      <c r="AM40" s="3">
        <f t="shared" si="33"/>
        <v>65</v>
      </c>
      <c r="AN40" s="3">
        <v>2</v>
      </c>
      <c r="AO40" s="3">
        <f t="shared" si="34"/>
        <v>67</v>
      </c>
      <c r="AP40" s="3">
        <v>3</v>
      </c>
      <c r="AQ40" s="3">
        <f t="shared" si="37"/>
        <v>70</v>
      </c>
      <c r="AR40" s="3">
        <f t="shared" si="39"/>
        <v>77</v>
      </c>
      <c r="AS40" s="3">
        <f t="shared" si="35"/>
        <v>98</v>
      </c>
      <c r="AT40" s="3">
        <v>14</v>
      </c>
      <c r="AU40" s="3">
        <f t="shared" si="36"/>
        <v>17</v>
      </c>
      <c r="AV40" s="3" t="s">
        <v>130</v>
      </c>
      <c r="AW40" s="3" t="s">
        <v>131</v>
      </c>
      <c r="AX40" s="20" t="s">
        <v>56</v>
      </c>
      <c r="AY40" s="21">
        <v>46507</v>
      </c>
    </row>
    <row r="41" spans="1:51" hidden="1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7</v>
      </c>
      <c r="M41" s="3">
        <f t="shared" si="28"/>
        <v>9</v>
      </c>
      <c r="N41" s="3">
        <v>14</v>
      </c>
      <c r="O41" s="3">
        <f t="shared" si="26"/>
        <v>22</v>
      </c>
      <c r="P41" s="3">
        <v>5</v>
      </c>
      <c r="Q41" s="3">
        <f t="shared" si="29"/>
        <v>26</v>
      </c>
      <c r="R41" s="3">
        <f t="shared" si="27"/>
        <v>23</v>
      </c>
      <c r="S41" s="3">
        <v>7</v>
      </c>
      <c r="T41" s="3">
        <f t="shared" si="24"/>
        <v>29</v>
      </c>
      <c r="U41" s="3">
        <f t="shared" si="19"/>
        <v>30</v>
      </c>
      <c r="V41" s="3">
        <v>1</v>
      </c>
      <c r="W41" s="3">
        <f t="shared" si="18"/>
        <v>30</v>
      </c>
      <c r="X41" s="3">
        <v>0</v>
      </c>
      <c r="Y41" s="3">
        <v>30</v>
      </c>
      <c r="Z41" s="6">
        <v>35</v>
      </c>
      <c r="AA41" s="6">
        <f t="shared" si="38"/>
        <v>37</v>
      </c>
      <c r="AB41" s="3">
        <v>3</v>
      </c>
      <c r="AC41" s="3">
        <v>8</v>
      </c>
      <c r="AD41" s="3">
        <v>8</v>
      </c>
      <c r="AE41" s="3">
        <v>40</v>
      </c>
      <c r="AF41" s="3">
        <f t="shared" si="30"/>
        <v>76</v>
      </c>
      <c r="AG41" s="6">
        <v>3</v>
      </c>
      <c r="AH41" s="6">
        <f t="shared" si="31"/>
        <v>79</v>
      </c>
      <c r="AI41" s="3">
        <v>0</v>
      </c>
      <c r="AJ41" s="3">
        <f t="shared" si="32"/>
        <v>79</v>
      </c>
      <c r="AK41" s="3" t="s">
        <v>55</v>
      </c>
      <c r="AL41" s="3">
        <v>9</v>
      </c>
      <c r="AM41" s="3">
        <f t="shared" si="33"/>
        <v>88</v>
      </c>
      <c r="AN41" s="3">
        <v>10</v>
      </c>
      <c r="AO41" s="3">
        <f t="shared" si="34"/>
        <v>98</v>
      </c>
      <c r="AP41" s="3">
        <v>0</v>
      </c>
      <c r="AQ41" s="3">
        <f t="shared" si="37"/>
        <v>98</v>
      </c>
      <c r="AR41" s="3">
        <f t="shared" si="39"/>
        <v>105</v>
      </c>
      <c r="AS41" s="3">
        <f t="shared" si="35"/>
        <v>129</v>
      </c>
      <c r="AT41" s="3">
        <v>17</v>
      </c>
      <c r="AU41" s="3">
        <f t="shared" si="36"/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t="30" hidden="1">
      <c r="A42" s="5">
        <v>931</v>
      </c>
      <c r="B42" s="33" t="s">
        <v>67</v>
      </c>
      <c r="C42" s="6" t="s">
        <v>68</v>
      </c>
      <c r="D42" s="6" t="s">
        <v>62</v>
      </c>
      <c r="E42" s="6" t="s">
        <v>85</v>
      </c>
      <c r="F42" s="19">
        <v>90018600</v>
      </c>
      <c r="G42" s="36" t="s">
        <v>156</v>
      </c>
      <c r="H42" s="2">
        <v>26037000</v>
      </c>
      <c r="I42" s="22" t="s">
        <v>35</v>
      </c>
      <c r="J42" s="2">
        <v>26037000</v>
      </c>
      <c r="K42" s="4" t="s">
        <v>35</v>
      </c>
      <c r="L42" s="3">
        <v>7</v>
      </c>
      <c r="M42" s="3">
        <f t="shared" si="28"/>
        <v>9</v>
      </c>
      <c r="N42" s="3">
        <v>14</v>
      </c>
      <c r="O42" s="3">
        <f t="shared" si="26"/>
        <v>22</v>
      </c>
      <c r="P42" s="3">
        <f t="shared" ref="P42:P55" si="40">+IF(I42="SFK Freight Forwarder",0,5)</f>
        <v>5</v>
      </c>
      <c r="Q42" s="3">
        <f t="shared" si="29"/>
        <v>26</v>
      </c>
      <c r="R42" s="3">
        <f t="shared" si="27"/>
        <v>23</v>
      </c>
      <c r="S42" s="3">
        <v>7</v>
      </c>
      <c r="T42" s="3">
        <f t="shared" si="24"/>
        <v>29</v>
      </c>
      <c r="U42" s="3">
        <f t="shared" si="19"/>
        <v>30</v>
      </c>
      <c r="V42" s="3">
        <v>1</v>
      </c>
      <c r="W42" s="3">
        <f t="shared" si="18"/>
        <v>30</v>
      </c>
      <c r="X42" s="3">
        <v>0</v>
      </c>
      <c r="Y42" s="3">
        <v>30</v>
      </c>
      <c r="Z42" s="6">
        <v>33</v>
      </c>
      <c r="AA42" s="6">
        <f t="shared" si="38"/>
        <v>35</v>
      </c>
      <c r="AB42" s="3">
        <v>3</v>
      </c>
      <c r="AC42" s="3">
        <v>9</v>
      </c>
      <c r="AD42" s="3">
        <v>9</v>
      </c>
      <c r="AE42" s="3">
        <v>43</v>
      </c>
      <c r="AF42" s="3">
        <f t="shared" si="30"/>
        <v>77</v>
      </c>
      <c r="AG42" s="6">
        <v>3</v>
      </c>
      <c r="AH42" s="6">
        <f t="shared" si="31"/>
        <v>80</v>
      </c>
      <c r="AI42" s="3">
        <v>0</v>
      </c>
      <c r="AJ42" s="3">
        <f t="shared" si="32"/>
        <v>80</v>
      </c>
      <c r="AK42" s="3" t="s">
        <v>55</v>
      </c>
      <c r="AL42" s="3">
        <v>9</v>
      </c>
      <c r="AM42" s="3">
        <f t="shared" si="33"/>
        <v>89</v>
      </c>
      <c r="AN42" s="3">
        <v>2</v>
      </c>
      <c r="AO42" s="3">
        <f t="shared" si="34"/>
        <v>91</v>
      </c>
      <c r="AP42" s="3">
        <v>0</v>
      </c>
      <c r="AQ42" s="3">
        <f t="shared" si="37"/>
        <v>91</v>
      </c>
      <c r="AR42" s="3">
        <f t="shared" si="39"/>
        <v>98</v>
      </c>
      <c r="AS42" s="3">
        <f t="shared" si="35"/>
        <v>122</v>
      </c>
      <c r="AT42" s="3">
        <v>17</v>
      </c>
      <c r="AU42" s="3">
        <f t="shared" si="36"/>
        <v>12</v>
      </c>
      <c r="AV42" s="3" t="s">
        <v>130</v>
      </c>
      <c r="AW42" s="3" t="s">
        <v>131</v>
      </c>
      <c r="AX42" s="20" t="s">
        <v>56</v>
      </c>
      <c r="AY42" s="21">
        <v>46507</v>
      </c>
    </row>
    <row r="43" spans="1:51" hidden="1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28"/>
        <v>9</v>
      </c>
      <c r="N43" s="3">
        <v>21</v>
      </c>
      <c r="O43" s="3">
        <f t="shared" si="26"/>
        <v>29</v>
      </c>
      <c r="P43" s="3">
        <f t="shared" si="40"/>
        <v>5</v>
      </c>
      <c r="Q43" s="3">
        <f t="shared" si="29"/>
        <v>33</v>
      </c>
      <c r="R43" s="3">
        <f t="shared" si="27"/>
        <v>30</v>
      </c>
      <c r="S43" s="3">
        <v>7</v>
      </c>
      <c r="T43" s="3">
        <f t="shared" si="24"/>
        <v>36</v>
      </c>
      <c r="U43" s="3">
        <f t="shared" si="19"/>
        <v>37</v>
      </c>
      <c r="V43" s="3">
        <v>1</v>
      </c>
      <c r="W43" s="3">
        <f t="shared" si="18"/>
        <v>37</v>
      </c>
      <c r="X43" s="3">
        <v>0</v>
      </c>
      <c r="Y43" s="3">
        <v>37</v>
      </c>
      <c r="Z43" s="6">
        <v>37</v>
      </c>
      <c r="AA43" s="6">
        <f t="shared" si="3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30"/>
        <v>84</v>
      </c>
      <c r="AG43" s="6">
        <v>3</v>
      </c>
      <c r="AH43" s="6">
        <f t="shared" si="31"/>
        <v>87</v>
      </c>
      <c r="AI43" s="3">
        <v>0</v>
      </c>
      <c r="AJ43" s="3">
        <f t="shared" si="32"/>
        <v>87</v>
      </c>
      <c r="AK43" s="3" t="s">
        <v>55</v>
      </c>
      <c r="AL43" s="3">
        <v>11</v>
      </c>
      <c r="AM43" s="3">
        <f t="shared" si="33"/>
        <v>98</v>
      </c>
      <c r="AN43" s="3">
        <v>3</v>
      </c>
      <c r="AO43" s="3">
        <f t="shared" si="34"/>
        <v>101</v>
      </c>
      <c r="AP43" s="3">
        <v>4</v>
      </c>
      <c r="AQ43" s="3">
        <f t="shared" si="37"/>
        <v>105</v>
      </c>
      <c r="AR43" s="3">
        <f t="shared" si="39"/>
        <v>112</v>
      </c>
      <c r="AS43" s="3">
        <f t="shared" si="35"/>
        <v>119</v>
      </c>
      <c r="AT43" s="3">
        <v>0</v>
      </c>
      <c r="AU43" s="3">
        <f t="shared" si="36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>
      <c r="A44" s="5">
        <v>761</v>
      </c>
      <c r="B44" s="33" t="s">
        <v>70</v>
      </c>
      <c r="C44" s="6" t="s">
        <v>68</v>
      </c>
      <c r="D44" s="6" t="s">
        <v>72</v>
      </c>
      <c r="E44" s="6" t="s">
        <v>59</v>
      </c>
      <c r="F44" s="19">
        <v>90016900</v>
      </c>
      <c r="G44" s="5" t="s">
        <v>28</v>
      </c>
      <c r="H44" s="2">
        <v>0</v>
      </c>
      <c r="I44" s="4" t="s">
        <v>26</v>
      </c>
      <c r="J44" s="2">
        <v>42838302</v>
      </c>
      <c r="K44" s="4" t="s">
        <v>27</v>
      </c>
      <c r="L44" s="3">
        <v>7</v>
      </c>
      <c r="M44" s="3">
        <v>0</v>
      </c>
      <c r="N44" s="3">
        <v>0</v>
      </c>
      <c r="O44" s="3">
        <f t="shared" si="26"/>
        <v>0</v>
      </c>
      <c r="P44" s="3">
        <f t="shared" si="40"/>
        <v>0</v>
      </c>
      <c r="Q44" s="3">
        <f t="shared" si="29"/>
        <v>0</v>
      </c>
      <c r="R44" s="3">
        <v>16</v>
      </c>
      <c r="S44" s="3">
        <v>7</v>
      </c>
      <c r="T44" s="3">
        <f t="shared" si="24"/>
        <v>22</v>
      </c>
      <c r="U44" s="3">
        <f t="shared" si="19"/>
        <v>23</v>
      </c>
      <c r="V44" s="3">
        <v>8</v>
      </c>
      <c r="W44" s="3">
        <f t="shared" si="18"/>
        <v>30</v>
      </c>
      <c r="X44" s="3">
        <v>0</v>
      </c>
      <c r="Y44" s="3">
        <v>31</v>
      </c>
      <c r="Z44" s="6">
        <v>33</v>
      </c>
      <c r="AA44" s="6">
        <v>35</v>
      </c>
      <c r="AB44" s="3">
        <v>4</v>
      </c>
      <c r="AC44" s="3">
        <v>6</v>
      </c>
      <c r="AD44" s="3">
        <v>6</v>
      </c>
      <c r="AE44" s="3">
        <v>38</v>
      </c>
      <c r="AF44" s="3">
        <f t="shared" si="30"/>
        <v>72</v>
      </c>
      <c r="AG44" s="6">
        <v>3</v>
      </c>
      <c r="AH44" s="6">
        <f t="shared" si="31"/>
        <v>75</v>
      </c>
      <c r="AI44" s="3">
        <v>0</v>
      </c>
      <c r="AJ44" s="3">
        <f t="shared" si="32"/>
        <v>75</v>
      </c>
      <c r="AK44" s="3" t="s">
        <v>60</v>
      </c>
      <c r="AL44" s="3">
        <v>10</v>
      </c>
      <c r="AM44" s="3">
        <f t="shared" si="33"/>
        <v>85</v>
      </c>
      <c r="AN44" s="3">
        <v>6</v>
      </c>
      <c r="AO44" s="3">
        <f t="shared" si="34"/>
        <v>91</v>
      </c>
      <c r="AP44" s="3">
        <v>0</v>
      </c>
      <c r="AQ44" s="3">
        <f t="shared" si="37"/>
        <v>91</v>
      </c>
      <c r="AR44" s="3">
        <f t="shared" si="39"/>
        <v>98</v>
      </c>
      <c r="AS44" s="3">
        <f t="shared" si="35"/>
        <v>105</v>
      </c>
      <c r="AT44" s="3">
        <v>0</v>
      </c>
      <c r="AU44" s="3">
        <f t="shared" si="36"/>
        <v>19</v>
      </c>
      <c r="AV44" s="3" t="s">
        <v>132</v>
      </c>
      <c r="AW44" s="3" t="s">
        <v>131</v>
      </c>
      <c r="AX44" s="20" t="s">
        <v>69</v>
      </c>
      <c r="AY44" s="40">
        <v>46507</v>
      </c>
    </row>
    <row r="45" spans="1:51" hidden="1">
      <c r="A45" s="5">
        <v>888</v>
      </c>
      <c r="B45" s="33" t="s">
        <v>73</v>
      </c>
      <c r="C45" s="6" t="s">
        <v>68</v>
      </c>
      <c r="D45" s="6" t="s">
        <v>74</v>
      </c>
      <c r="E45" s="6" t="s">
        <v>85</v>
      </c>
      <c r="F45" s="19">
        <v>26549502</v>
      </c>
      <c r="G45" s="5" t="s">
        <v>48</v>
      </c>
      <c r="H45" s="2">
        <v>0</v>
      </c>
      <c r="I45" s="4" t="s">
        <v>26</v>
      </c>
      <c r="J45" s="2">
        <v>42838302</v>
      </c>
      <c r="K45" s="4" t="s">
        <v>27</v>
      </c>
      <c r="L45" s="3">
        <v>5</v>
      </c>
      <c r="M45" s="3">
        <v>0</v>
      </c>
      <c r="N45" s="3">
        <v>7</v>
      </c>
      <c r="O45" s="3">
        <f t="shared" si="26"/>
        <v>0</v>
      </c>
      <c r="P45" s="3">
        <f t="shared" si="40"/>
        <v>0</v>
      </c>
      <c r="Q45" s="3">
        <f t="shared" si="29"/>
        <v>0</v>
      </c>
      <c r="R45" s="3">
        <f t="shared" ref="R45:R55" si="41">9+N45</f>
        <v>16</v>
      </c>
      <c r="S45" s="3">
        <v>7</v>
      </c>
      <c r="T45" s="3">
        <f t="shared" si="24"/>
        <v>22</v>
      </c>
      <c r="U45" s="3">
        <f t="shared" si="19"/>
        <v>23</v>
      </c>
      <c r="V45" s="3">
        <v>8</v>
      </c>
      <c r="W45" s="3">
        <f t="shared" si="18"/>
        <v>30</v>
      </c>
      <c r="X45" s="3">
        <v>0</v>
      </c>
      <c r="Y45" s="26">
        <v>31</v>
      </c>
      <c r="Z45" s="27">
        <v>36</v>
      </c>
      <c r="AA45" s="6">
        <f t="shared" ref="AA45:AA55" si="42">+Z45+AB45-1</f>
        <v>38</v>
      </c>
      <c r="AB45" s="3">
        <v>3</v>
      </c>
      <c r="AC45" s="3">
        <v>9</v>
      </c>
      <c r="AD45" s="3">
        <v>9</v>
      </c>
      <c r="AE45" s="3">
        <v>16</v>
      </c>
      <c r="AF45" s="3">
        <f t="shared" si="30"/>
        <v>53</v>
      </c>
      <c r="AG45" s="6">
        <v>3</v>
      </c>
      <c r="AH45" s="6">
        <f t="shared" si="31"/>
        <v>56</v>
      </c>
      <c r="AI45" s="3">
        <v>0</v>
      </c>
      <c r="AJ45" s="3">
        <f t="shared" si="32"/>
        <v>56</v>
      </c>
      <c r="AK45" s="3" t="s">
        <v>55</v>
      </c>
      <c r="AL45" s="3">
        <v>11</v>
      </c>
      <c r="AM45" s="3">
        <f t="shared" si="33"/>
        <v>67</v>
      </c>
      <c r="AN45" s="3">
        <v>3</v>
      </c>
      <c r="AO45" s="3">
        <f t="shared" si="34"/>
        <v>70</v>
      </c>
      <c r="AP45" s="3">
        <v>0</v>
      </c>
      <c r="AQ45" s="3">
        <f t="shared" si="37"/>
        <v>70</v>
      </c>
      <c r="AR45" s="3">
        <f t="shared" si="39"/>
        <v>77</v>
      </c>
      <c r="AS45" s="3">
        <f t="shared" si="35"/>
        <v>84</v>
      </c>
      <c r="AT45" s="3">
        <v>0</v>
      </c>
      <c r="AU45" s="3">
        <f t="shared" si="36"/>
        <v>22</v>
      </c>
      <c r="AV45" s="3" t="s">
        <v>132</v>
      </c>
      <c r="AW45" s="3" t="s">
        <v>131</v>
      </c>
      <c r="AX45" s="20" t="s">
        <v>75</v>
      </c>
      <c r="AY45" s="21">
        <v>46507</v>
      </c>
    </row>
    <row r="46" spans="1:51" hidden="1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26"/>
        <v>0</v>
      </c>
      <c r="P46" s="3">
        <f t="shared" si="40"/>
        <v>0</v>
      </c>
      <c r="Q46" s="3">
        <f t="shared" si="29"/>
        <v>0</v>
      </c>
      <c r="R46" s="3">
        <f t="shared" si="41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2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30"/>
        <v>83</v>
      </c>
      <c r="AG46" s="6">
        <v>3</v>
      </c>
      <c r="AH46" s="6">
        <f t="shared" si="31"/>
        <v>86</v>
      </c>
      <c r="AI46" s="3">
        <v>0</v>
      </c>
      <c r="AJ46" s="3">
        <f t="shared" si="32"/>
        <v>86</v>
      </c>
      <c r="AK46" s="3" t="s">
        <v>60</v>
      </c>
      <c r="AL46" s="3">
        <v>10</v>
      </c>
      <c r="AM46" s="3">
        <f t="shared" si="33"/>
        <v>96</v>
      </c>
      <c r="AN46" s="3">
        <v>1</v>
      </c>
      <c r="AO46" s="3">
        <f t="shared" si="34"/>
        <v>97</v>
      </c>
      <c r="AP46" s="3">
        <v>1</v>
      </c>
      <c r="AQ46" s="3">
        <f t="shared" si="37"/>
        <v>98</v>
      </c>
      <c r="AR46" s="3">
        <f t="shared" si="39"/>
        <v>105</v>
      </c>
      <c r="AS46" s="3">
        <f t="shared" si="35"/>
        <v>112</v>
      </c>
      <c r="AT46" s="3">
        <v>0</v>
      </c>
      <c r="AU46" s="3">
        <f t="shared" si="36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>
      <c r="A47" s="5">
        <v>1037</v>
      </c>
      <c r="B47" s="33" t="s">
        <v>83</v>
      </c>
      <c r="C47" s="6" t="s">
        <v>90</v>
      </c>
      <c r="D47" s="6" t="s">
        <v>84</v>
      </c>
      <c r="E47" s="6" t="s">
        <v>85</v>
      </c>
      <c r="F47" s="19">
        <v>90016000</v>
      </c>
      <c r="G47" s="5" t="s">
        <v>34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26"/>
        <v>0</v>
      </c>
      <c r="P47" s="3">
        <f t="shared" si="40"/>
        <v>0</v>
      </c>
      <c r="Q47" s="3">
        <f t="shared" si="29"/>
        <v>0</v>
      </c>
      <c r="R47" s="3">
        <f t="shared" si="41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33</v>
      </c>
      <c r="AA47" s="6">
        <f t="shared" si="42"/>
        <v>36</v>
      </c>
      <c r="AB47" s="3">
        <v>4</v>
      </c>
      <c r="AC47" s="3">
        <v>4</v>
      </c>
      <c r="AD47" s="3">
        <v>11</v>
      </c>
      <c r="AE47" s="3">
        <v>67</v>
      </c>
      <c r="AF47" s="3">
        <f t="shared" si="30"/>
        <v>102</v>
      </c>
      <c r="AG47" s="6">
        <v>3</v>
      </c>
      <c r="AH47" s="6">
        <f t="shared" si="31"/>
        <v>105</v>
      </c>
      <c r="AI47" s="3">
        <v>0</v>
      </c>
      <c r="AJ47" s="3">
        <f t="shared" si="32"/>
        <v>105</v>
      </c>
      <c r="AK47" s="3" t="s">
        <v>60</v>
      </c>
      <c r="AL47" s="3">
        <v>10</v>
      </c>
      <c r="AM47" s="3">
        <f t="shared" si="33"/>
        <v>115</v>
      </c>
      <c r="AN47" s="3">
        <v>3</v>
      </c>
      <c r="AO47" s="3">
        <f t="shared" si="34"/>
        <v>118</v>
      </c>
      <c r="AP47" s="3">
        <v>1</v>
      </c>
      <c r="AQ47" s="3">
        <f t="shared" si="37"/>
        <v>119</v>
      </c>
      <c r="AR47" s="3">
        <f t="shared" si="39"/>
        <v>126</v>
      </c>
      <c r="AS47" s="3">
        <f t="shared" si="35"/>
        <v>133</v>
      </c>
      <c r="AT47" s="3">
        <v>0</v>
      </c>
      <c r="AU47" s="3">
        <f t="shared" si="36"/>
        <v>13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>
      <c r="A48" s="5">
        <v>904</v>
      </c>
      <c r="B48" s="33" t="s">
        <v>61</v>
      </c>
      <c r="C48" s="6" t="s">
        <v>78</v>
      </c>
      <c r="D48" s="6" t="s">
        <v>50</v>
      </c>
      <c r="E48" s="6" t="s">
        <v>154</v>
      </c>
      <c r="F48" s="19">
        <v>90014400</v>
      </c>
      <c r="G48" s="35" t="s">
        <v>155</v>
      </c>
      <c r="H48" s="2">
        <v>95436</v>
      </c>
      <c r="I48" s="4" t="s">
        <v>31</v>
      </c>
      <c r="J48" s="2">
        <v>95436</v>
      </c>
      <c r="K48" s="4" t="s">
        <v>31</v>
      </c>
      <c r="L48" s="3">
        <v>2</v>
      </c>
      <c r="M48" s="3">
        <f t="shared" ref="M48:M53" si="43">+IF(I48="SFK Freight Forwarder",L48,9)</f>
        <v>9</v>
      </c>
      <c r="N48" s="3">
        <v>14</v>
      </c>
      <c r="O48" s="3">
        <f t="shared" si="26"/>
        <v>22</v>
      </c>
      <c r="P48" s="3">
        <f t="shared" si="40"/>
        <v>5</v>
      </c>
      <c r="Q48" s="3">
        <f t="shared" si="29"/>
        <v>26</v>
      </c>
      <c r="R48" s="3">
        <f t="shared" si="41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37</v>
      </c>
      <c r="AA48" s="6">
        <f t="shared" si="42"/>
        <v>39</v>
      </c>
      <c r="AB48" s="3">
        <v>3</v>
      </c>
      <c r="AC48" s="3">
        <v>7</v>
      </c>
      <c r="AD48" s="3">
        <v>7</v>
      </c>
      <c r="AE48" s="3">
        <v>57</v>
      </c>
      <c r="AF48" s="3">
        <f t="shared" si="30"/>
        <v>95</v>
      </c>
      <c r="AG48" s="6">
        <v>3</v>
      </c>
      <c r="AH48" s="6">
        <f t="shared" si="31"/>
        <v>98</v>
      </c>
      <c r="AI48" s="3">
        <v>0</v>
      </c>
      <c r="AJ48" s="3">
        <f t="shared" si="32"/>
        <v>98</v>
      </c>
      <c r="AK48" s="3" t="s">
        <v>55</v>
      </c>
      <c r="AL48" s="3">
        <v>18</v>
      </c>
      <c r="AM48" s="3">
        <f t="shared" si="33"/>
        <v>116</v>
      </c>
      <c r="AN48" s="3">
        <v>3</v>
      </c>
      <c r="AO48" s="3">
        <f t="shared" si="34"/>
        <v>119</v>
      </c>
      <c r="AP48" s="3">
        <v>0</v>
      </c>
      <c r="AQ48" s="3">
        <f t="shared" si="37"/>
        <v>119</v>
      </c>
      <c r="AR48" s="3">
        <f t="shared" si="39"/>
        <v>126</v>
      </c>
      <c r="AS48" s="3">
        <f t="shared" si="35"/>
        <v>147</v>
      </c>
      <c r="AT48" s="3">
        <v>14</v>
      </c>
      <c r="AU48" s="3">
        <f t="shared" si="36"/>
        <v>16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hidden="1">
      <c r="A49" s="5">
        <v>906</v>
      </c>
      <c r="B49" s="33" t="s">
        <v>67</v>
      </c>
      <c r="C49" s="6" t="s">
        <v>78</v>
      </c>
      <c r="D49" s="6" t="s">
        <v>62</v>
      </c>
      <c r="E49" s="6" t="s">
        <v>154</v>
      </c>
      <c r="F49" s="19">
        <v>90018600</v>
      </c>
      <c r="G49" s="4" t="s">
        <v>156</v>
      </c>
      <c r="H49" s="2">
        <v>95436</v>
      </c>
      <c r="I49" s="4" t="s">
        <v>31</v>
      </c>
      <c r="J49" s="2">
        <v>95436</v>
      </c>
      <c r="K49" s="4" t="s">
        <v>31</v>
      </c>
      <c r="L49" s="3">
        <v>7</v>
      </c>
      <c r="M49" s="3">
        <f t="shared" si="43"/>
        <v>9</v>
      </c>
      <c r="N49" s="3">
        <v>14</v>
      </c>
      <c r="O49" s="3">
        <f t="shared" si="26"/>
        <v>22</v>
      </c>
      <c r="P49" s="3">
        <f t="shared" si="40"/>
        <v>5</v>
      </c>
      <c r="Q49" s="3">
        <f t="shared" si="29"/>
        <v>26</v>
      </c>
      <c r="R49" s="3">
        <f t="shared" si="41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0</v>
      </c>
      <c r="Y49" s="3">
        <v>33</v>
      </c>
      <c r="Z49" s="6">
        <v>37</v>
      </c>
      <c r="AA49" s="6">
        <f t="shared" si="42"/>
        <v>38</v>
      </c>
      <c r="AB49" s="3">
        <v>2</v>
      </c>
      <c r="AC49" s="3">
        <v>7</v>
      </c>
      <c r="AD49" s="3">
        <v>7</v>
      </c>
      <c r="AE49" s="3">
        <v>47</v>
      </c>
      <c r="AF49" s="3">
        <f t="shared" si="30"/>
        <v>84</v>
      </c>
      <c r="AG49" s="6">
        <v>3</v>
      </c>
      <c r="AH49" s="6">
        <f t="shared" si="31"/>
        <v>87</v>
      </c>
      <c r="AI49" s="3">
        <v>0</v>
      </c>
      <c r="AJ49" s="3">
        <f t="shared" si="32"/>
        <v>87</v>
      </c>
      <c r="AK49" s="3" t="s">
        <v>55</v>
      </c>
      <c r="AL49" s="3">
        <v>16</v>
      </c>
      <c r="AM49" s="3">
        <f t="shared" si="33"/>
        <v>103</v>
      </c>
      <c r="AN49" s="3">
        <v>2</v>
      </c>
      <c r="AO49" s="3">
        <f t="shared" si="34"/>
        <v>105</v>
      </c>
      <c r="AP49" s="3">
        <v>0</v>
      </c>
      <c r="AQ49" s="3">
        <f t="shared" si="37"/>
        <v>105</v>
      </c>
      <c r="AR49" s="3">
        <f t="shared" si="39"/>
        <v>112</v>
      </c>
      <c r="AS49" s="3">
        <f t="shared" si="35"/>
        <v>134</v>
      </c>
      <c r="AT49" s="3">
        <v>15</v>
      </c>
      <c r="AU49" s="3">
        <f t="shared" si="36"/>
        <v>15</v>
      </c>
      <c r="AV49" s="3" t="s">
        <v>130</v>
      </c>
      <c r="AW49" s="3" t="s">
        <v>131</v>
      </c>
      <c r="AX49" s="20" t="s">
        <v>56</v>
      </c>
      <c r="AY49" s="21">
        <v>46507</v>
      </c>
    </row>
    <row r="50" spans="1:51" s="8" customFormat="1" hidden="1">
      <c r="A50" s="5">
        <v>917</v>
      </c>
      <c r="B50" s="32" t="s">
        <v>61</v>
      </c>
      <c r="C50" s="6" t="s">
        <v>74</v>
      </c>
      <c r="D50" s="6" t="s">
        <v>64</v>
      </c>
      <c r="E50" s="6" t="s">
        <v>63</v>
      </c>
      <c r="F50" s="19">
        <v>90014400</v>
      </c>
      <c r="G50" s="4" t="s">
        <v>155</v>
      </c>
      <c r="H50" s="2">
        <v>2533780546</v>
      </c>
      <c r="I50" s="4" t="s">
        <v>21</v>
      </c>
      <c r="J50" s="2">
        <v>2533780546</v>
      </c>
      <c r="K50" s="4" t="s">
        <v>21</v>
      </c>
      <c r="L50" s="3">
        <v>2</v>
      </c>
      <c r="M50" s="3">
        <f t="shared" si="43"/>
        <v>9</v>
      </c>
      <c r="N50" s="3">
        <v>14</v>
      </c>
      <c r="O50" s="3">
        <f t="shared" si="26"/>
        <v>22</v>
      </c>
      <c r="P50" s="3">
        <f t="shared" si="40"/>
        <v>5</v>
      </c>
      <c r="Q50" s="3">
        <f t="shared" si="29"/>
        <v>26</v>
      </c>
      <c r="R50" s="3">
        <f t="shared" si="41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36</v>
      </c>
      <c r="AA50" s="6">
        <f t="shared" si="42"/>
        <v>37</v>
      </c>
      <c r="AB50" s="3">
        <v>2</v>
      </c>
      <c r="AC50" s="3">
        <v>9</v>
      </c>
      <c r="AD50" s="3">
        <v>9</v>
      </c>
      <c r="AE50" s="3">
        <v>37</v>
      </c>
      <c r="AF50" s="3">
        <f t="shared" si="30"/>
        <v>73</v>
      </c>
      <c r="AG50" s="6">
        <v>3</v>
      </c>
      <c r="AH50" s="6">
        <f t="shared" si="31"/>
        <v>76</v>
      </c>
      <c r="AI50" s="3">
        <v>0</v>
      </c>
      <c r="AJ50" s="3">
        <f t="shared" si="32"/>
        <v>76</v>
      </c>
      <c r="AK50" s="3" t="s">
        <v>55</v>
      </c>
      <c r="AL50" s="3">
        <v>16</v>
      </c>
      <c r="AM50" s="3">
        <f t="shared" si="33"/>
        <v>92</v>
      </c>
      <c r="AN50" s="3">
        <v>2</v>
      </c>
      <c r="AO50" s="3">
        <f t="shared" si="34"/>
        <v>94</v>
      </c>
      <c r="AP50" s="3">
        <v>4</v>
      </c>
      <c r="AQ50" s="3">
        <f t="shared" si="37"/>
        <v>98</v>
      </c>
      <c r="AR50" s="3">
        <f t="shared" si="39"/>
        <v>105</v>
      </c>
      <c r="AS50" s="3">
        <f t="shared" si="35"/>
        <v>126</v>
      </c>
      <c r="AT50" s="3">
        <v>14</v>
      </c>
      <c r="AU50" s="3">
        <f t="shared" si="36"/>
        <v>14</v>
      </c>
      <c r="AV50" s="3" t="s">
        <v>130</v>
      </c>
      <c r="AW50" s="3" t="s">
        <v>131</v>
      </c>
      <c r="AX50" s="20" t="s">
        <v>56</v>
      </c>
      <c r="AY50" s="21">
        <v>46507</v>
      </c>
    </row>
    <row r="51" spans="1:51" s="8" customFormat="1" hidden="1">
      <c r="A51" s="5">
        <v>918</v>
      </c>
      <c r="B51" s="33" t="s">
        <v>80</v>
      </c>
      <c r="C51" s="6" t="s">
        <v>52</v>
      </c>
      <c r="D51" s="6" t="s">
        <v>58</v>
      </c>
      <c r="E51" s="6" t="s">
        <v>81</v>
      </c>
      <c r="F51" s="19">
        <v>91017700</v>
      </c>
      <c r="G51" s="35" t="s">
        <v>157</v>
      </c>
      <c r="H51" s="2">
        <v>2533780546</v>
      </c>
      <c r="I51" s="4" t="s">
        <v>21</v>
      </c>
      <c r="J51" s="2">
        <v>2533780546</v>
      </c>
      <c r="K51" s="4" t="s">
        <v>21</v>
      </c>
      <c r="L51" s="3">
        <v>7</v>
      </c>
      <c r="M51" s="3">
        <f t="shared" si="43"/>
        <v>9</v>
      </c>
      <c r="N51" s="3">
        <v>14</v>
      </c>
      <c r="O51" s="3">
        <f t="shared" si="26"/>
        <v>22</v>
      </c>
      <c r="P51" s="3">
        <f t="shared" si="40"/>
        <v>5</v>
      </c>
      <c r="Q51" s="3">
        <f t="shared" si="29"/>
        <v>26</v>
      </c>
      <c r="R51" s="3">
        <f t="shared" si="41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31</v>
      </c>
      <c r="Z51" s="6">
        <v>35</v>
      </c>
      <c r="AA51" s="6">
        <f t="shared" si="42"/>
        <v>37</v>
      </c>
      <c r="AB51" s="3">
        <v>3</v>
      </c>
      <c r="AC51" s="3">
        <v>6</v>
      </c>
      <c r="AD51" s="3">
        <v>6</v>
      </c>
      <c r="AE51" s="3">
        <v>36</v>
      </c>
      <c r="AF51" s="3">
        <f t="shared" si="30"/>
        <v>72</v>
      </c>
      <c r="AG51" s="6">
        <v>3</v>
      </c>
      <c r="AH51" s="6">
        <f t="shared" si="31"/>
        <v>75</v>
      </c>
      <c r="AI51" s="3">
        <v>0</v>
      </c>
      <c r="AJ51" s="3">
        <f t="shared" si="32"/>
        <v>75</v>
      </c>
      <c r="AK51" s="3" t="s">
        <v>55</v>
      </c>
      <c r="AL51" s="3">
        <v>16</v>
      </c>
      <c r="AM51" s="3">
        <f t="shared" si="33"/>
        <v>91</v>
      </c>
      <c r="AN51" s="3">
        <v>7</v>
      </c>
      <c r="AO51" s="3">
        <f t="shared" si="34"/>
        <v>98</v>
      </c>
      <c r="AP51" s="3">
        <v>0</v>
      </c>
      <c r="AQ51" s="3">
        <f t="shared" si="37"/>
        <v>98</v>
      </c>
      <c r="AR51" s="3">
        <f t="shared" si="39"/>
        <v>105</v>
      </c>
      <c r="AS51" s="3">
        <f t="shared" si="35"/>
        <v>126</v>
      </c>
      <c r="AT51" s="3">
        <v>14</v>
      </c>
      <c r="AU51" s="3">
        <f t="shared" si="36"/>
        <v>14</v>
      </c>
      <c r="AV51" s="3" t="s">
        <v>130</v>
      </c>
      <c r="AW51" s="3" t="s">
        <v>131</v>
      </c>
      <c r="AX51" s="20" t="s">
        <v>56</v>
      </c>
      <c r="AY51" s="21">
        <v>46507</v>
      </c>
    </row>
    <row r="52" spans="1:51" hidden="1">
      <c r="A52" s="5">
        <v>925</v>
      </c>
      <c r="B52" s="33" t="s">
        <v>67</v>
      </c>
      <c r="C52" s="6" t="s">
        <v>169</v>
      </c>
      <c r="D52" s="6" t="s">
        <v>62</v>
      </c>
      <c r="E52" s="6" t="s">
        <v>85</v>
      </c>
      <c r="F52" s="19">
        <v>90018600</v>
      </c>
      <c r="G52" s="5" t="s">
        <v>156</v>
      </c>
      <c r="H52" s="2">
        <v>2533780546</v>
      </c>
      <c r="I52" s="4" t="s">
        <v>21</v>
      </c>
      <c r="J52" s="2">
        <v>2533780546</v>
      </c>
      <c r="K52" s="4" t="s">
        <v>21</v>
      </c>
      <c r="L52" s="3">
        <v>7</v>
      </c>
      <c r="M52" s="3">
        <f t="shared" si="43"/>
        <v>9</v>
      </c>
      <c r="N52" s="3">
        <v>14</v>
      </c>
      <c r="O52" s="3">
        <f t="shared" si="26"/>
        <v>22</v>
      </c>
      <c r="P52" s="3">
        <f t="shared" si="40"/>
        <v>5</v>
      </c>
      <c r="Q52" s="3">
        <f t="shared" si="29"/>
        <v>26</v>
      </c>
      <c r="R52" s="3">
        <f t="shared" si="41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2</v>
      </c>
      <c r="W52" s="3">
        <f t="shared" si="18"/>
        <v>31</v>
      </c>
      <c r="X52" s="3">
        <v>0</v>
      </c>
      <c r="Y52" s="3">
        <v>32</v>
      </c>
      <c r="Z52" s="6">
        <v>33</v>
      </c>
      <c r="AA52" s="6">
        <f t="shared" si="42"/>
        <v>35</v>
      </c>
      <c r="AB52" s="3">
        <v>3</v>
      </c>
      <c r="AC52" s="3">
        <v>7</v>
      </c>
      <c r="AD52" s="3">
        <v>7</v>
      </c>
      <c r="AE52" s="3">
        <v>40</v>
      </c>
      <c r="AF52" s="3">
        <f t="shared" si="30"/>
        <v>74</v>
      </c>
      <c r="AG52" s="6">
        <v>3</v>
      </c>
      <c r="AH52" s="6">
        <f t="shared" si="31"/>
        <v>77</v>
      </c>
      <c r="AI52" s="3">
        <v>0</v>
      </c>
      <c r="AJ52" s="3">
        <f t="shared" si="32"/>
        <v>77</v>
      </c>
      <c r="AK52" s="3" t="s">
        <v>55</v>
      </c>
      <c r="AL52" s="3">
        <v>16</v>
      </c>
      <c r="AM52" s="3">
        <f t="shared" si="33"/>
        <v>93</v>
      </c>
      <c r="AN52" s="3">
        <v>2</v>
      </c>
      <c r="AO52" s="3">
        <f t="shared" si="34"/>
        <v>95</v>
      </c>
      <c r="AP52" s="3">
        <v>3</v>
      </c>
      <c r="AQ52" s="3">
        <f t="shared" si="37"/>
        <v>98</v>
      </c>
      <c r="AR52" s="3">
        <f t="shared" si="39"/>
        <v>105</v>
      </c>
      <c r="AS52" s="3">
        <f t="shared" si="35"/>
        <v>126</v>
      </c>
      <c r="AT52" s="3">
        <v>14</v>
      </c>
      <c r="AU52" s="3">
        <f t="shared" si="36"/>
        <v>12</v>
      </c>
      <c r="AV52" s="3" t="s">
        <v>130</v>
      </c>
      <c r="AW52" s="3" t="s">
        <v>131</v>
      </c>
      <c r="AX52" s="20" t="s">
        <v>56</v>
      </c>
      <c r="AY52" s="21">
        <v>46507</v>
      </c>
    </row>
    <row r="53" spans="1:51" hidden="1">
      <c r="A53" s="5">
        <v>927</v>
      </c>
      <c r="B53" s="33" t="s">
        <v>61</v>
      </c>
      <c r="C53" s="6" t="s">
        <v>68</v>
      </c>
      <c r="D53" s="6" t="s">
        <v>64</v>
      </c>
      <c r="E53" s="6" t="s">
        <v>81</v>
      </c>
      <c r="F53" s="19">
        <v>90014400</v>
      </c>
      <c r="G53" s="5" t="s">
        <v>155</v>
      </c>
      <c r="H53" s="2">
        <v>26037000</v>
      </c>
      <c r="I53" s="4" t="s">
        <v>35</v>
      </c>
      <c r="J53" s="2">
        <v>26037000</v>
      </c>
      <c r="K53" s="4" t="s">
        <v>35</v>
      </c>
      <c r="L53" s="3">
        <v>2</v>
      </c>
      <c r="M53" s="3">
        <f t="shared" si="43"/>
        <v>9</v>
      </c>
      <c r="N53" s="3">
        <v>14</v>
      </c>
      <c r="O53" s="3">
        <f t="shared" si="26"/>
        <v>22</v>
      </c>
      <c r="P53" s="3">
        <f t="shared" si="40"/>
        <v>5</v>
      </c>
      <c r="Q53" s="3">
        <f t="shared" si="29"/>
        <v>26</v>
      </c>
      <c r="R53" s="3">
        <f t="shared" si="41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1</v>
      </c>
      <c r="W53" s="3">
        <f t="shared" si="18"/>
        <v>30</v>
      </c>
      <c r="X53" s="3">
        <v>0</v>
      </c>
      <c r="Y53" s="3">
        <v>30</v>
      </c>
      <c r="Z53" s="6">
        <v>30</v>
      </c>
      <c r="AA53" s="6">
        <f t="shared" si="42"/>
        <v>32</v>
      </c>
      <c r="AB53" s="3">
        <v>3</v>
      </c>
      <c r="AC53" s="3">
        <v>9</v>
      </c>
      <c r="AD53" s="3">
        <v>9</v>
      </c>
      <c r="AE53" s="3">
        <v>46</v>
      </c>
      <c r="AF53" s="3">
        <f t="shared" si="30"/>
        <v>77</v>
      </c>
      <c r="AG53" s="6">
        <v>3</v>
      </c>
      <c r="AH53" s="6">
        <f t="shared" si="31"/>
        <v>80</v>
      </c>
      <c r="AI53" s="3">
        <v>0</v>
      </c>
      <c r="AJ53" s="3">
        <f t="shared" si="32"/>
        <v>80</v>
      </c>
      <c r="AK53" s="3" t="s">
        <v>55</v>
      </c>
      <c r="AL53" s="3">
        <v>18</v>
      </c>
      <c r="AM53" s="3">
        <f t="shared" si="33"/>
        <v>98</v>
      </c>
      <c r="AN53" s="3">
        <v>3</v>
      </c>
      <c r="AO53" s="3">
        <f t="shared" si="34"/>
        <v>101</v>
      </c>
      <c r="AP53" s="3">
        <v>4</v>
      </c>
      <c r="AQ53" s="3">
        <f t="shared" si="37"/>
        <v>105</v>
      </c>
      <c r="AR53" s="3">
        <f t="shared" si="39"/>
        <v>112</v>
      </c>
      <c r="AS53" s="3">
        <f t="shared" si="35"/>
        <v>133</v>
      </c>
      <c r="AT53" s="3">
        <v>14</v>
      </c>
      <c r="AU53" s="3">
        <f t="shared" si="36"/>
        <v>9</v>
      </c>
      <c r="AV53" s="3" t="s">
        <v>130</v>
      </c>
      <c r="AW53" s="3" t="s">
        <v>131</v>
      </c>
      <c r="AX53" s="20" t="s">
        <v>56</v>
      </c>
      <c r="AY53" s="21">
        <v>46507</v>
      </c>
    </row>
    <row r="54" spans="1:51" hidden="1">
      <c r="A54" s="5">
        <v>1005</v>
      </c>
      <c r="B54" s="33" t="s">
        <v>89</v>
      </c>
      <c r="C54" s="6" t="s">
        <v>90</v>
      </c>
      <c r="D54" s="6" t="s">
        <v>91</v>
      </c>
      <c r="E54" s="6" t="s">
        <v>59</v>
      </c>
      <c r="F54" s="19">
        <v>9510600</v>
      </c>
      <c r="G54" s="5" t="s">
        <v>40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26"/>
        <v>0</v>
      </c>
      <c r="P54" s="3">
        <f t="shared" si="40"/>
        <v>0</v>
      </c>
      <c r="Q54" s="3">
        <f t="shared" si="29"/>
        <v>0</v>
      </c>
      <c r="R54" s="3">
        <f t="shared" si="41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31</v>
      </c>
      <c r="AA54" s="6">
        <f t="shared" si="42"/>
        <v>33</v>
      </c>
      <c r="AB54" s="3">
        <v>3</v>
      </c>
      <c r="AC54" s="3">
        <v>4</v>
      </c>
      <c r="AD54" s="3">
        <v>11</v>
      </c>
      <c r="AE54" s="3">
        <v>34</v>
      </c>
      <c r="AF54" s="3">
        <f t="shared" si="30"/>
        <v>66</v>
      </c>
      <c r="AG54" s="6">
        <v>3</v>
      </c>
      <c r="AH54" s="6">
        <f t="shared" si="31"/>
        <v>69</v>
      </c>
      <c r="AI54" s="3">
        <v>0</v>
      </c>
      <c r="AJ54" s="3">
        <f t="shared" si="32"/>
        <v>69</v>
      </c>
      <c r="AK54" s="3" t="s">
        <v>60</v>
      </c>
      <c r="AL54" s="3">
        <v>14</v>
      </c>
      <c r="AM54" s="3">
        <f t="shared" si="33"/>
        <v>83</v>
      </c>
      <c r="AN54" s="3">
        <v>0</v>
      </c>
      <c r="AO54" s="3">
        <f t="shared" si="34"/>
        <v>83</v>
      </c>
      <c r="AP54" s="3">
        <v>1</v>
      </c>
      <c r="AQ54" s="3">
        <f t="shared" si="37"/>
        <v>84</v>
      </c>
      <c r="AR54" s="3">
        <f t="shared" si="39"/>
        <v>91</v>
      </c>
      <c r="AS54" s="3">
        <f t="shared" si="35"/>
        <v>98</v>
      </c>
      <c r="AT54" s="3">
        <v>0</v>
      </c>
      <c r="AU54" s="3">
        <f t="shared" si="36"/>
        <v>10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>
      <c r="A55" s="5">
        <v>1012</v>
      </c>
      <c r="B55" s="33" t="s">
        <v>67</v>
      </c>
      <c r="C55" s="6" t="s">
        <v>90</v>
      </c>
      <c r="D55" s="6" t="s">
        <v>62</v>
      </c>
      <c r="E55" s="6" t="s">
        <v>59</v>
      </c>
      <c r="F55" s="19">
        <v>90018000</v>
      </c>
      <c r="G55" s="5" t="s">
        <v>45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26"/>
        <v>0</v>
      </c>
      <c r="P55" s="3">
        <f t="shared" si="40"/>
        <v>0</v>
      </c>
      <c r="Q55" s="3">
        <f t="shared" si="29"/>
        <v>0</v>
      </c>
      <c r="R55" s="3">
        <f t="shared" si="41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3</v>
      </c>
      <c r="Y55" s="3">
        <v>31</v>
      </c>
      <c r="Z55" s="6">
        <f>+Y55+X55-1</f>
        <v>33</v>
      </c>
      <c r="AA55" s="6">
        <f t="shared" si="42"/>
        <v>37</v>
      </c>
      <c r="AB55" s="3">
        <v>5</v>
      </c>
      <c r="AC55" s="3">
        <v>4</v>
      </c>
      <c r="AD55" s="3">
        <v>11</v>
      </c>
      <c r="AE55" s="3">
        <v>48</v>
      </c>
      <c r="AF55" s="3">
        <f t="shared" si="30"/>
        <v>84</v>
      </c>
      <c r="AG55" s="6">
        <v>3</v>
      </c>
      <c r="AH55" s="6">
        <f t="shared" si="31"/>
        <v>87</v>
      </c>
      <c r="AI55" s="3">
        <v>14</v>
      </c>
      <c r="AJ55" s="3">
        <f t="shared" si="32"/>
        <v>101</v>
      </c>
      <c r="AK55" s="3" t="s">
        <v>60</v>
      </c>
      <c r="AL55" s="3">
        <v>16</v>
      </c>
      <c r="AM55" s="3">
        <f t="shared" si="33"/>
        <v>117</v>
      </c>
      <c r="AN55" s="3">
        <v>2</v>
      </c>
      <c r="AO55" s="3">
        <f t="shared" si="34"/>
        <v>119</v>
      </c>
      <c r="AP55" s="3">
        <v>0</v>
      </c>
      <c r="AQ55" s="3">
        <f t="shared" si="37"/>
        <v>119</v>
      </c>
      <c r="AR55" s="3">
        <f t="shared" si="39"/>
        <v>126</v>
      </c>
      <c r="AS55" s="3">
        <f t="shared" si="35"/>
        <v>133</v>
      </c>
      <c r="AT55" s="3">
        <v>0</v>
      </c>
      <c r="AU55" s="3">
        <f t="shared" si="36"/>
        <v>14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 hidden="1">
      <c r="A56" s="49" t="s">
        <v>181</v>
      </c>
    </row>
    <row r="58" spans="1:51">
      <c r="D58" s="42"/>
    </row>
    <row r="60" spans="1:51">
      <c r="D60" s="41"/>
    </row>
    <row r="62" spans="1:51">
      <c r="D62" s="42"/>
    </row>
    <row r="64" spans="1:51">
      <c r="D64" s="41"/>
    </row>
    <row r="65" spans="4:4">
      <c r="D65" s="42"/>
    </row>
    <row r="66" spans="4:4">
      <c r="D66" s="42"/>
    </row>
  </sheetData>
  <sheetProtection formatCells="0" formatColumns="0" formatRows="0" sort="0" autoFilter="0"/>
  <autoFilter ref="A1:AY56" xr:uid="{869D9611-F0E3-4A7A-9239-9C1FA0F0C8DA}">
    <filterColumn colId="0">
      <filters>
        <filter val="O009"/>
      </filters>
    </filterColumn>
  </autoFilter>
  <phoneticPr fontId="8" type="noConversion"/>
  <dataValidations count="3">
    <dataValidation type="list" allowBlank="1" showInputMessage="1" showErrorMessage="1" sqref="K2:K12 D67:D1048190 E57:E1048190 C2:E12 K16:K1048190 C57:C1048190 C16:E56" xr:uid="{833F6030-824F-4AAE-BA3C-131D886541AF}">
      <formula1>shippername</formula1>
    </dataValidation>
    <dataValidation type="list" allowBlank="1" showInputMessage="1" showErrorMessage="1" sqref="J3:J10 D67:D1048190 J12:J55 I2:I55 K2:K55 C57:C1048190 H56:K1048190 E57:E1048190 C2:E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0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/>
  <sheetData>
    <row r="2" spans="2:5">
      <c r="B2" t="s">
        <v>161</v>
      </c>
      <c r="C2" t="s">
        <v>162</v>
      </c>
      <c r="D2" t="s">
        <v>133</v>
      </c>
      <c r="E2" t="s">
        <v>163</v>
      </c>
    </row>
    <row r="3" spans="2:5">
      <c r="B3" t="s">
        <v>164</v>
      </c>
      <c r="C3" t="s">
        <v>165</v>
      </c>
      <c r="D3" t="s">
        <v>133</v>
      </c>
      <c r="E3" t="s">
        <v>166</v>
      </c>
    </row>
    <row r="5" spans="2: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/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0DF6-139A-4B77-AD8A-EBE824C5F285}">
  <dimension ref="A1:B15"/>
  <sheetViews>
    <sheetView workbookViewId="0">
      <selection activeCell="A3" sqref="A3:B14"/>
    </sheetView>
  </sheetViews>
  <sheetFormatPr baseColWidth="10" defaultRowHeight="15"/>
  <cols>
    <col min="1" max="1" width="17.85546875" bestFit="1" customWidth="1"/>
    <col min="2" max="2" width="8.42578125" bestFit="1" customWidth="1"/>
  </cols>
  <sheetData>
    <row r="1" spans="1:2">
      <c r="A1" s="53" t="s">
        <v>129</v>
      </c>
      <c r="B1" t="s">
        <v>133</v>
      </c>
    </row>
    <row r="3" spans="1:2">
      <c r="A3" s="53" t="s">
        <v>6</v>
      </c>
      <c r="B3" s="53" t="s">
        <v>11</v>
      </c>
    </row>
    <row r="4" spans="1:2">
      <c r="A4" t="s">
        <v>68</v>
      </c>
      <c r="B4" t="s">
        <v>99</v>
      </c>
    </row>
    <row r="5" spans="1:2">
      <c r="A5" t="s">
        <v>68</v>
      </c>
      <c r="B5" t="s">
        <v>58</v>
      </c>
    </row>
    <row r="6" spans="1:2">
      <c r="A6" t="s">
        <v>68</v>
      </c>
      <c r="B6" t="s">
        <v>136</v>
      </c>
    </row>
    <row r="7" spans="1:2">
      <c r="A7" t="s">
        <v>68</v>
      </c>
      <c r="B7" t="s">
        <v>64</v>
      </c>
    </row>
    <row r="8" spans="1:2">
      <c r="A8" t="s">
        <v>72</v>
      </c>
      <c r="B8" t="s">
        <v>86</v>
      </c>
    </row>
    <row r="9" spans="1:2">
      <c r="A9" t="s">
        <v>87</v>
      </c>
      <c r="B9" t="s">
        <v>62</v>
      </c>
    </row>
    <row r="10" spans="1:2">
      <c r="A10" t="s">
        <v>87</v>
      </c>
      <c r="B10" t="s">
        <v>179</v>
      </c>
    </row>
    <row r="11" spans="1:2">
      <c r="A11" t="s">
        <v>98</v>
      </c>
      <c r="B11" t="s">
        <v>99</v>
      </c>
    </row>
    <row r="12" spans="1:2">
      <c r="A12" t="s">
        <v>98</v>
      </c>
      <c r="B12" t="s">
        <v>72</v>
      </c>
    </row>
    <row r="13" spans="1:2">
      <c r="A13" t="s">
        <v>98</v>
      </c>
      <c r="B13" t="s">
        <v>136</v>
      </c>
    </row>
    <row r="14" spans="1:2">
      <c r="A14" t="s">
        <v>98</v>
      </c>
      <c r="B14" t="s">
        <v>77</v>
      </c>
    </row>
    <row r="15" spans="1:2">
      <c r="A15" t="s">
        <v>182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VTT actif</vt:lpstr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2026-10-09T15:10:09Z</dcterms:modified>
</cp:coreProperties>
</file>