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9ADCB057-91A1-4EB7-99C7-3C9756A39F96}" xr6:coauthVersionLast="47" xr6:coauthVersionMax="47" xr10:uidLastSave="{00000000-0000-0000-0000-000000000000}"/>
  <bookViews>
    <workbookView xWindow="25695" yWindow="0" windowWidth="26010" windowHeight="2098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4" i="1" l="1"/>
  <c r="AA54" i="1" s="1"/>
  <c r="M54" i="1"/>
  <c r="O54" i="1" s="1"/>
  <c r="Q54" i="1" s="1"/>
  <c r="AR46" i="1"/>
  <c r="O46" i="1"/>
  <c r="Q46" i="1" s="1"/>
  <c r="M9" i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7" i="1"/>
  <c r="O47" i="1" s="1"/>
  <c r="Q47" i="1" s="1"/>
  <c r="M6" i="1"/>
  <c r="O6" i="1" s="1"/>
  <c r="W47" i="1"/>
  <c r="Y47" i="1" s="1"/>
  <c r="Z47" i="1" s="1"/>
  <c r="T47" i="1"/>
  <c r="AU54" i="1" l="1"/>
  <c r="AF54" i="1"/>
  <c r="AH54" i="1" s="1"/>
  <c r="AJ54" i="1" s="1"/>
  <c r="AM54" i="1" s="1"/>
  <c r="AO54" i="1" s="1"/>
  <c r="AQ54" i="1" s="1"/>
  <c r="AR54" i="1" s="1"/>
  <c r="AS54" i="1" s="1"/>
  <c r="AA47" i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l="1"/>
  <c r="W46" i="1" s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S46" i="1" l="1"/>
  <c r="AU45" i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<sst xmlns="http://schemas.openxmlformats.org/spreadsheetml/2006/main" count="649" uniqueCount="171">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</sst>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4"/>
  <sheetViews>
    <sheetView tabSelected="1" zoomScale="205" zoomScaleNormal="205" workbookViewId="0">
      <pane xSplit="11" ySplit="1" topLeftCell="W25" activePane="bottomRight" state="frozen"/>
      <selection pane="topRight" activeCell="L1" sqref="L1"/>
      <selection pane="bottomLeft" activeCell="A2" sqref="A2"/>
      <selection pane="bottomRight" activeCell="Z25" sqref="Z25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5.570312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5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hidden="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v>8</v>
      </c>
      <c r="N46" s="23">
        <v>1</v>
      </c>
      <c r="O46" s="3">
        <f t="shared" si="23"/>
        <v>8</v>
      </c>
      <c r="P46" s="3">
        <v>6</v>
      </c>
      <c r="Q46" s="3">
        <f t="shared" si="24"/>
        <v>13</v>
      </c>
      <c r="R46" s="23">
        <v>9</v>
      </c>
      <c r="S46" s="23">
        <v>12</v>
      </c>
      <c r="T46" s="23">
        <f t="shared" si="25"/>
        <v>20</v>
      </c>
      <c r="U46" s="23">
        <f>+T46+2</f>
        <v>22</v>
      </c>
      <c r="V46" s="23">
        <v>5</v>
      </c>
      <c r="W46" s="23">
        <f t="shared" si="26"/>
        <v>26</v>
      </c>
      <c r="X46" s="23">
        <v>4</v>
      </c>
      <c r="Y46" s="3">
        <v>29</v>
      </c>
      <c r="Z46" s="6">
        <v>29</v>
      </c>
      <c r="AA46" s="6">
        <v>31</v>
      </c>
      <c r="AB46" s="23">
        <v>4</v>
      </c>
      <c r="AC46" s="23"/>
      <c r="AD46" s="23"/>
      <c r="AE46" s="33">
        <v>41</v>
      </c>
      <c r="AF46" s="23">
        <f t="shared" si="27"/>
        <v>71</v>
      </c>
      <c r="AG46" s="23">
        <v>3</v>
      </c>
      <c r="AH46" s="23">
        <f t="shared" si="28"/>
        <v>74</v>
      </c>
      <c r="AI46" s="23">
        <v>7</v>
      </c>
      <c r="AJ46" s="23">
        <f t="shared" si="29"/>
        <v>81</v>
      </c>
      <c r="AK46" s="23"/>
      <c r="AL46" s="23">
        <v>3</v>
      </c>
      <c r="AM46" s="23">
        <f t="shared" si="30"/>
        <v>84</v>
      </c>
      <c r="AN46" s="23">
        <v>5</v>
      </c>
      <c r="AO46" s="23">
        <f>+AM46+AN46</f>
        <v>89</v>
      </c>
      <c r="AP46" s="23">
        <v>6</v>
      </c>
      <c r="AQ46" s="23">
        <v>92</v>
      </c>
      <c r="AR46" s="23">
        <f>+AQ46+4</f>
        <v>96</v>
      </c>
      <c r="AS46" s="23">
        <f t="shared" si="34"/>
        <v>117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ref="Z47:Z53" si="36">+Y47+X47-1</f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  <row r="54" spans="1:51" hidden="1" x14ac:dyDescent="0.25">
      <c r="A54" s="5" t="s">
        <v>170</v>
      </c>
      <c r="B54" s="38" t="s">
        <v>62</v>
      </c>
      <c r="C54" s="39" t="s">
        <v>69</v>
      </c>
      <c r="D54" s="38" t="s">
        <v>65</v>
      </c>
      <c r="E54" s="33" t="s">
        <v>82</v>
      </c>
      <c r="F54" s="19">
        <v>90014400</v>
      </c>
      <c r="G54" s="5" t="s">
        <v>157</v>
      </c>
      <c r="H54" s="2">
        <v>0</v>
      </c>
      <c r="I54" s="4" t="s">
        <v>140</v>
      </c>
      <c r="J54" s="2">
        <v>29159</v>
      </c>
      <c r="K54" s="23" t="s">
        <v>141</v>
      </c>
      <c r="L54" s="3">
        <v>5</v>
      </c>
      <c r="M54" s="3">
        <f t="shared" ref="M54" si="40">+IF(I54="SFK Freight Forwarder",L54,9)</f>
        <v>9</v>
      </c>
      <c r="N54" s="23">
        <v>2</v>
      </c>
      <c r="O54" s="3">
        <f t="shared" ref="O54" si="41">IF(I54="SFK Freight Forwarder",M54,M54+N54-1)</f>
        <v>10</v>
      </c>
      <c r="P54" s="3">
        <v>5</v>
      </c>
      <c r="Q54" s="3">
        <f t="shared" ref="Q54" si="42">+IF(I54="SFK Freight Forwarder",O54,O54+P54-1)</f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 t="shared" ref="W54" si="43">+U54+V54-1</f>
        <v>18</v>
      </c>
      <c r="X54" s="23">
        <v>1</v>
      </c>
      <c r="Y54" s="3">
        <v>18</v>
      </c>
      <c r="Z54" s="6">
        <v>19</v>
      </c>
      <c r="AA54" s="6">
        <f t="shared" ref="AA54" si="44">+Z54+AB54-1</f>
        <v>22</v>
      </c>
      <c r="AB54" s="23">
        <v>4</v>
      </c>
      <c r="AC54" s="23"/>
      <c r="AD54" s="23"/>
      <c r="AE54" s="23">
        <v>46</v>
      </c>
      <c r="AF54" s="23">
        <f t="shared" ref="AF54" si="45">+AE54+AA54-1</f>
        <v>67</v>
      </c>
      <c r="AG54" s="23">
        <v>3</v>
      </c>
      <c r="AH54" s="23">
        <f t="shared" ref="AH54" si="46">+AF54+AG54</f>
        <v>70</v>
      </c>
      <c r="AI54" s="23">
        <v>7</v>
      </c>
      <c r="AJ54" s="23">
        <f t="shared" ref="AJ54" si="47">+AI54+AH54</f>
        <v>77</v>
      </c>
      <c r="AK54" s="23"/>
      <c r="AL54" s="23">
        <v>3</v>
      </c>
      <c r="AM54" s="23">
        <f t="shared" ref="AM54" si="48">+AJ54+AL54</f>
        <v>80</v>
      </c>
      <c r="AN54" s="23">
        <v>2</v>
      </c>
      <c r="AO54" s="23">
        <f t="shared" ref="AO54" si="49">+AM54+AN54</f>
        <v>82</v>
      </c>
      <c r="AP54" s="23">
        <v>2</v>
      </c>
      <c r="AQ54" s="23">
        <f t="shared" ref="AQ54" si="50">+AO54+AP54</f>
        <v>84</v>
      </c>
      <c r="AR54" s="23">
        <f t="shared" ref="AR54" si="51">+AQ54+7</f>
        <v>91</v>
      </c>
      <c r="AS54" s="23">
        <f t="shared" ref="AS54" si="52">+AR54+7+AT54</f>
        <v>112</v>
      </c>
      <c r="AT54" s="23">
        <v>14</v>
      </c>
      <c r="AU54" s="3">
        <f t="shared" ref="AU54" si="53">+AA54-R54</f>
        <v>22</v>
      </c>
      <c r="AV54" s="23" t="s">
        <v>134</v>
      </c>
      <c r="AW54" s="23" t="s">
        <v>132</v>
      </c>
      <c r="AX54" s="20" t="s">
        <v>57</v>
      </c>
      <c r="AY54" s="37">
        <v>46143</v>
      </c>
    </row>
  </sheetData>
  <sheetProtection formatCells="0" formatColumns="0" formatRows="0" sort="0" autoFilter="0"/>
  <autoFilter ref="A1:AY54" xr:uid="{869D9611-F0E3-4A7A-9239-9C1FA0F0C8DA}">
    <filterColumn colId="0">
      <filters>
        <filter val="927"/>
      </filters>
    </filterColumn>
  </autoFilter>
  <phoneticPr fontId="8" type="noConversion"/>
  <dataValidations count="3">
    <dataValidation type="list" allowBlank="1" showInputMessage="1" showErrorMessage="1" sqref="C2:E12 K2:K12 C16:E1048196 K16:K1048196" xr:uid="{833F6030-824F-4AAE-BA3C-131D886541AF}">
      <formula1>shippername</formula1>
    </dataValidation>
    <dataValidation type="list" allowBlank="1" showInputMessage="1" showErrorMessage="1" sqref="J3:J10 K2:K54 J12:J54 I2:I54 C2:E1048196 H55:K104819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L14" sqref="L14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2026-05-08T06:36:49Z</dcterms:modified>
</cp:coreProperties>
</file>