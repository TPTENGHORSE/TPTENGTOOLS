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DCF73077-3B47-4431-97C9-86DBA6AD94CA}" xr6:coauthVersionLast="47" xr6:coauthVersionMax="47" xr10:uidLastSave="{00000000-0000-0000-0000-000000000000}"/>
  <bookViews>
    <workbookView xWindow="-105" yWindow="0" windowWidth="51765" windowHeight="2098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3" i="1" l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46" i="1"/>
  <c r="O46" i="1" s="1"/>
  <c r="Q46" i="1" s="1"/>
  <c r="M6" i="1"/>
  <c r="O6" i="1" s="1"/>
  <c r="W46" i="1"/>
  <c r="Y46" i="1" s="1"/>
  <c r="Z46" i="1" s="1"/>
  <c r="T46" i="1"/>
  <c r="AU53" i="1" l="1"/>
  <c r="AF53" i="1"/>
  <c r="AH53" i="1" s="1"/>
  <c r="AJ53" i="1" s="1"/>
  <c r="AM53" i="1" s="1"/>
  <c r="AO53" i="1" s="1"/>
  <c r="AQ53" i="1" s="1"/>
  <c r="AR53" i="1" s="1"/>
  <c r="AS53" i="1" s="1"/>
  <c r="AA46" i="1"/>
  <c r="AU46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F46" i="1"/>
  <c r="AH46" i="1" s="1"/>
  <c r="AJ46" i="1" s="1"/>
  <c r="AM46" i="1" s="1"/>
  <c r="AO46" i="1" s="1"/>
  <c r="AQ46" i="1" s="1"/>
  <c r="AR46" i="1" s="1"/>
  <c r="AS46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Z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Y48" i="1" s="1"/>
  <c r="Z48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48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<sst xmlns="http://schemas.openxmlformats.org/spreadsheetml/2006/main" count="638" uniqueCount="172">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</sst>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75" zoomScaleNormal="175" workbookViewId="0">
      <pane xSplit="11" ySplit="1" topLeftCell="AB2" activePane="bottomRight" state="frozen"/>
      <selection pane="topRight" activeCell="L1" sqref="L1"/>
      <selection pane="bottomLeft" activeCell="A2" sqref="A2"/>
      <selection pane="bottomRight" activeCell="AG1" sqref="AG1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142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161</v>
      </c>
    </row>
    <row r="2" spans="1:58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149</v>
      </c>
      <c r="H2" s="2">
        <v>92000100</v>
      </c>
      <c r="I2" s="4" t="s">
        <v>150</v>
      </c>
      <c r="J2" s="2">
        <v>92000100</v>
      </c>
      <c r="K2" s="4" t="s">
        <v>150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149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149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149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156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154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155</v>
      </c>
      <c r="F11" s="19">
        <v>90014400</v>
      </c>
      <c r="G11" s="35" t="s">
        <v>156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155</v>
      </c>
      <c r="F12" s="19">
        <v>90018600</v>
      </c>
      <c r="G12" s="4" t="s">
        <v>157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157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157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151</v>
      </c>
      <c r="F15" s="19">
        <v>90018600</v>
      </c>
      <c r="G15" s="5" t="s">
        <v>157</v>
      </c>
      <c r="H15" s="2">
        <v>92000100</v>
      </c>
      <c r="I15" s="4" t="s">
        <v>150</v>
      </c>
      <c r="J15" s="2">
        <v>92000100</v>
      </c>
      <c r="K15" s="4" t="s">
        <v>150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157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154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158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156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158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158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156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154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170</v>
      </c>
      <c r="D24" s="6" t="s">
        <v>62</v>
      </c>
      <c r="E24" s="6" t="s">
        <v>85</v>
      </c>
      <c r="F24" s="19">
        <v>90018600</v>
      </c>
      <c r="G24" s="5" t="s">
        <v>157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156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157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158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157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154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40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171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158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33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156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171</v>
      </c>
      <c r="F44" s="19">
        <v>90018600</v>
      </c>
      <c r="G44" s="5" t="s">
        <v>157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159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141</v>
      </c>
      <c r="B46" s="38" t="s">
        <v>80</v>
      </c>
      <c r="C46" s="39" t="s">
        <v>68</v>
      </c>
      <c r="D46" s="38" t="s">
        <v>58</v>
      </c>
      <c r="E46" s="33" t="s">
        <v>53</v>
      </c>
      <c r="F46" s="19">
        <v>91017700</v>
      </c>
      <c r="G46" s="35" t="s">
        <v>158</v>
      </c>
      <c r="H46" s="2">
        <v>0</v>
      </c>
      <c r="I46" s="4" t="s">
        <v>139</v>
      </c>
      <c r="J46" s="2">
        <v>29159</v>
      </c>
      <c r="K46" s="23" t="s">
        <v>140</v>
      </c>
      <c r="L46" s="3">
        <v>5</v>
      </c>
      <c r="M46" s="3">
        <f t="shared" si="35"/>
        <v>9</v>
      </c>
      <c r="N46" s="23">
        <v>2</v>
      </c>
      <c r="O46" s="3">
        <f t="shared" si="22"/>
        <v>10</v>
      </c>
      <c r="P46" s="3">
        <v>5</v>
      </c>
      <c r="Q46" s="3">
        <f t="shared" si="23"/>
        <v>14</v>
      </c>
      <c r="R46" s="23">
        <v>9</v>
      </c>
      <c r="S46" s="23">
        <v>13</v>
      </c>
      <c r="T46" s="25">
        <f t="shared" si="24"/>
        <v>21</v>
      </c>
      <c r="U46" s="23">
        <v>16</v>
      </c>
      <c r="V46" s="23">
        <v>7</v>
      </c>
      <c r="W46" s="23">
        <f t="shared" si="25"/>
        <v>22</v>
      </c>
      <c r="X46" s="23">
        <v>1</v>
      </c>
      <c r="Y46" s="3">
        <f t="shared" si="20"/>
        <v>22</v>
      </c>
      <c r="Z46" s="6">
        <f t="shared" ref="Z46:Z52" si="36">+Y46+X46-1</f>
        <v>22</v>
      </c>
      <c r="AA46" s="6">
        <f t="shared" si="18"/>
        <v>25</v>
      </c>
      <c r="AB46" s="23">
        <v>4</v>
      </c>
      <c r="AC46" s="23"/>
      <c r="AD46" s="23"/>
      <c r="AE46" s="23">
        <v>39</v>
      </c>
      <c r="AF46" s="23">
        <f t="shared" si="26"/>
        <v>63</v>
      </c>
      <c r="AG46" s="23">
        <v>3</v>
      </c>
      <c r="AH46" s="23">
        <f t="shared" si="27"/>
        <v>66</v>
      </c>
      <c r="AI46" s="23">
        <v>7</v>
      </c>
      <c r="AJ46" s="23">
        <f t="shared" si="28"/>
        <v>73</v>
      </c>
      <c r="AK46" s="23"/>
      <c r="AL46" s="23">
        <v>3</v>
      </c>
      <c r="AM46" s="23">
        <f t="shared" si="29"/>
        <v>76</v>
      </c>
      <c r="AN46" s="23">
        <v>2</v>
      </c>
      <c r="AO46" s="23">
        <f t="shared" si="30"/>
        <v>78</v>
      </c>
      <c r="AP46" s="23">
        <v>2</v>
      </c>
      <c r="AQ46" s="23">
        <f t="shared" si="31"/>
        <v>80</v>
      </c>
      <c r="AR46" s="23">
        <f t="shared" si="32"/>
        <v>87</v>
      </c>
      <c r="AS46" s="23">
        <f t="shared" si="33"/>
        <v>108</v>
      </c>
      <c r="AT46" s="23">
        <v>14</v>
      </c>
      <c r="AU46" s="3">
        <f t="shared" si="34"/>
        <v>16</v>
      </c>
      <c r="AV46" s="23" t="s">
        <v>133</v>
      </c>
      <c r="AW46" s="23" t="s">
        <v>131</v>
      </c>
      <c r="AX46" s="20" t="s">
        <v>56</v>
      </c>
      <c r="AY46" s="37">
        <v>46143</v>
      </c>
    </row>
    <row r="47" spans="1:51" hidden="1" x14ac:dyDescent="0.25">
      <c r="A47" s="5" t="s">
        <v>144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157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37">+IF(I47="SFK Freight Forwarder",0,5)</f>
        <v>5</v>
      </c>
      <c r="Q47" s="3">
        <f t="shared" si="23"/>
        <v>26</v>
      </c>
      <c r="R47" s="3">
        <f t="shared" ref="R47:R52" si="38">9+N47</f>
        <v>23</v>
      </c>
      <c r="S47" s="3">
        <v>7</v>
      </c>
      <c r="T47" s="3">
        <f t="shared" si="24"/>
        <v>29</v>
      </c>
      <c r="U47" s="3">
        <f t="shared" ref="U47:U52" si="39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si="36"/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145</v>
      </c>
      <c r="B48" s="39" t="s">
        <v>76</v>
      </c>
      <c r="C48" s="38" t="s">
        <v>98</v>
      </c>
      <c r="D48" s="38" t="s">
        <v>77</v>
      </c>
      <c r="E48" s="38" t="s">
        <v>85</v>
      </c>
      <c r="F48" s="19">
        <v>90012500</v>
      </c>
      <c r="G48" s="5" t="s">
        <v>154</v>
      </c>
      <c r="H48" s="2">
        <v>0</v>
      </c>
      <c r="I48" s="4" t="s">
        <v>139</v>
      </c>
      <c r="J48" s="2">
        <v>29159</v>
      </c>
      <c r="K48" s="4" t="s">
        <v>143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37"/>
        <v>5</v>
      </c>
      <c r="Q48" s="3">
        <f t="shared" si="23"/>
        <v>26</v>
      </c>
      <c r="R48" s="3">
        <f t="shared" si="38"/>
        <v>23</v>
      </c>
      <c r="S48" s="3">
        <v>7</v>
      </c>
      <c r="T48" s="3">
        <f t="shared" si="24"/>
        <v>29</v>
      </c>
      <c r="U48" s="3">
        <f t="shared" si="39"/>
        <v>30</v>
      </c>
      <c r="V48" s="3">
        <v>2</v>
      </c>
      <c r="W48" s="3">
        <f t="shared" si="25"/>
        <v>31</v>
      </c>
      <c r="X48" s="3">
        <v>2</v>
      </c>
      <c r="Y48" s="3">
        <f t="shared" si="20"/>
        <v>30</v>
      </c>
      <c r="Z48" s="6">
        <f t="shared" si="36"/>
        <v>31</v>
      </c>
      <c r="AA48" s="6">
        <f t="shared" si="18"/>
        <v>31</v>
      </c>
      <c r="AB48" s="3">
        <v>1</v>
      </c>
      <c r="AC48" s="3">
        <v>3</v>
      </c>
      <c r="AD48" s="3">
        <v>10</v>
      </c>
      <c r="AE48" s="3">
        <v>58</v>
      </c>
      <c r="AF48" s="3">
        <f t="shared" si="26"/>
        <v>88</v>
      </c>
      <c r="AG48" s="6">
        <v>3</v>
      </c>
      <c r="AH48" s="6">
        <f t="shared" si="27"/>
        <v>91</v>
      </c>
      <c r="AI48" s="3">
        <v>0</v>
      </c>
      <c r="AJ48" s="3">
        <f t="shared" si="28"/>
        <v>91</v>
      </c>
      <c r="AK48" s="3" t="s">
        <v>60</v>
      </c>
      <c r="AL48" s="3">
        <v>2</v>
      </c>
      <c r="AM48" s="3">
        <f t="shared" si="29"/>
        <v>93</v>
      </c>
      <c r="AN48" s="3">
        <v>7</v>
      </c>
      <c r="AO48" s="3">
        <f t="shared" si="30"/>
        <v>100</v>
      </c>
      <c r="AP48" s="3">
        <v>5</v>
      </c>
      <c r="AQ48" s="3">
        <f t="shared" si="31"/>
        <v>105</v>
      </c>
      <c r="AR48" s="3">
        <f t="shared" si="32"/>
        <v>112</v>
      </c>
      <c r="AS48" s="3">
        <f t="shared" si="33"/>
        <v>119</v>
      </c>
      <c r="AT48" s="3">
        <v>0</v>
      </c>
      <c r="AU48" s="3">
        <f t="shared" si="34"/>
        <v>8</v>
      </c>
      <c r="AV48" s="3" t="s">
        <v>133</v>
      </c>
      <c r="AW48" s="3" t="s">
        <v>131</v>
      </c>
      <c r="AX48" s="20" t="s">
        <v>88</v>
      </c>
      <c r="AY48" s="37">
        <v>46142</v>
      </c>
    </row>
    <row r="49" spans="1:51" hidden="1" x14ac:dyDescent="0.25">
      <c r="A49" s="5" t="s">
        <v>146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91017500</v>
      </c>
      <c r="G49" s="5" t="s">
        <v>160</v>
      </c>
      <c r="H49" s="2">
        <v>0</v>
      </c>
      <c r="I49" s="4" t="s">
        <v>139</v>
      </c>
      <c r="J49" s="2">
        <v>29159</v>
      </c>
      <c r="K49" s="4" t="s">
        <v>143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37"/>
        <v>5</v>
      </c>
      <c r="Q49" s="3">
        <f t="shared" si="23"/>
        <v>26</v>
      </c>
      <c r="R49" s="3">
        <f t="shared" si="38"/>
        <v>23</v>
      </c>
      <c r="S49" s="3">
        <v>7</v>
      </c>
      <c r="T49" s="3">
        <f t="shared" si="24"/>
        <v>29</v>
      </c>
      <c r="U49" s="3">
        <f t="shared" si="39"/>
        <v>30</v>
      </c>
      <c r="V49" s="3">
        <v>2</v>
      </c>
      <c r="W49" s="3">
        <f t="shared" si="25"/>
        <v>31</v>
      </c>
      <c r="X49" s="3">
        <v>2</v>
      </c>
      <c r="Y49" s="3">
        <f t="shared" si="20"/>
        <v>30</v>
      </c>
      <c r="Z49" s="6">
        <f t="shared" si="36"/>
        <v>31</v>
      </c>
      <c r="AA49" s="6">
        <f t="shared" si="18"/>
        <v>36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6"/>
        <v>77</v>
      </c>
      <c r="AG49" s="6">
        <v>3</v>
      </c>
      <c r="AH49" s="6">
        <f t="shared" si="27"/>
        <v>80</v>
      </c>
      <c r="AI49" s="3">
        <v>0</v>
      </c>
      <c r="AJ49" s="3">
        <f t="shared" si="28"/>
        <v>80</v>
      </c>
      <c r="AK49" s="3" t="s">
        <v>60</v>
      </c>
      <c r="AL49" s="3">
        <v>1</v>
      </c>
      <c r="AM49" s="3">
        <f t="shared" si="29"/>
        <v>81</v>
      </c>
      <c r="AN49" s="3">
        <v>1</v>
      </c>
      <c r="AO49" s="3">
        <f t="shared" si="30"/>
        <v>82</v>
      </c>
      <c r="AP49" s="3">
        <v>3</v>
      </c>
      <c r="AQ49" s="3">
        <f t="shared" si="31"/>
        <v>85</v>
      </c>
      <c r="AR49" s="3">
        <f t="shared" si="32"/>
        <v>92</v>
      </c>
      <c r="AS49" s="3">
        <f t="shared" si="33"/>
        <v>99</v>
      </c>
      <c r="AT49" s="3">
        <v>0</v>
      </c>
      <c r="AU49" s="3">
        <f t="shared" si="34"/>
        <v>13</v>
      </c>
      <c r="AV49" s="3" t="s">
        <v>133</v>
      </c>
      <c r="AW49" s="3" t="s">
        <v>131</v>
      </c>
      <c r="AX49" s="20" t="s">
        <v>88</v>
      </c>
      <c r="AY49" s="37">
        <v>46142</v>
      </c>
    </row>
    <row r="50" spans="1:51" hidden="1" x14ac:dyDescent="0.25">
      <c r="A50" s="5" t="s">
        <v>147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143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37"/>
        <v>5</v>
      </c>
      <c r="Q50" s="3">
        <f t="shared" si="23"/>
        <v>26</v>
      </c>
      <c r="R50" s="3">
        <f t="shared" si="38"/>
        <v>23</v>
      </c>
      <c r="S50" s="3">
        <v>7</v>
      </c>
      <c r="T50" s="3">
        <f t="shared" si="24"/>
        <v>29</v>
      </c>
      <c r="U50" s="3">
        <f t="shared" si="39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36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148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156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37"/>
        <v>5</v>
      </c>
      <c r="Q51" s="3">
        <f t="shared" si="23"/>
        <v>26</v>
      </c>
      <c r="R51" s="3">
        <f t="shared" si="38"/>
        <v>23</v>
      </c>
      <c r="S51" s="3">
        <v>7</v>
      </c>
      <c r="T51" s="3">
        <f t="shared" si="24"/>
        <v>29</v>
      </c>
      <c r="U51" s="3">
        <f t="shared" si="39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36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hidden="1" x14ac:dyDescent="0.25">
      <c r="A52" s="5" t="s">
        <v>153</v>
      </c>
      <c r="B52" s="38" t="s">
        <v>83</v>
      </c>
      <c r="C52" s="38" t="s">
        <v>72</v>
      </c>
      <c r="D52" s="38" t="s">
        <v>86</v>
      </c>
      <c r="E52" s="38" t="s">
        <v>63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152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37"/>
        <v>5</v>
      </c>
      <c r="Q52" s="3">
        <f t="shared" si="23"/>
        <v>19</v>
      </c>
      <c r="R52" s="3">
        <f t="shared" si="38"/>
        <v>16</v>
      </c>
      <c r="S52" s="3">
        <v>3</v>
      </c>
      <c r="T52" s="3">
        <f t="shared" si="24"/>
        <v>18</v>
      </c>
      <c r="U52" s="3">
        <f t="shared" si="39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f t="shared" si="36"/>
        <v>24</v>
      </c>
      <c r="AA52" s="6">
        <f t="shared" si="18"/>
        <v>26</v>
      </c>
      <c r="AB52" s="3">
        <v>3</v>
      </c>
      <c r="AC52" s="3">
        <v>5</v>
      </c>
      <c r="AD52" s="3">
        <v>5</v>
      </c>
      <c r="AE52" s="3">
        <v>34</v>
      </c>
      <c r="AF52" s="3">
        <f t="shared" si="26"/>
        <v>59</v>
      </c>
      <c r="AG52" s="6">
        <v>3</v>
      </c>
      <c r="AH52" s="6">
        <f t="shared" si="27"/>
        <v>62</v>
      </c>
      <c r="AI52" s="3">
        <v>7</v>
      </c>
      <c r="AJ52" s="3">
        <f t="shared" si="28"/>
        <v>69</v>
      </c>
      <c r="AK52" s="3">
        <v>0</v>
      </c>
      <c r="AL52" s="3">
        <v>6</v>
      </c>
      <c r="AM52" s="3">
        <f t="shared" si="29"/>
        <v>75</v>
      </c>
      <c r="AN52" s="3">
        <v>2</v>
      </c>
      <c r="AO52" s="3">
        <f t="shared" si="30"/>
        <v>77</v>
      </c>
      <c r="AP52" s="3">
        <v>0</v>
      </c>
      <c r="AQ52" s="3">
        <f t="shared" si="31"/>
        <v>77</v>
      </c>
      <c r="AR52" s="3">
        <f t="shared" si="32"/>
        <v>84</v>
      </c>
      <c r="AS52" s="3">
        <f t="shared" si="33"/>
        <v>91</v>
      </c>
      <c r="AT52" s="3">
        <v>0</v>
      </c>
      <c r="AU52" s="3">
        <f t="shared" si="34"/>
        <v>10</v>
      </c>
      <c r="AV52" s="3" t="s">
        <v>133</v>
      </c>
      <c r="AW52" s="3" t="s">
        <v>134</v>
      </c>
      <c r="AX52" s="20" t="s">
        <v>56</v>
      </c>
      <c r="AY52" s="37">
        <v>46142</v>
      </c>
    </row>
    <row r="53" spans="1:51" hidden="1" x14ac:dyDescent="0.25">
      <c r="A53" s="5" t="s">
        <v>169</v>
      </c>
      <c r="B53" s="38" t="s">
        <v>61</v>
      </c>
      <c r="C53" s="39" t="s">
        <v>68</v>
      </c>
      <c r="D53" s="38" t="s">
        <v>64</v>
      </c>
      <c r="E53" s="33" t="s">
        <v>81</v>
      </c>
      <c r="F53" s="19">
        <v>90014400</v>
      </c>
      <c r="G53" s="5" t="s">
        <v>156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40">+IF(I53="SFK Freight Forwarder",L53,9)</f>
        <v>9</v>
      </c>
      <c r="N53" s="23">
        <v>2</v>
      </c>
      <c r="O53" s="3">
        <f t="shared" ref="O53" si="41">IF(I53="SFK Freight Forwarder",M53,M53+N53-1)</f>
        <v>10</v>
      </c>
      <c r="P53" s="3">
        <v>5</v>
      </c>
      <c r="Q53" s="3">
        <f t="shared" ref="Q53" si="4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43">+U53+V53-1</f>
        <v>18</v>
      </c>
      <c r="X53" s="23">
        <v>1</v>
      </c>
      <c r="Y53" s="3">
        <v>18</v>
      </c>
      <c r="Z53" s="6">
        <v>19</v>
      </c>
      <c r="AA53" s="6">
        <f t="shared" ref="AA53" si="44">+Z53+AB53-1</f>
        <v>22</v>
      </c>
      <c r="AB53" s="23">
        <v>4</v>
      </c>
      <c r="AC53" s="23"/>
      <c r="AD53" s="23"/>
      <c r="AE53" s="23">
        <v>46</v>
      </c>
      <c r="AF53" s="23">
        <f t="shared" ref="AF53" si="45">+AE53+AA53-1</f>
        <v>67</v>
      </c>
      <c r="AG53" s="23">
        <v>3</v>
      </c>
      <c r="AH53" s="23">
        <f t="shared" ref="AH53" si="46">+AF53+AG53</f>
        <v>70</v>
      </c>
      <c r="AI53" s="23">
        <v>7</v>
      </c>
      <c r="AJ53" s="23">
        <f t="shared" ref="AJ53" si="47">+AI53+AH53</f>
        <v>77</v>
      </c>
      <c r="AK53" s="23"/>
      <c r="AL53" s="23">
        <v>3</v>
      </c>
      <c r="AM53" s="23">
        <f t="shared" ref="AM53" si="48">+AJ53+AL53</f>
        <v>80</v>
      </c>
      <c r="AN53" s="23">
        <v>2</v>
      </c>
      <c r="AO53" s="23">
        <f t="shared" ref="AO53" si="49">+AM53+AN53</f>
        <v>82</v>
      </c>
      <c r="AP53" s="23">
        <v>2</v>
      </c>
      <c r="AQ53" s="23">
        <f t="shared" ref="AQ53" si="50">+AO53+AP53</f>
        <v>84</v>
      </c>
      <c r="AR53" s="23">
        <f t="shared" ref="AR53" si="51">+AQ53+7</f>
        <v>91</v>
      </c>
      <c r="AS53" s="23">
        <f t="shared" ref="AS53" si="52">+AR53+7+AT53</f>
        <v>112</v>
      </c>
      <c r="AT53" s="23">
        <v>14</v>
      </c>
      <c r="AU53" s="3">
        <f t="shared" ref="AU53" si="5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>
    <filterColumn colId="0">
      <filters>
        <filter val="60"/>
      </filters>
    </filterColumn>
  </autoFilter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C2:E1048195 I2:I53 J12:J53 K2:K53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162</v>
      </c>
      <c r="C2" t="s">
        <v>163</v>
      </c>
      <c r="D2" t="s">
        <v>133</v>
      </c>
      <c r="E2" t="s">
        <v>164</v>
      </c>
    </row>
    <row r="3" spans="2:5" x14ac:dyDescent="0.25">
      <c r="B3" t="s">
        <v>165</v>
      </c>
      <c r="C3" t="s">
        <v>166</v>
      </c>
      <c r="D3" t="s">
        <v>133</v>
      </c>
      <c r="E3" t="s">
        <v>167</v>
      </c>
    </row>
    <row r="5" spans="2:5" x14ac:dyDescent="0.25">
      <c r="B5" t="s">
        <v>168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2026-05-11T16:24:13Z</dcterms:modified>
</cp:coreProperties>
</file>