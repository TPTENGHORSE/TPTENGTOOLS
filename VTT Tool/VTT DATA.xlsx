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F679A5B8-B187-495D-BB0A-7ADF3FD61CEC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definedNames>
    <definedName name="_xlnm._FilterDatabase" localSheetId="0" hidden="1">'VTT actif'!$A$1:$BD$51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2" i="1" l="1"/>
  <c r="AW52" i="1"/>
  <c r="AU52" i="1"/>
  <c r="AF52" i="1" l="1"/>
  <c r="AH52" i="1" s="1"/>
  <c r="AJ52" i="1" s="1"/>
  <c r="AM52" i="1" s="1"/>
  <c r="AO52" i="1" s="1"/>
  <c r="AW50" i="1"/>
  <c r="AW51" i="1"/>
  <c r="AS52" i="1" l="1"/>
  <c r="AX52" i="1"/>
  <c r="AA51" i="1"/>
  <c r="Q51" i="1"/>
  <c r="P51" i="1"/>
  <c r="R51" i="1"/>
  <c r="T51" i="1" s="1"/>
  <c r="U51" i="1" s="1"/>
  <c r="W51" i="1" s="1"/>
  <c r="Y51" i="1" s="1"/>
  <c r="O51" i="1"/>
  <c r="M51" i="1"/>
  <c r="AU51" i="1" l="1"/>
  <c r="AF51" i="1"/>
  <c r="AH51" i="1" s="1"/>
  <c r="AJ51" i="1" s="1"/>
  <c r="AM51" i="1" s="1"/>
  <c r="AO51" i="1" s="1"/>
  <c r="AQ51" i="1" s="1"/>
  <c r="R23" i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Z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R51" i="1" l="1"/>
  <c r="AS51" i="1" s="1"/>
  <c r="AX51" i="1"/>
  <c r="AY51" i="1"/>
  <c r="Z22" i="1"/>
  <c r="AA22" i="1" s="1"/>
  <c r="Z14" i="1"/>
  <c r="AA14" i="1" s="1"/>
  <c r="Z23" i="1"/>
  <c r="AA23" i="1" s="1"/>
  <c r="AA48" i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AU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J37" i="1" s="1"/>
  <c r="AM37" i="1" s="1"/>
  <c r="AO37" i="1" s="1"/>
  <c r="AQ37" i="1" s="1"/>
  <c r="AR37" i="1" s="1"/>
  <c r="AS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J19" i="1" s="1"/>
  <c r="AM19" i="1" s="1"/>
  <c r="AO19" i="1" s="1"/>
  <c r="AQ19" i="1" s="1"/>
  <c r="AR19" i="1" s="1"/>
  <c r="AS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J42" i="1" s="1"/>
  <c r="AM42" i="1" s="1"/>
  <c r="AO42" i="1" s="1"/>
  <c r="AQ42" i="1" s="1"/>
  <c r="AR42" i="1" s="1"/>
  <c r="AS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39" i="1"/>
  <c r="AM39" i="1" s="1"/>
  <c r="AO39" i="1" s="1"/>
  <c r="AQ39" i="1" s="1"/>
  <c r="AR39" i="1" s="1"/>
  <c r="AS3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<sst xmlns="http://schemas.openxmlformats.org/spreadsheetml/2006/main" count="615" uniqueCount="162">
  <si>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</si>
  <si>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</si>
  <si>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</si>
  <si>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</si>
  <si>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</si>
  <si>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</si>
  <si>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</si>
  <si>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</si>
  <si>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</si>
  <si>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</si>
  <si>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</si>
  <si>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</si>
  <si>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</si>
  <si>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</si>
  <si>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</si>
  <si>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</si>
  <si>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</si>
  <si>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</si>
  <si>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</si>
  <si>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</si>
  <si>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</si>
  <si>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</si>
  <si>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</si>
  <si>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</si>
  <si>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</si>
  <si>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</si>
  <si>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</si>
  <si>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</si>
  <si>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</si>
  <si>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</si>
  <si>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</si>
  <si>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</si>
  <si>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</si>
  <si>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</si>
  <si>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</si>
  <si>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</si>
  <si>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</si>
  <si>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</si>
  <si>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</si>
  <si>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</si>
  <si>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</si>
  <si>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</si>
  <si>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</si>
  <si>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</si>
  <si>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</si>
  <si>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</si>
  <si>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</si>
  <si>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</si>
  <si>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</si>
  <si>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</si>
  <si>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</si>
  <si>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</si>
  <si>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</si>
  <si>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</si>
  <si>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</si>
  <si>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</si>
  <si>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</si>
  <si>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</si>
  <si>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</si>
  <si>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</si>
  <si>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</si>
  <si>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</si>
  <si>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</si>
  <si>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</si>
  <si>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</si>
  <si>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</si>
  <si>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</si>
  <si>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</si>
  <si>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</si>
  <si>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</si>
  <si>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</si>
  <si>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</si>
  <si>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</si>
  <si>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</si>
  <si>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</si>
  <si>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</si>
  <si>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</si>
  <si>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</si>
  <si>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</si>
  <si>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</si>
  <si>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</si>
  <si>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</si>
  <si>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</si>
  <si>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</si>
  <si>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</si>
  <si>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</si>
  <si>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</si>
  <si>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</si>
  <si>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</si>
  <si>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</si>
  <si>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</si>
  <si>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</si>
  <si>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</si>
  <si>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</si>
  <si>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</si>
  <si>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</si>
  <si>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</si>
  <si>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</si>
  <si>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</si>
  <si>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</si>
  <si>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</si>
  <si>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</si>
  <si>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</si>
  <si>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</si>
  <si>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</si>
  <si>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</si>
  <si>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</si>
  <si>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</si>
  <si>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</si>
  <si>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</si>
  <si>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</si>
  <si>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</si>
  <si>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</si>
  <si>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</si>
  <si>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</si>
  <si>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</si>
  <si>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</si>
  <si>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</si>
  <si>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</si>
  <si>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</si>
  <si>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</si>
  <si>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</si>
  <si>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</si>
  <si>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</si>
  <si>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</si>
  <si>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</si>
  <si>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</si>
  <si>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</si>
  <si>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</si>
  <si>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</si>
  <si>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</si>
  <si>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</si>
  <si>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</si>
  <si>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</si>
  <si>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</si>
  <si>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</si>
  <si>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</si>
  <si>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</si>
  <si>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</si>
  <si>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</si>
  <si>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</si>
  <si>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</si>
  <si>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</si>
  <si>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</si>
  <si>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</si>
  <si>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</si>
  <si>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</si>
  <si>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</si>
  <si>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</si>
  <si>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</si>
  <si>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</si>
  <si>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</si>
  <si>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</si>
  <si>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</si>
  <si>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</si>
  <si>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</si>
  <si>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</si>
  <si>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</si>
  <si>
    <t>O001</t>
  </si>
  <si>
    <t>MAERSK</t>
  </si>
  <si>
    <t>DSV</t>
  </si>
  <si>
    <t>WUHAN JINRUI 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</si>
</sst>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2"/>
  <sheetViews>
    <sheetView tabSelected="1" zoomScale="85" zoomScaleNormal="85" workbookViewId="0">
      <pane xSplit="11" ySplit="1" topLeftCell="AO35" activePane="bottomRight" state="frozen"/>
      <selection pane="topRight" activeCell="L1" sqref="L1"/>
      <selection pane="bottomLeft" activeCell="A2" sqref="A2"/>
      <selection pane="bottomRight" activeCell="AT66" sqref="AT66"/>
    </sheetView>
  </sheetViews>
  <sheetFormatPr baseColWidth="10" defaultColWidth="10.42578125" defaultRowHeight="15" x14ac:dyDescent="0.25"/>
  <cols>
    <col min="2" max="5" width="10.42578125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5" t="s">
        <v>5</v>
      </c>
      <c r="B1" s="16" t="s">
        <v>136</v>
      </c>
      <c r="C1" s="16" t="s">
        <v>6</v>
      </c>
      <c r="D1" s="16" t="s">
        <v>11</v>
      </c>
      <c r="E1" s="16" t="s">
        <v>7</v>
      </c>
      <c r="F1" s="17" t="s">
        <v>0</v>
      </c>
      <c r="G1" s="15" t="s">
        <v>137</v>
      </c>
      <c r="H1" s="17" t="s">
        <v>1</v>
      </c>
      <c r="I1" s="15" t="s">
        <v>120</v>
      </c>
      <c r="J1" s="17" t="s">
        <v>4</v>
      </c>
      <c r="K1" s="15" t="s">
        <v>119</v>
      </c>
      <c r="L1" s="18" t="s">
        <v>121</v>
      </c>
      <c r="M1" s="18" t="s">
        <v>122</v>
      </c>
      <c r="N1" s="19" t="s">
        <v>2</v>
      </c>
      <c r="O1" s="20" t="s">
        <v>123</v>
      </c>
      <c r="P1" s="16" t="s">
        <v>140</v>
      </c>
      <c r="Q1" s="20" t="s">
        <v>139</v>
      </c>
      <c r="R1" s="20" t="s">
        <v>141</v>
      </c>
      <c r="S1" s="20" t="s">
        <v>142</v>
      </c>
      <c r="T1" s="20" t="s">
        <v>143</v>
      </c>
      <c r="U1" s="16" t="s">
        <v>144</v>
      </c>
      <c r="V1" s="16" t="s">
        <v>145</v>
      </c>
      <c r="W1" s="16" t="s">
        <v>146</v>
      </c>
      <c r="X1" s="21" t="s">
        <v>3</v>
      </c>
      <c r="Y1" s="21" t="s">
        <v>124</v>
      </c>
      <c r="Z1" s="16" t="s">
        <v>125</v>
      </c>
      <c r="AA1" s="16" t="s">
        <v>126</v>
      </c>
      <c r="AB1" s="16" t="s">
        <v>138</v>
      </c>
      <c r="AC1" s="33" t="s">
        <v>8</v>
      </c>
      <c r="AD1" s="33" t="s">
        <v>9</v>
      </c>
      <c r="AE1" s="16" t="s">
        <v>10</v>
      </c>
      <c r="AF1" s="16" t="s">
        <v>127</v>
      </c>
      <c r="AG1" s="16" t="s">
        <v>12</v>
      </c>
      <c r="AH1" s="16" t="s">
        <v>128</v>
      </c>
      <c r="AI1" s="16" t="s">
        <v>13</v>
      </c>
      <c r="AJ1" s="16" t="s">
        <v>129</v>
      </c>
      <c r="AK1" s="16" t="s">
        <v>14</v>
      </c>
      <c r="AL1" s="16" t="s">
        <v>15</v>
      </c>
      <c r="AM1" s="16" t="s">
        <v>130</v>
      </c>
      <c r="AN1" s="16" t="s">
        <v>16</v>
      </c>
      <c r="AO1" s="16" t="s">
        <v>131</v>
      </c>
      <c r="AP1" s="16" t="s">
        <v>17</v>
      </c>
      <c r="AQ1" s="16" t="s">
        <v>132</v>
      </c>
      <c r="AR1" s="16" t="s">
        <v>133</v>
      </c>
      <c r="AS1" s="16" t="s">
        <v>134</v>
      </c>
      <c r="AT1" s="22" t="s">
        <v>135</v>
      </c>
      <c r="AU1" s="22" t="s">
        <v>18</v>
      </c>
      <c r="AV1" s="33" t="s">
        <v>18</v>
      </c>
      <c r="AW1" s="23" t="s">
        <v>19</v>
      </c>
      <c r="AX1" s="16" t="s">
        <v>20</v>
      </c>
      <c r="AY1" s="22" t="s">
        <v>21</v>
      </c>
      <c r="AZ1" s="22" t="s">
        <v>22</v>
      </c>
      <c r="BA1" s="16" t="s">
        <v>148</v>
      </c>
      <c r="BB1" s="16" t="s">
        <v>147</v>
      </c>
      <c r="BC1" s="16" t="s">
        <v>23</v>
      </c>
      <c r="BD1" s="24" t="s">
        <v>24</v>
      </c>
    </row>
    <row r="2" spans="1:56" x14ac:dyDescent="0.25">
      <c r="A2" s="6">
        <v>416</v>
      </c>
      <c r="B2" s="25" t="s">
        <v>77</v>
      </c>
      <c r="C2" s="7" t="s">
        <v>78</v>
      </c>
      <c r="D2" s="7" t="s">
        <v>80</v>
      </c>
      <c r="E2" s="7" t="s">
        <v>79</v>
      </c>
      <c r="F2" s="26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7" t="s">
        <v>82</v>
      </c>
      <c r="BD2" s="28">
        <v>46142</v>
      </c>
    </row>
    <row r="3" spans="1:56" x14ac:dyDescent="0.25">
      <c r="A3" s="6">
        <v>901</v>
      </c>
      <c r="B3" s="25" t="s">
        <v>92</v>
      </c>
      <c r="C3" s="7" t="s">
        <v>78</v>
      </c>
      <c r="D3" s="7" t="s">
        <v>93</v>
      </c>
      <c r="E3" s="7" t="s">
        <v>75</v>
      </c>
      <c r="F3" s="26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0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7" t="s">
        <v>72</v>
      </c>
      <c r="BD3" s="28">
        <v>46142</v>
      </c>
    </row>
    <row r="4" spans="1:56" x14ac:dyDescent="0.25">
      <c r="A4" s="6">
        <v>916</v>
      </c>
      <c r="B4" s="25" t="s">
        <v>96</v>
      </c>
      <c r="C4" s="7" t="s">
        <v>78</v>
      </c>
      <c r="D4" s="7" t="s">
        <v>74</v>
      </c>
      <c r="E4" s="7" t="s">
        <v>97</v>
      </c>
      <c r="F4" s="26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7" t="s">
        <v>72</v>
      </c>
      <c r="BD4" s="28">
        <v>46142</v>
      </c>
    </row>
    <row r="5" spans="1:56" x14ac:dyDescent="0.25">
      <c r="A5" s="6">
        <v>752</v>
      </c>
      <c r="B5" s="25" t="s">
        <v>83</v>
      </c>
      <c r="C5" s="7" t="s">
        <v>84</v>
      </c>
      <c r="D5" s="7" t="s">
        <v>78</v>
      </c>
      <c r="E5" s="7" t="s">
        <v>75</v>
      </c>
      <c r="F5" s="26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7" t="s">
        <v>85</v>
      </c>
      <c r="BD5" s="28">
        <v>46142</v>
      </c>
    </row>
    <row r="6" spans="1:56" x14ac:dyDescent="0.25">
      <c r="A6" s="5">
        <v>761</v>
      </c>
      <c r="B6" s="29" t="s">
        <v>86</v>
      </c>
      <c r="C6" s="7" t="s">
        <v>84</v>
      </c>
      <c r="D6" s="7" t="s">
        <v>88</v>
      </c>
      <c r="E6" s="7" t="s">
        <v>87</v>
      </c>
      <c r="F6" s="26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7" t="s">
        <v>85</v>
      </c>
      <c r="BD6" s="28">
        <v>46142</v>
      </c>
    </row>
    <row r="7" spans="1:56" x14ac:dyDescent="0.25">
      <c r="A7" s="6">
        <v>927</v>
      </c>
      <c r="B7" s="29" t="s">
        <v>77</v>
      </c>
      <c r="C7" s="7" t="s">
        <v>84</v>
      </c>
      <c r="D7" s="7" t="s">
        <v>80</v>
      </c>
      <c r="E7" s="7" t="s">
        <v>75</v>
      </c>
      <c r="F7" s="26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7" t="s">
        <v>72</v>
      </c>
      <c r="BD7" s="28">
        <v>46142</v>
      </c>
    </row>
    <row r="8" spans="1:56" x14ac:dyDescent="0.25">
      <c r="A8" s="6">
        <v>930</v>
      </c>
      <c r="B8" s="30" t="s">
        <v>96</v>
      </c>
      <c r="C8" s="7" t="s">
        <v>84</v>
      </c>
      <c r="D8" s="7" t="s">
        <v>74</v>
      </c>
      <c r="E8" s="7" t="s">
        <v>97</v>
      </c>
      <c r="F8" s="26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7" t="s">
        <v>72</v>
      </c>
      <c r="BD8" s="28">
        <v>46142</v>
      </c>
    </row>
    <row r="9" spans="1:56" x14ac:dyDescent="0.25">
      <c r="A9" s="6">
        <v>931</v>
      </c>
      <c r="B9" s="29" t="s">
        <v>83</v>
      </c>
      <c r="C9" s="7" t="s">
        <v>84</v>
      </c>
      <c r="D9" s="7" t="s">
        <v>78</v>
      </c>
      <c r="E9" s="7" t="s">
        <v>103</v>
      </c>
      <c r="F9" s="26">
        <v>90018600</v>
      </c>
      <c r="G9" s="11" t="s">
        <v>45</v>
      </c>
      <c r="H9" s="3">
        <v>26037000</v>
      </c>
      <c r="I9" s="31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7" t="s">
        <v>72</v>
      </c>
      <c r="BD9" s="28">
        <v>46142</v>
      </c>
    </row>
    <row r="10" spans="1:56" x14ac:dyDescent="0.25">
      <c r="A10" s="6">
        <v>932</v>
      </c>
      <c r="B10" s="25" t="s">
        <v>92</v>
      </c>
      <c r="C10" s="7" t="s">
        <v>84</v>
      </c>
      <c r="D10" s="7" t="s">
        <v>93</v>
      </c>
      <c r="E10" s="7" t="s">
        <v>69</v>
      </c>
      <c r="F10" s="26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7" t="s">
        <v>72</v>
      </c>
      <c r="BD10" s="28">
        <v>46142</v>
      </c>
    </row>
    <row r="11" spans="1:56" x14ac:dyDescent="0.25">
      <c r="A11" s="6">
        <v>1027</v>
      </c>
      <c r="B11" s="29" t="s">
        <v>96</v>
      </c>
      <c r="C11" s="7" t="s">
        <v>84</v>
      </c>
      <c r="D11" s="7" t="s">
        <v>74</v>
      </c>
      <c r="E11" s="7" t="s">
        <v>75</v>
      </c>
      <c r="F11" s="26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7" t="s">
        <v>91</v>
      </c>
      <c r="BD11" s="28">
        <v>46142</v>
      </c>
    </row>
    <row r="12" spans="1:56" x14ac:dyDescent="0.25">
      <c r="A12" s="6">
        <v>1045</v>
      </c>
      <c r="B12" s="29" t="s">
        <v>77</v>
      </c>
      <c r="C12" s="7" t="s">
        <v>84</v>
      </c>
      <c r="D12" s="7" t="s">
        <v>80</v>
      </c>
      <c r="E12" s="7" t="s">
        <v>75</v>
      </c>
      <c r="F12" s="26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7" t="s">
        <v>106</v>
      </c>
      <c r="BD12" s="28">
        <v>46142</v>
      </c>
    </row>
    <row r="13" spans="1:56" x14ac:dyDescent="0.25">
      <c r="A13" s="6">
        <v>1060</v>
      </c>
      <c r="B13" s="29" t="s">
        <v>89</v>
      </c>
      <c r="C13" s="7" t="s">
        <v>84</v>
      </c>
      <c r="D13" s="7" t="s">
        <v>90</v>
      </c>
      <c r="E13" s="7" t="s">
        <v>75</v>
      </c>
      <c r="F13" s="26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7" t="s">
        <v>91</v>
      </c>
      <c r="BD13" s="28">
        <v>46142</v>
      </c>
    </row>
    <row r="14" spans="1:56" x14ac:dyDescent="0.25">
      <c r="A14" s="6">
        <v>233</v>
      </c>
      <c r="B14" s="25" t="s">
        <v>67</v>
      </c>
      <c r="C14" s="7" t="s">
        <v>74</v>
      </c>
      <c r="D14" s="7" t="s">
        <v>70</v>
      </c>
      <c r="E14" s="7" t="s">
        <v>75</v>
      </c>
      <c r="F14" s="26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7" t="s">
        <v>72</v>
      </c>
      <c r="BD14" s="28">
        <v>46142</v>
      </c>
    </row>
    <row r="15" spans="1:56" x14ac:dyDescent="0.25">
      <c r="A15" s="6">
        <v>928</v>
      </c>
      <c r="B15" s="30" t="s">
        <v>83</v>
      </c>
      <c r="C15" s="7" t="s">
        <v>74</v>
      </c>
      <c r="D15" s="7" t="s">
        <v>78</v>
      </c>
      <c r="E15" s="7" t="s">
        <v>75</v>
      </c>
      <c r="F15" s="26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7" t="s">
        <v>72</v>
      </c>
      <c r="BD15" s="28">
        <v>46142</v>
      </c>
    </row>
    <row r="16" spans="1:56" x14ac:dyDescent="0.25">
      <c r="A16" s="6">
        <v>926</v>
      </c>
      <c r="B16" s="25" t="s">
        <v>100</v>
      </c>
      <c r="C16" s="7" t="s">
        <v>88</v>
      </c>
      <c r="D16" s="7" t="s">
        <v>101</v>
      </c>
      <c r="E16" s="7" t="s">
        <v>79</v>
      </c>
      <c r="F16" s="26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7" t="s">
        <v>102</v>
      </c>
      <c r="BD16" s="28">
        <v>46142</v>
      </c>
    </row>
    <row r="17" spans="1:56" x14ac:dyDescent="0.25">
      <c r="A17" s="6">
        <v>981</v>
      </c>
      <c r="B17" s="25" t="s">
        <v>100</v>
      </c>
      <c r="C17" s="7" t="s">
        <v>88</v>
      </c>
      <c r="D17" s="7" t="s">
        <v>104</v>
      </c>
      <c r="E17" s="7" t="s">
        <v>79</v>
      </c>
      <c r="F17" s="26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7" t="s">
        <v>72</v>
      </c>
      <c r="BD17" s="28">
        <v>46142</v>
      </c>
    </row>
    <row r="18" spans="1:56" x14ac:dyDescent="0.25">
      <c r="A18" s="6">
        <v>120</v>
      </c>
      <c r="B18" s="25" t="s">
        <v>67</v>
      </c>
      <c r="C18" s="7" t="s">
        <v>68</v>
      </c>
      <c r="D18" s="7" t="s">
        <v>70</v>
      </c>
      <c r="E18" s="7" t="s">
        <v>69</v>
      </c>
      <c r="F18" s="26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7" t="s">
        <v>72</v>
      </c>
      <c r="BD18" s="28">
        <v>46142</v>
      </c>
    </row>
    <row r="19" spans="1:56" x14ac:dyDescent="0.25">
      <c r="A19" s="6">
        <v>915</v>
      </c>
      <c r="B19" s="25" t="s">
        <v>92</v>
      </c>
      <c r="C19" s="7" t="s">
        <v>68</v>
      </c>
      <c r="D19" s="7" t="s">
        <v>93</v>
      </c>
      <c r="E19" s="7" t="s">
        <v>69</v>
      </c>
      <c r="F19" s="26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7" t="s">
        <v>72</v>
      </c>
      <c r="BD19" s="28">
        <v>46142</v>
      </c>
    </row>
    <row r="20" spans="1:56" x14ac:dyDescent="0.25">
      <c r="A20" s="6">
        <v>917</v>
      </c>
      <c r="B20" s="25" t="s">
        <v>77</v>
      </c>
      <c r="C20" s="7" t="s">
        <v>68</v>
      </c>
      <c r="D20" s="7" t="s">
        <v>66</v>
      </c>
      <c r="E20" s="7" t="s">
        <v>97</v>
      </c>
      <c r="F20" s="26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7" t="s">
        <v>72</v>
      </c>
      <c r="BD20" s="28">
        <v>46142</v>
      </c>
    </row>
    <row r="21" spans="1:56" x14ac:dyDescent="0.25">
      <c r="A21" s="6">
        <v>918</v>
      </c>
      <c r="B21" s="29" t="s">
        <v>96</v>
      </c>
      <c r="C21" s="7" t="s">
        <v>68</v>
      </c>
      <c r="D21" s="7" t="s">
        <v>74</v>
      </c>
      <c r="E21" s="7" t="s">
        <v>75</v>
      </c>
      <c r="F21" s="26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7" t="s">
        <v>72</v>
      </c>
      <c r="BD21" s="28">
        <v>46142</v>
      </c>
    </row>
    <row r="22" spans="1:56" x14ac:dyDescent="0.25">
      <c r="A22" s="6">
        <v>925</v>
      </c>
      <c r="B22" s="29" t="s">
        <v>83</v>
      </c>
      <c r="C22" s="7" t="s">
        <v>68</v>
      </c>
      <c r="D22" s="7" t="s">
        <v>78</v>
      </c>
      <c r="E22" s="7" t="s">
        <v>69</v>
      </c>
      <c r="F22" s="26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7" t="s">
        <v>72</v>
      </c>
      <c r="BD22" s="28">
        <v>46142</v>
      </c>
    </row>
    <row r="23" spans="1:56" x14ac:dyDescent="0.25">
      <c r="A23" s="6">
        <v>121</v>
      </c>
      <c r="B23" s="25" t="s">
        <v>67</v>
      </c>
      <c r="C23" s="7" t="s">
        <v>73</v>
      </c>
      <c r="D23" s="7" t="s">
        <v>70</v>
      </c>
      <c r="E23" s="7" t="s">
        <v>69</v>
      </c>
      <c r="F23" s="26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7" t="s">
        <v>72</v>
      </c>
      <c r="BD23" s="28">
        <v>46142</v>
      </c>
    </row>
    <row r="24" spans="1:56" x14ac:dyDescent="0.25">
      <c r="A24" s="6">
        <v>912</v>
      </c>
      <c r="B24" s="25" t="s">
        <v>83</v>
      </c>
      <c r="C24" s="7" t="s">
        <v>73</v>
      </c>
      <c r="D24" s="7" t="s">
        <v>78</v>
      </c>
      <c r="E24" s="7" t="s">
        <v>69</v>
      </c>
      <c r="F24" s="26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7" t="s">
        <v>72</v>
      </c>
      <c r="BD24" s="28">
        <v>46142</v>
      </c>
    </row>
    <row r="25" spans="1:56" x14ac:dyDescent="0.25">
      <c r="A25" s="6">
        <v>920</v>
      </c>
      <c r="B25" s="29" t="s">
        <v>96</v>
      </c>
      <c r="C25" s="7" t="s">
        <v>73</v>
      </c>
      <c r="D25" s="7" t="s">
        <v>74</v>
      </c>
      <c r="E25" s="7" t="s">
        <v>75</v>
      </c>
      <c r="F25" s="26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7" t="s">
        <v>72</v>
      </c>
      <c r="BD25" s="28">
        <v>46142</v>
      </c>
    </row>
    <row r="26" spans="1:56" x14ac:dyDescent="0.25">
      <c r="A26" s="6">
        <v>921</v>
      </c>
      <c r="B26" s="29" t="s">
        <v>77</v>
      </c>
      <c r="C26" s="7" t="s">
        <v>73</v>
      </c>
      <c r="D26" s="7" t="s">
        <v>66</v>
      </c>
      <c r="E26" s="7" t="s">
        <v>75</v>
      </c>
      <c r="F26" s="26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7" t="s">
        <v>72</v>
      </c>
      <c r="BD26" s="28">
        <v>46142</v>
      </c>
    </row>
    <row r="27" spans="1:56" x14ac:dyDescent="0.25">
      <c r="A27" s="6">
        <v>1001</v>
      </c>
      <c r="B27" s="29" t="s">
        <v>83</v>
      </c>
      <c r="C27" s="7" t="s">
        <v>105</v>
      </c>
      <c r="D27" s="7" t="s">
        <v>78</v>
      </c>
      <c r="E27" s="7" t="s">
        <v>75</v>
      </c>
      <c r="F27" s="26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7" t="s">
        <v>106</v>
      </c>
      <c r="BD27" s="28">
        <v>46142</v>
      </c>
    </row>
    <row r="28" spans="1:56" x14ac:dyDescent="0.25">
      <c r="A28" s="6">
        <v>1063</v>
      </c>
      <c r="B28" s="29" t="s">
        <v>77</v>
      </c>
      <c r="C28" s="7" t="s">
        <v>105</v>
      </c>
      <c r="D28" s="7" t="s">
        <v>80</v>
      </c>
      <c r="E28" s="7" t="s">
        <v>75</v>
      </c>
      <c r="F28" s="26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7" t="s">
        <v>106</v>
      </c>
      <c r="BD28" s="28">
        <v>46142</v>
      </c>
    </row>
    <row r="29" spans="1:56" x14ac:dyDescent="0.25">
      <c r="A29" s="6">
        <v>1005</v>
      </c>
      <c r="B29" s="29" t="s">
        <v>107</v>
      </c>
      <c r="C29" s="7" t="s">
        <v>108</v>
      </c>
      <c r="D29" s="7" t="s">
        <v>109</v>
      </c>
      <c r="E29" s="7" t="s">
        <v>75</v>
      </c>
      <c r="F29" s="26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7" t="s">
        <v>91</v>
      </c>
      <c r="BD29" s="28">
        <v>46142</v>
      </c>
    </row>
    <row r="30" spans="1:56" x14ac:dyDescent="0.25">
      <c r="A30" s="6">
        <v>1006</v>
      </c>
      <c r="B30" s="29" t="s">
        <v>110</v>
      </c>
      <c r="C30" s="7" t="s">
        <v>108</v>
      </c>
      <c r="D30" s="7" t="s">
        <v>111</v>
      </c>
      <c r="E30" s="7" t="s">
        <v>75</v>
      </c>
      <c r="F30" s="26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7" t="s">
        <v>91</v>
      </c>
      <c r="BD30" s="28">
        <v>46142</v>
      </c>
    </row>
    <row r="31" spans="1:56" x14ac:dyDescent="0.25">
      <c r="A31" s="6">
        <v>1007</v>
      </c>
      <c r="B31" s="29" t="s">
        <v>110</v>
      </c>
      <c r="C31" s="7" t="s">
        <v>108</v>
      </c>
      <c r="D31" s="7" t="s">
        <v>98</v>
      </c>
      <c r="E31" s="7" t="s">
        <v>103</v>
      </c>
      <c r="F31" s="26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7" t="s">
        <v>91</v>
      </c>
      <c r="BD31" s="28">
        <v>46142</v>
      </c>
    </row>
    <row r="32" spans="1:56" x14ac:dyDescent="0.25">
      <c r="A32" s="6">
        <v>1008</v>
      </c>
      <c r="B32" s="29" t="s">
        <v>92</v>
      </c>
      <c r="C32" s="7" t="s">
        <v>108</v>
      </c>
      <c r="D32" s="7" t="s">
        <v>93</v>
      </c>
      <c r="E32" s="7" t="s">
        <v>69</v>
      </c>
      <c r="F32" s="26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7" t="s">
        <v>91</v>
      </c>
      <c r="BD32" s="28">
        <v>46142</v>
      </c>
    </row>
    <row r="33" spans="1:56" x14ac:dyDescent="0.25">
      <c r="A33" s="6">
        <v>1009</v>
      </c>
      <c r="B33" s="29" t="s">
        <v>112</v>
      </c>
      <c r="C33" s="7" t="s">
        <v>108</v>
      </c>
      <c r="D33" s="7" t="s">
        <v>113</v>
      </c>
      <c r="E33" s="7" t="s">
        <v>75</v>
      </c>
      <c r="F33" s="26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7" t="s">
        <v>91</v>
      </c>
      <c r="BD33" s="28">
        <v>46142</v>
      </c>
    </row>
    <row r="34" spans="1:56" x14ac:dyDescent="0.25">
      <c r="A34" s="6">
        <v>1010</v>
      </c>
      <c r="B34" s="29" t="s">
        <v>77</v>
      </c>
      <c r="C34" s="7" t="s">
        <v>108</v>
      </c>
      <c r="D34" s="7" t="s">
        <v>80</v>
      </c>
      <c r="E34" s="7" t="s">
        <v>75</v>
      </c>
      <c r="F34" s="26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1" si="20">+IF(I34="SFK Freight Forwarder",0,9)</f>
        <v>0</v>
      </c>
      <c r="N34" s="4">
        <v>14</v>
      </c>
      <c r="O34" s="4">
        <f t="shared" ref="O34:O52" si="21">IF(I34="SFK Freight Forwarder",0,M34+N34-1)</f>
        <v>0</v>
      </c>
      <c r="P34" s="4">
        <f t="shared" ref="P34:P51" si="22">+IF(I34="SFK Freight Forwarder",0,5)</f>
        <v>0</v>
      </c>
      <c r="Q34" s="4">
        <f t="shared" ref="Q34:Q51" si="23">+IF(I34="SFK Freight Forwarder",0,O34+P34-1)</f>
        <v>0</v>
      </c>
      <c r="R34" s="4">
        <f t="shared" ref="R34:R51" si="24">9+N34</f>
        <v>23</v>
      </c>
      <c r="S34" s="4">
        <v>7</v>
      </c>
      <c r="T34" s="4">
        <f t="shared" ref="T34:T51" si="25">+R34+S34-1</f>
        <v>29</v>
      </c>
      <c r="U34" s="4">
        <f t="shared" ref="U34:U51" si="26">+T34+1</f>
        <v>30</v>
      </c>
      <c r="V34" s="4">
        <v>1</v>
      </c>
      <c r="W34" s="4">
        <f t="shared" ref="W34:W51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1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2" si="35">+AO34+AP34</f>
        <v>107</v>
      </c>
      <c r="AR34" s="4">
        <f t="shared" ref="AR34:AR51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7" t="s">
        <v>91</v>
      </c>
      <c r="BD34" s="28">
        <v>46142</v>
      </c>
    </row>
    <row r="35" spans="1:56" x14ac:dyDescent="0.25">
      <c r="A35" s="6">
        <v>1012</v>
      </c>
      <c r="B35" s="29" t="s">
        <v>83</v>
      </c>
      <c r="C35" s="7" t="s">
        <v>108</v>
      </c>
      <c r="D35" s="7" t="s">
        <v>78</v>
      </c>
      <c r="E35" s="7" t="s">
        <v>75</v>
      </c>
      <c r="F35" s="26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7" t="s">
        <v>91</v>
      </c>
      <c r="BD35" s="28">
        <v>46142</v>
      </c>
    </row>
    <row r="36" spans="1:56" x14ac:dyDescent="0.25">
      <c r="A36" s="6">
        <v>1034</v>
      </c>
      <c r="B36" s="29" t="s">
        <v>96</v>
      </c>
      <c r="C36" s="7" t="s">
        <v>108</v>
      </c>
      <c r="D36" s="7" t="s">
        <v>74</v>
      </c>
      <c r="E36" s="7" t="s">
        <v>75</v>
      </c>
      <c r="F36" s="26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7" t="s">
        <v>91</v>
      </c>
      <c r="BD36" s="28">
        <v>46142</v>
      </c>
    </row>
    <row r="37" spans="1:56" x14ac:dyDescent="0.25">
      <c r="A37" s="6">
        <v>1037</v>
      </c>
      <c r="B37" s="29" t="s">
        <v>100</v>
      </c>
      <c r="C37" s="7" t="s">
        <v>108</v>
      </c>
      <c r="D37" s="7" t="s">
        <v>101</v>
      </c>
      <c r="E37" s="7" t="s">
        <v>75</v>
      </c>
      <c r="F37" s="26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7" t="s">
        <v>91</v>
      </c>
      <c r="BD37" s="28">
        <v>46142</v>
      </c>
    </row>
    <row r="38" spans="1:56" x14ac:dyDescent="0.25">
      <c r="A38" s="6">
        <v>1040</v>
      </c>
      <c r="B38" s="29" t="s">
        <v>89</v>
      </c>
      <c r="C38" s="7" t="s">
        <v>108</v>
      </c>
      <c r="D38" s="7" t="s">
        <v>90</v>
      </c>
      <c r="E38" s="7" t="s">
        <v>103</v>
      </c>
      <c r="F38" s="26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7" t="s">
        <v>91</v>
      </c>
      <c r="BD38" s="28">
        <v>46142</v>
      </c>
    </row>
    <row r="39" spans="1:56" x14ac:dyDescent="0.25">
      <c r="A39" s="6">
        <v>1029</v>
      </c>
      <c r="B39" s="29" t="s">
        <v>92</v>
      </c>
      <c r="C39" s="7" t="s">
        <v>116</v>
      </c>
      <c r="D39" s="7" t="s">
        <v>93</v>
      </c>
      <c r="E39" s="7" t="s">
        <v>103</v>
      </c>
      <c r="F39" s="26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7" t="s">
        <v>106</v>
      </c>
      <c r="BD39" s="28">
        <v>46142</v>
      </c>
    </row>
    <row r="40" spans="1:56" x14ac:dyDescent="0.25">
      <c r="A40" s="6">
        <v>1032</v>
      </c>
      <c r="B40" s="29" t="s">
        <v>96</v>
      </c>
      <c r="C40" s="7" t="s">
        <v>116</v>
      </c>
      <c r="D40" s="7" t="s">
        <v>117</v>
      </c>
      <c r="E40" s="7" t="s">
        <v>103</v>
      </c>
      <c r="F40" s="26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7" t="s">
        <v>106</v>
      </c>
      <c r="BD40" s="28">
        <v>46142</v>
      </c>
    </row>
    <row r="41" spans="1:56" x14ac:dyDescent="0.25">
      <c r="A41" s="6">
        <v>1033</v>
      </c>
      <c r="B41" s="29" t="s">
        <v>86</v>
      </c>
      <c r="C41" s="7" t="s">
        <v>116</v>
      </c>
      <c r="D41" s="7" t="s">
        <v>88</v>
      </c>
      <c r="E41" s="7" t="s">
        <v>87</v>
      </c>
      <c r="F41" s="26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7" t="s">
        <v>91</v>
      </c>
      <c r="BD41" s="28">
        <v>46142</v>
      </c>
    </row>
    <row r="42" spans="1:56" x14ac:dyDescent="0.25">
      <c r="A42" s="6">
        <v>904</v>
      </c>
      <c r="B42" s="29" t="s">
        <v>77</v>
      </c>
      <c r="C42" s="7" t="s">
        <v>94</v>
      </c>
      <c r="D42" s="7" t="s">
        <v>66</v>
      </c>
      <c r="E42" s="7" t="s">
        <v>75</v>
      </c>
      <c r="F42" s="26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7" t="s">
        <v>72</v>
      </c>
      <c r="BD42" s="28">
        <v>46142</v>
      </c>
    </row>
    <row r="43" spans="1:56" x14ac:dyDescent="0.25">
      <c r="A43" s="6">
        <v>906</v>
      </c>
      <c r="B43" s="29" t="s">
        <v>83</v>
      </c>
      <c r="C43" s="7" t="s">
        <v>94</v>
      </c>
      <c r="D43" s="7" t="s">
        <v>78</v>
      </c>
      <c r="E43" s="7" t="s">
        <v>75</v>
      </c>
      <c r="F43" s="26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7" t="s">
        <v>72</v>
      </c>
      <c r="BD43" s="28">
        <v>46142</v>
      </c>
    </row>
    <row r="44" spans="1:56" x14ac:dyDescent="0.25">
      <c r="A44" s="6">
        <v>924</v>
      </c>
      <c r="B44" s="25" t="s">
        <v>92</v>
      </c>
      <c r="C44" s="7" t="s">
        <v>98</v>
      </c>
      <c r="D44" s="7" t="s">
        <v>93</v>
      </c>
      <c r="E44" s="7" t="s">
        <v>99</v>
      </c>
      <c r="F44" s="26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7" t="s">
        <v>82</v>
      </c>
      <c r="BD44" s="28">
        <v>46142</v>
      </c>
    </row>
    <row r="45" spans="1:56" x14ac:dyDescent="0.25">
      <c r="A45" s="6">
        <v>1014</v>
      </c>
      <c r="B45" s="29" t="s">
        <v>107</v>
      </c>
      <c r="C45" s="7" t="s">
        <v>114</v>
      </c>
      <c r="D45" s="7" t="s">
        <v>115</v>
      </c>
      <c r="E45" s="7" t="s">
        <v>69</v>
      </c>
      <c r="F45" s="26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7" t="s">
        <v>91</v>
      </c>
      <c r="BD45" s="28">
        <v>46142</v>
      </c>
    </row>
    <row r="46" spans="1:56" x14ac:dyDescent="0.25">
      <c r="A46" s="6">
        <v>1015</v>
      </c>
      <c r="B46" s="29" t="s">
        <v>83</v>
      </c>
      <c r="C46" s="7" t="s">
        <v>114</v>
      </c>
      <c r="D46" s="7" t="s">
        <v>78</v>
      </c>
      <c r="E46" s="7" t="s">
        <v>69</v>
      </c>
      <c r="F46" s="26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7" t="s">
        <v>91</v>
      </c>
      <c r="BD46" s="28">
        <v>46142</v>
      </c>
    </row>
    <row r="47" spans="1:56" x14ac:dyDescent="0.25">
      <c r="A47" s="6">
        <v>1036</v>
      </c>
      <c r="B47" s="29" t="s">
        <v>96</v>
      </c>
      <c r="C47" s="7" t="s">
        <v>114</v>
      </c>
      <c r="D47" s="7" t="s">
        <v>74</v>
      </c>
      <c r="E47" s="7" t="s">
        <v>97</v>
      </c>
      <c r="F47" s="26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7" t="s">
        <v>91</v>
      </c>
      <c r="BD47" s="28">
        <v>46142</v>
      </c>
    </row>
    <row r="48" spans="1:56" x14ac:dyDescent="0.25">
      <c r="A48" s="6">
        <v>1084</v>
      </c>
      <c r="B48" s="29" t="s">
        <v>83</v>
      </c>
      <c r="C48" s="7" t="s">
        <v>118</v>
      </c>
      <c r="D48" s="7" t="s">
        <v>78</v>
      </c>
      <c r="E48" s="7" t="s">
        <v>69</v>
      </c>
      <c r="F48" s="26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8</v>
      </c>
      <c r="Y48" s="4">
        <f t="shared" si="28"/>
        <v>36</v>
      </c>
      <c r="Z48" s="7">
        <f>+Y48+X48-6</f>
        <v>38</v>
      </c>
      <c r="AA48" s="7">
        <f t="shared" si="29"/>
        <v>40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74</v>
      </c>
      <c r="AG48" s="7">
        <v>3</v>
      </c>
      <c r="AH48" s="7">
        <f t="shared" si="31"/>
        <v>77</v>
      </c>
      <c r="AI48" s="4">
        <v>0</v>
      </c>
      <c r="AJ48" s="4">
        <f t="shared" si="32"/>
        <v>77</v>
      </c>
      <c r="AK48" s="4" t="s">
        <v>81</v>
      </c>
      <c r="AL48" s="4">
        <v>2</v>
      </c>
      <c r="AM48" s="4">
        <f t="shared" si="33"/>
        <v>79</v>
      </c>
      <c r="AN48" s="4">
        <v>2</v>
      </c>
      <c r="AO48" s="4">
        <f t="shared" si="34"/>
        <v>81</v>
      </c>
      <c r="AP48" s="4">
        <v>3</v>
      </c>
      <c r="AQ48" s="4">
        <f t="shared" si="35"/>
        <v>84</v>
      </c>
      <c r="AR48" s="4">
        <f t="shared" si="36"/>
        <v>91</v>
      </c>
      <c r="AS48" s="4">
        <f t="shared" si="37"/>
        <v>98</v>
      </c>
      <c r="AT48" s="4">
        <v>0</v>
      </c>
      <c r="AU48" s="4">
        <f t="shared" si="38"/>
        <v>17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7" t="s">
        <v>106</v>
      </c>
      <c r="BD48" s="28">
        <v>46142</v>
      </c>
    </row>
    <row r="49" spans="1:56" x14ac:dyDescent="0.25">
      <c r="A49" s="6">
        <v>908</v>
      </c>
      <c r="B49" s="30" t="s">
        <v>83</v>
      </c>
      <c r="C49" s="7" t="s">
        <v>93</v>
      </c>
      <c r="D49" s="7" t="s">
        <v>78</v>
      </c>
      <c r="E49" s="7" t="s">
        <v>79</v>
      </c>
      <c r="F49" s="26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7" t="s">
        <v>72</v>
      </c>
      <c r="BD49" s="28">
        <v>46142</v>
      </c>
    </row>
    <row r="50" spans="1:56" x14ac:dyDescent="0.25">
      <c r="A50" s="6">
        <v>907</v>
      </c>
      <c r="B50" s="30" t="s">
        <v>83</v>
      </c>
      <c r="C50" s="7" t="s">
        <v>66</v>
      </c>
      <c r="D50" s="7" t="s">
        <v>78</v>
      </c>
      <c r="E50" s="7" t="s">
        <v>75</v>
      </c>
      <c r="F50" s="26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2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7" t="s">
        <v>72</v>
      </c>
      <c r="BD50" s="28">
        <v>46142</v>
      </c>
    </row>
    <row r="51" spans="1:56" s="13" customFormat="1" x14ac:dyDescent="0.25">
      <c r="A51" s="6">
        <v>1085</v>
      </c>
      <c r="B51" s="30" t="s">
        <v>154</v>
      </c>
      <c r="C51" s="32" t="s">
        <v>84</v>
      </c>
      <c r="D51" s="7" t="s">
        <v>155</v>
      </c>
      <c r="E51" s="32" t="s">
        <v>103</v>
      </c>
      <c r="F51" s="26">
        <v>90016500</v>
      </c>
      <c r="G51" s="32" t="s">
        <v>156</v>
      </c>
      <c r="H51" s="3">
        <v>0</v>
      </c>
      <c r="I51" s="5" t="s">
        <v>32</v>
      </c>
      <c r="J51" s="3">
        <v>29159</v>
      </c>
      <c r="K51" s="32" t="s">
        <v>157</v>
      </c>
      <c r="L51" s="4">
        <v>5</v>
      </c>
      <c r="M51" s="4">
        <f t="shared" si="20"/>
        <v>0</v>
      </c>
      <c r="N51" s="32">
        <v>4</v>
      </c>
      <c r="O51" s="4">
        <f t="shared" si="21"/>
        <v>0</v>
      </c>
      <c r="P51" s="4">
        <f t="shared" si="22"/>
        <v>0</v>
      </c>
      <c r="Q51" s="4">
        <f t="shared" si="23"/>
        <v>0</v>
      </c>
      <c r="R51" s="32">
        <f t="shared" si="24"/>
        <v>13</v>
      </c>
      <c r="S51" s="32">
        <v>4</v>
      </c>
      <c r="T51" s="32">
        <f t="shared" si="25"/>
        <v>16</v>
      </c>
      <c r="U51" s="32">
        <f t="shared" si="26"/>
        <v>17</v>
      </c>
      <c r="V51" s="32">
        <v>7</v>
      </c>
      <c r="W51" s="32">
        <f t="shared" si="27"/>
        <v>23</v>
      </c>
      <c r="X51" s="32">
        <v>5</v>
      </c>
      <c r="Y51" s="4">
        <f t="shared" si="28"/>
        <v>26</v>
      </c>
      <c r="Z51" s="32">
        <v>29</v>
      </c>
      <c r="AA51" s="7">
        <f t="shared" si="29"/>
        <v>32</v>
      </c>
      <c r="AB51" s="32">
        <v>4</v>
      </c>
      <c r="AC51" s="32"/>
      <c r="AD51" s="32"/>
      <c r="AE51" s="32">
        <v>57</v>
      </c>
      <c r="AF51" s="32">
        <f t="shared" si="30"/>
        <v>88</v>
      </c>
      <c r="AG51" s="32">
        <v>3</v>
      </c>
      <c r="AH51" s="32">
        <f t="shared" si="31"/>
        <v>91</v>
      </c>
      <c r="AI51" s="32">
        <v>7</v>
      </c>
      <c r="AJ51" s="32">
        <f t="shared" si="32"/>
        <v>98</v>
      </c>
      <c r="AK51" s="32"/>
      <c r="AL51" s="32">
        <v>3</v>
      </c>
      <c r="AM51" s="32">
        <f t="shared" si="33"/>
        <v>101</v>
      </c>
      <c r="AN51" s="32">
        <v>2</v>
      </c>
      <c r="AO51" s="32">
        <f t="shared" si="34"/>
        <v>103</v>
      </c>
      <c r="AP51" s="32">
        <v>2</v>
      </c>
      <c r="AQ51" s="32">
        <f t="shared" si="35"/>
        <v>105</v>
      </c>
      <c r="AR51" s="32">
        <f t="shared" si="36"/>
        <v>112</v>
      </c>
      <c r="AS51" s="32">
        <f t="shared" si="37"/>
        <v>133</v>
      </c>
      <c r="AT51" s="32">
        <v>14</v>
      </c>
      <c r="AU51" s="4">
        <f t="shared" si="38"/>
        <v>19</v>
      </c>
      <c r="AV51" s="32"/>
      <c r="AW51" s="32">
        <f>+AE51+AG51+AI51</f>
        <v>67</v>
      </c>
      <c r="AX51" s="32">
        <f>+AQ51-R51+1</f>
        <v>93</v>
      </c>
      <c r="AY51" s="32">
        <f>+AQ51-L51+1</f>
        <v>101</v>
      </c>
      <c r="AZ51" s="32"/>
      <c r="BA51" s="32" t="s">
        <v>152</v>
      </c>
      <c r="BB51" s="32" t="s">
        <v>150</v>
      </c>
      <c r="BC51" s="27" t="s">
        <v>72</v>
      </c>
      <c r="BD51" s="28">
        <v>46143</v>
      </c>
    </row>
    <row r="52" spans="1:56" s="13" customFormat="1" x14ac:dyDescent="0.25">
      <c r="A52" s="6" t="s">
        <v>158</v>
      </c>
      <c r="B52" s="30" t="s">
        <v>96</v>
      </c>
      <c r="C52" s="32" t="s">
        <v>84</v>
      </c>
      <c r="D52" s="7" t="s">
        <v>74</v>
      </c>
      <c r="E52" s="32" t="s">
        <v>159</v>
      </c>
      <c r="F52" s="26">
        <v>91017700</v>
      </c>
      <c r="G52" s="10" t="s">
        <v>41</v>
      </c>
      <c r="H52" s="3">
        <v>0</v>
      </c>
      <c r="I52" s="5" t="s">
        <v>160</v>
      </c>
      <c r="J52" s="3">
        <v>29159</v>
      </c>
      <c r="K52" s="32" t="s">
        <v>161</v>
      </c>
      <c r="L52" s="4">
        <v>7</v>
      </c>
      <c r="M52" s="4">
        <v>0</v>
      </c>
      <c r="N52" s="32">
        <v>0</v>
      </c>
      <c r="O52" s="4">
        <v>0</v>
      </c>
      <c r="P52" s="4">
        <v>0</v>
      </c>
      <c r="Q52" s="4">
        <v>0</v>
      </c>
      <c r="R52" s="32">
        <v>0</v>
      </c>
      <c r="S52" s="32">
        <v>0</v>
      </c>
      <c r="T52" s="32">
        <v>0</v>
      </c>
      <c r="U52" s="32">
        <v>7</v>
      </c>
      <c r="V52" s="32">
        <v>7</v>
      </c>
      <c r="W52" s="32">
        <v>14</v>
      </c>
      <c r="X52" s="32">
        <v>1</v>
      </c>
      <c r="Y52" s="4">
        <v>15</v>
      </c>
      <c r="Z52" s="32">
        <v>18</v>
      </c>
      <c r="AA52" s="7">
        <v>19</v>
      </c>
      <c r="AB52" s="32">
        <v>4</v>
      </c>
      <c r="AC52" s="32"/>
      <c r="AD52" s="32"/>
      <c r="AE52" s="32">
        <v>41</v>
      </c>
      <c r="AF52" s="32">
        <f t="shared" ref="AF52" si="39">+AE52+AA52-1</f>
        <v>59</v>
      </c>
      <c r="AG52" s="32">
        <v>3</v>
      </c>
      <c r="AH52" s="32">
        <f t="shared" ref="AH52" si="40">+AF52+AG52</f>
        <v>62</v>
      </c>
      <c r="AI52" s="32">
        <v>0</v>
      </c>
      <c r="AJ52" s="32">
        <f t="shared" ref="AJ52" si="41">+AI52+AH52</f>
        <v>62</v>
      </c>
      <c r="AK52" s="32"/>
      <c r="AL52" s="32">
        <v>3</v>
      </c>
      <c r="AM52" s="32">
        <f t="shared" ref="AM52" si="42">+AJ52+AL52</f>
        <v>65</v>
      </c>
      <c r="AN52" s="32">
        <v>2</v>
      </c>
      <c r="AO52" s="32">
        <f t="shared" ref="AO52" si="43">+AM52+AN52</f>
        <v>67</v>
      </c>
      <c r="AP52" s="32">
        <v>2</v>
      </c>
      <c r="AQ52" s="32">
        <v>0</v>
      </c>
      <c r="AR52" s="32">
        <v>0</v>
      </c>
      <c r="AS52" s="32">
        <f t="shared" ref="AS52" si="44">+AR52+7+AT52</f>
        <v>21</v>
      </c>
      <c r="AT52" s="32">
        <v>14</v>
      </c>
      <c r="AU52" s="4">
        <f t="shared" ref="AU52" si="45">+AA52-R52</f>
        <v>19</v>
      </c>
      <c r="AV52" s="32"/>
      <c r="AW52" s="32">
        <f>+AE52+AG52+AI52</f>
        <v>44</v>
      </c>
      <c r="AX52" s="32">
        <f>+AQ52-R52+1</f>
        <v>1</v>
      </c>
      <c r="AY52" s="32">
        <f>+AU52+AW52+4</f>
        <v>67</v>
      </c>
      <c r="AZ52" s="32"/>
      <c r="BA52" s="32" t="s">
        <v>152</v>
      </c>
      <c r="BB52" s="32" t="s">
        <v>150</v>
      </c>
      <c r="BC52" s="27" t="s">
        <v>72</v>
      </c>
      <c r="BD52" s="28">
        <v>46143</v>
      </c>
    </row>
  </sheetData>
  <sheetProtection formatCells="0" formatColumns="0" formatRows="0" sort="0" autoFilter="0"/>
  <phoneticPr fontId="8" type="noConversion"/>
  <dataValidations count="3">
    <dataValidation type="list" allowBlank="1" showInputMessage="1" showErrorMessage="1" sqref="C2:E10 K2:K10 K14:K1048195 C14:E1048195" xr:uid="{833F6030-824F-4AAE-BA3C-131D886541AF}">
      <formula1>shippername</formula1>
    </dataValidation>
    <dataValidation type="list" allowBlank="1" showInputMessage="1" showErrorMessage="1" sqref="I2:K52 C2:E1048195 H53:K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2026-03-05T12:19:34Z</dcterms:modified>
</cp:coreProperties>
</file>