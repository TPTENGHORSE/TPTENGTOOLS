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E1214FC8-FC25-485B-8D86-8B3F6DC0483B}" xr6:coauthVersionLast="47" xr6:coauthVersionMax="47" xr10:uidLastSave="{00000000-0000-0000-0000-000000000000}"/>
  <bookViews>
    <workbookView xWindow="19090" yWindow="-1340" windowWidth="19420" windowHeight="1150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55" i="1"/>
  <c r="U55" i="1"/>
  <c r="W55" i="1" s="1"/>
  <c r="AA53" i="1"/>
  <c r="AU53" i="1" s="1"/>
  <c r="M53" i="1"/>
  <c r="O53" i="1" s="1"/>
  <c r="Q53" i="1" s="1"/>
  <c r="Q55" i="1" l="1"/>
  <c r="AU55" i="1"/>
  <c r="AH55" i="1"/>
  <c r="AJ55" i="1" s="1"/>
  <c r="AM55" i="1" s="1"/>
  <c r="AO55" i="1" s="1"/>
  <c r="AQ55" i="1" s="1"/>
  <c r="AR55" i="1" s="1"/>
  <c r="AS55" i="1" s="1"/>
  <c r="AF53" i="1"/>
  <c r="AH53" i="1" s="1"/>
  <c r="AJ53" i="1" s="1"/>
  <c r="AM53" i="1" s="1"/>
  <c r="AO53" i="1" s="1"/>
  <c r="AQ53" i="1" s="1"/>
  <c r="AR53" i="1" s="1"/>
  <c r="AS53" i="1" s="1"/>
  <c r="AA41" i="1"/>
  <c r="R41" i="1"/>
  <c r="T41" i="1" s="1"/>
  <c r="U41" i="1" s="1"/>
  <c r="W41" i="1" s="1"/>
  <c r="P41" i="1"/>
  <c r="M41" i="1"/>
  <c r="O41" i="1" s="1"/>
  <c r="Q41" i="1" l="1"/>
  <c r="AU41" i="1"/>
  <c r="AF41" i="1"/>
  <c r="AH41" i="1" s="1"/>
  <c r="AJ41" i="1" s="1"/>
  <c r="AM41" i="1" s="1"/>
  <c r="AO41" i="1" s="1"/>
  <c r="AQ41" i="1" s="1"/>
  <c r="AR41" i="1" s="1"/>
  <c r="AS4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4" i="1"/>
  <c r="AA54" i="1" s="1"/>
  <c r="M54" i="1"/>
  <c r="O54" i="1" s="1"/>
  <c r="Q54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4" i="1" l="1"/>
  <c r="AF54" i="1"/>
  <c r="AH54" i="1" s="1"/>
  <c r="AJ54" i="1" s="1"/>
  <c r="AM54" i="1" s="1"/>
  <c r="AO54" i="1" s="1"/>
  <c r="AQ54" i="1" s="1"/>
  <c r="AR54" i="1" s="1"/>
  <c r="AS54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<sst xmlns="http://schemas.openxmlformats.org/spreadsheetml/2006/main" count="781" uniqueCount="180">
  <si>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</si>
  <si>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</si>
  <si>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</si>
  <si>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</si>
  <si>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</si>
  <si>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</si>
  <si>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</si>
  <si>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</si>
  <si>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</si>
  <si>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</si>
  <si>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</si>
  <si>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</si>
  <si>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</si>
  <si>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</si>
  <si>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</si>
  <si>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</si>
  <si>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</si>
  <si>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</si>
  <si>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</si>
  <si>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</si>
  <si>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</si>
  <si>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</si>
  <si>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</si>
  <si>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</si>
  <si>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</si>
  <si>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</si>
  <si>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</si>
  <si>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</si>
  <si>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</si>
  <si>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</si>
  <si>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</si>
  <si>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</si>
  <si>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</si>
  <si>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</si>
  <si>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</si>
  <si>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</si>
  <si>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</si>
  <si>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</si>
  <si>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</si>
  <si>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</si>
  <si>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</si>
  <si>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</si>
  <si>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</si>
  <si>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</si>
  <si>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</si>
  <si>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</si>
  <si>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</si>
  <si>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</si>
  <si>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</si>
  <si>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</si>
  <si>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</si>
  <si>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</si>
  <si>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</si>
  <si>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</si>
  <si>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</si>
  <si>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</si>
  <si>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</si>
  <si>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</si>
  <si>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</si>
  <si>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</si>
  <si>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</si>
  <si>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</si>
  <si>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</si>
  <si>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</si>
  <si>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</si>
  <si>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</si>
  <si>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</si>
  <si>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</si>
  <si>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</si>
  <si>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</si>
  <si>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</si>
  <si>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</si>
  <si>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</si>
  <si>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</si>
  <si>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</si>
  <si>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</si>
  <si>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</si>
  <si>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</si>
  <si>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</si>
  <si>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</si>
  <si>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</si>
  <si>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</si>
  <si>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</si>
  <si>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</si>
  <si>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</si>
  <si>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</si>
  <si>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</si>
  <si>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</si>
  <si>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</si>
  <si>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</si>
  <si>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</si>
  <si>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</si>
  <si>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</si>
  <si>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</si>
  <si>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</si>
  <si>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</si>
  <si>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</si>
  <si>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</si>
  <si>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</si>
  <si>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</si>
  <si>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</si>
  <si>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</si>
  <si>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</si>
  <si>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</si>
  <si>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</si>
  <si>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</si>
  <si>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</si>
  <si>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</si>
  <si>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</si>
  <si>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</si>
  <si>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</si>
  <si>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</si>
  <si>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</si>
  <si>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</si>
  <si>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</si>
  <si>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</si>
  <si>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</si>
  <si>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</si>
  <si>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</si>
  <si>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</si>
  <si>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</si>
  <si>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</si>
  <si>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</si>
  <si>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</si>
  <si>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</si>
  <si>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</si>
  <si>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</si>
  <si>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</si>
  <si>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</si>
  <si>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</si>
  <si>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</si>
  <si>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</si>
  <si>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</si>
  <si>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</si>
  <si>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</si>
  <si>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</si>
  <si>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</si>
  <si>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</si>
  <si>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</si>
  <si>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</si>
  <si>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</si>
  <si>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</si>
  <si>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</si>
  <si>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</si>
  <si>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</si>
  <si>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</si>
  <si>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</si>
  <si>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</si>
  <si>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</si>
  <si>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</si>
  <si>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</si>
  <si>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</si>
  <si>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</si>
  <si>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</si>
  <si>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</si>
  <si>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</si>
  <si>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</si>
  <si>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</si>
  <si>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</si>
  <si>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</si>
  <si>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</si>
  <si>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</si>
  <si>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</si>
  <si>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</si>
  <si>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</si>
  <si>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</si>
  <si>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</si>
  <si>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</si>
  <si>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</si>
  <si>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</si>
  <si>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</si>
  <si>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</si>
  <si>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</si>
  <si>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</si>
  <si>
    <t>Customs (days)</t>
  </si>
  <si>
    <t>NITCO</t>
  </si>
  <si>
    <t>O011</t>
  </si>
  <si>
    <t>S001</t>
  </si>
  <si>
    <t>HUIWANG</t>
  </si>
  <si>
    <t>S002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</si>
</sst>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C18" activePane="bottomRight" state="frozen"/>
      <selection pane="topRight" activeCell="L1" sqref="L1"/>
      <selection pane="bottomLeft" activeCell="A2" sqref="A2"/>
      <selection pane="bottomRight" activeCell="AE53" sqref="AE53"/>
    </sheetView>
  </sheetViews>
  <sheetFormatPr baseColWidth="10" defaultColWidth="10.453125" defaultRowHeight="14.5" outlineLevelCol="1" x14ac:dyDescent="0.35"/>
  <cols>
    <col min="1" max="1" width="9.54296875" customWidth="1"/>
    <col min="2" max="2" width="12.81640625" style="8" bestFit="1" customWidth="1"/>
    <col min="3" max="4" width="10.453125" customWidth="1"/>
    <col min="5" max="5" width="11.81640625" bestFit="1" customWidth="1"/>
    <col min="6" max="6" width="12.453125" style="9" hidden="1" customWidth="1" outlineLevel="1"/>
    <col min="7" max="7" width="15.453125" style="8" hidden="1" customWidth="1" outlineLevel="1"/>
    <col min="8" max="8" width="16" style="8" hidden="1" customWidth="1" outlineLevel="1"/>
    <col min="9" max="9" width="13.26953125" hidden="1" customWidth="1" outlineLevel="1"/>
    <col min="10" max="10" width="12.54296875" style="9" hidden="1" customWidth="1" outlineLevel="1"/>
    <col min="11" max="11" width="19.81640625" hidden="1" customWidth="1" outlineLevel="1"/>
    <col min="12" max="12" width="15.453125" style="9" customWidth="1" collapsed="1"/>
    <col min="13" max="13" width="10.453125" customWidth="1"/>
    <col min="14" max="14" width="14.54296875" customWidth="1"/>
    <col min="15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3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 t="shared" ref="P2:P26" si="0">+IF(I2="SFK Freight Forwarder",0,5)</f>
        <v>5</v>
      </c>
      <c r="Q2" s="3">
        <f t="shared" ref="Q2:Q33" si="1">+IF(I2="SFK Freight Forwarder",O2,O2+P2-1)</f>
        <v>19</v>
      </c>
      <c r="R2" s="3">
        <f>9+N2</f>
        <v>16</v>
      </c>
      <c r="S2" s="3">
        <v>7</v>
      </c>
      <c r="T2" s="3">
        <f t="shared" ref="T2:T33" si="2">+R2+S2-1</f>
        <v>22</v>
      </c>
      <c r="U2" s="3">
        <f t="shared" ref="U2:U44" si="3">+T2+1</f>
        <v>23</v>
      </c>
      <c r="V2" s="3">
        <v>1</v>
      </c>
      <c r="W2" s="3">
        <f t="shared" ref="W2:W33" si="4">+U2+V2-1</f>
        <v>23</v>
      </c>
      <c r="X2" s="3">
        <v>0</v>
      </c>
      <c r="Y2" s="3">
        <v>25</v>
      </c>
      <c r="Z2" s="6">
        <v>25</v>
      </c>
      <c r="AA2" s="6">
        <f t="shared" ref="AA2:AA7" si="5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6">+AE2+AA2-1</f>
        <v>72</v>
      </c>
      <c r="AG2" s="6">
        <v>3</v>
      </c>
      <c r="AH2" s="6">
        <f t="shared" ref="AH2:AH33" si="7">+AF2+AG2</f>
        <v>75</v>
      </c>
      <c r="AI2" s="3">
        <v>7</v>
      </c>
      <c r="AJ2" s="3">
        <f t="shared" ref="AJ2:AJ33" si="8">+AI2+AH2</f>
        <v>82</v>
      </c>
      <c r="AK2" s="3" t="s">
        <v>55</v>
      </c>
      <c r="AL2" s="3">
        <v>2</v>
      </c>
      <c r="AM2" s="3">
        <f t="shared" ref="AM2:AM33" si="9">+AJ2+AL2</f>
        <v>84</v>
      </c>
      <c r="AN2" s="3">
        <v>2</v>
      </c>
      <c r="AO2" s="3">
        <f t="shared" ref="AO2:AO33" si="10">+AM2+AN2</f>
        <v>86</v>
      </c>
      <c r="AP2" s="3">
        <v>5</v>
      </c>
      <c r="AQ2" s="3">
        <f t="shared" ref="AQ2:AQ44" si="11">+AO2+AP2</f>
        <v>91</v>
      </c>
      <c r="AR2" s="3">
        <f t="shared" ref="AR2:AR44" si="12">+AQ2+7</f>
        <v>98</v>
      </c>
      <c r="AS2" s="3">
        <f t="shared" ref="AS2:AS33" si="13">+AR2+7+AT2</f>
        <v>115</v>
      </c>
      <c r="AT2" s="3">
        <v>10</v>
      </c>
      <c r="AU2" s="3">
        <f t="shared" ref="AU2:AU33" si="14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3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 t="shared" si="0"/>
        <v>5</v>
      </c>
      <c r="Q3" s="3">
        <f t="shared" si="1"/>
        <v>26</v>
      </c>
      <c r="R3" s="3">
        <f>9+N3</f>
        <v>23</v>
      </c>
      <c r="S3" s="3">
        <v>7</v>
      </c>
      <c r="T3" s="3">
        <f t="shared" si="2"/>
        <v>29</v>
      </c>
      <c r="U3" s="3">
        <f t="shared" si="3"/>
        <v>30</v>
      </c>
      <c r="V3" s="3">
        <v>2</v>
      </c>
      <c r="W3" s="3">
        <f t="shared" si="4"/>
        <v>31</v>
      </c>
      <c r="X3" s="3">
        <v>0</v>
      </c>
      <c r="Y3" s="3">
        <v>33</v>
      </c>
      <c r="Z3" s="6">
        <v>33</v>
      </c>
      <c r="AA3" s="6">
        <f t="shared" si="5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6"/>
        <v>102</v>
      </c>
      <c r="AG3" s="6">
        <v>3</v>
      </c>
      <c r="AH3" s="6">
        <f t="shared" si="7"/>
        <v>105</v>
      </c>
      <c r="AI3" s="3">
        <v>7</v>
      </c>
      <c r="AJ3" s="3">
        <f t="shared" si="8"/>
        <v>112</v>
      </c>
      <c r="AK3" s="3" t="s">
        <v>55</v>
      </c>
      <c r="AL3" s="3">
        <v>2</v>
      </c>
      <c r="AM3" s="3">
        <f t="shared" si="9"/>
        <v>114</v>
      </c>
      <c r="AN3" s="3">
        <v>2</v>
      </c>
      <c r="AO3" s="3">
        <f t="shared" si="10"/>
        <v>116</v>
      </c>
      <c r="AP3" s="3">
        <v>3</v>
      </c>
      <c r="AQ3" s="3">
        <f t="shared" si="11"/>
        <v>119</v>
      </c>
      <c r="AR3" s="3">
        <f t="shared" si="12"/>
        <v>126</v>
      </c>
      <c r="AS3" s="3">
        <f t="shared" si="13"/>
        <v>143</v>
      </c>
      <c r="AT3" s="3">
        <v>10</v>
      </c>
      <c r="AU3" s="3">
        <f t="shared" si="14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3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 t="shared" si="0"/>
        <v>5</v>
      </c>
      <c r="Q4" s="3">
        <f t="shared" si="1"/>
        <v>26</v>
      </c>
      <c r="R4" s="3">
        <f>9+N4</f>
        <v>23</v>
      </c>
      <c r="S4" s="3">
        <v>7</v>
      </c>
      <c r="T4" s="3">
        <f t="shared" si="2"/>
        <v>29</v>
      </c>
      <c r="U4" s="3">
        <f t="shared" si="3"/>
        <v>30</v>
      </c>
      <c r="V4" s="3">
        <v>3</v>
      </c>
      <c r="W4" s="3">
        <f t="shared" si="4"/>
        <v>32</v>
      </c>
      <c r="X4" s="3">
        <v>0</v>
      </c>
      <c r="Y4" s="3">
        <v>33</v>
      </c>
      <c r="Z4" s="6">
        <v>33</v>
      </c>
      <c r="AA4" s="6">
        <f t="shared" si="5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6"/>
        <v>109</v>
      </c>
      <c r="AG4" s="6">
        <v>3</v>
      </c>
      <c r="AH4" s="6">
        <f t="shared" si="7"/>
        <v>112</v>
      </c>
      <c r="AI4" s="3">
        <v>7</v>
      </c>
      <c r="AJ4" s="3">
        <f t="shared" si="8"/>
        <v>119</v>
      </c>
      <c r="AK4" s="3" t="s">
        <v>55</v>
      </c>
      <c r="AL4" s="3">
        <v>2</v>
      </c>
      <c r="AM4" s="3">
        <f t="shared" si="9"/>
        <v>121</v>
      </c>
      <c r="AN4" s="3">
        <v>2</v>
      </c>
      <c r="AO4" s="3">
        <f t="shared" si="10"/>
        <v>123</v>
      </c>
      <c r="AP4" s="3">
        <v>3</v>
      </c>
      <c r="AQ4" s="3">
        <f t="shared" si="11"/>
        <v>126</v>
      </c>
      <c r="AR4" s="3">
        <f t="shared" si="12"/>
        <v>133</v>
      </c>
      <c r="AS4" s="3">
        <f t="shared" si="13"/>
        <v>150</v>
      </c>
      <c r="AT4" s="3">
        <v>10</v>
      </c>
      <c r="AU4" s="3">
        <f t="shared" si="14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3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 t="shared" si="0"/>
        <v>5</v>
      </c>
      <c r="Q5" s="3">
        <f t="shared" si="1"/>
        <v>19</v>
      </c>
      <c r="R5" s="3">
        <f>9+N5</f>
        <v>16</v>
      </c>
      <c r="S5" s="3">
        <v>7</v>
      </c>
      <c r="T5" s="3">
        <f t="shared" si="2"/>
        <v>22</v>
      </c>
      <c r="U5" s="3">
        <f t="shared" si="3"/>
        <v>23</v>
      </c>
      <c r="V5" s="3">
        <v>2</v>
      </c>
      <c r="W5" s="3">
        <f t="shared" si="4"/>
        <v>24</v>
      </c>
      <c r="X5" s="3">
        <v>0</v>
      </c>
      <c r="Y5" s="3">
        <v>26</v>
      </c>
      <c r="Z5" s="27">
        <v>31</v>
      </c>
      <c r="AA5" s="6">
        <f t="shared" si="5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6"/>
        <v>73</v>
      </c>
      <c r="AG5" s="6">
        <v>3</v>
      </c>
      <c r="AH5" s="6">
        <f t="shared" si="7"/>
        <v>76</v>
      </c>
      <c r="AI5" s="3">
        <v>0</v>
      </c>
      <c r="AJ5" s="3">
        <f t="shared" si="8"/>
        <v>76</v>
      </c>
      <c r="AK5" s="3" t="s">
        <v>60</v>
      </c>
      <c r="AL5" s="3">
        <v>2</v>
      </c>
      <c r="AM5" s="3">
        <f t="shared" si="9"/>
        <v>78</v>
      </c>
      <c r="AN5" s="3">
        <v>2</v>
      </c>
      <c r="AO5" s="3">
        <f t="shared" si="10"/>
        <v>80</v>
      </c>
      <c r="AP5" s="3">
        <v>4</v>
      </c>
      <c r="AQ5" s="3">
        <f t="shared" si="11"/>
        <v>84</v>
      </c>
      <c r="AR5" s="3">
        <f t="shared" si="12"/>
        <v>91</v>
      </c>
      <c r="AS5" s="3">
        <f t="shared" si="13"/>
        <v>104</v>
      </c>
      <c r="AT5" s="3">
        <v>6</v>
      </c>
      <c r="AU5" s="3">
        <f t="shared" si="14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3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 t="shared" si="0"/>
        <v>5</v>
      </c>
      <c r="Q6" s="3">
        <f t="shared" si="1"/>
        <v>19</v>
      </c>
      <c r="R6" s="3">
        <f>9+N6</f>
        <v>16</v>
      </c>
      <c r="S6" s="3">
        <v>7</v>
      </c>
      <c r="T6" s="3">
        <f t="shared" si="2"/>
        <v>22</v>
      </c>
      <c r="U6" s="3">
        <f t="shared" si="3"/>
        <v>23</v>
      </c>
      <c r="V6" s="3">
        <v>4</v>
      </c>
      <c r="W6" s="3">
        <f t="shared" si="4"/>
        <v>26</v>
      </c>
      <c r="X6" s="3">
        <v>0</v>
      </c>
      <c r="Y6" s="3">
        <v>26</v>
      </c>
      <c r="Z6" s="6">
        <v>30</v>
      </c>
      <c r="AA6" s="6">
        <f t="shared" si="5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6"/>
        <v>77</v>
      </c>
      <c r="AG6" s="6">
        <v>3</v>
      </c>
      <c r="AH6" s="6">
        <f t="shared" si="7"/>
        <v>80</v>
      </c>
      <c r="AI6" s="3">
        <v>0</v>
      </c>
      <c r="AJ6" s="3">
        <f t="shared" si="8"/>
        <v>80</v>
      </c>
      <c r="AK6" s="3" t="s">
        <v>65</v>
      </c>
      <c r="AL6" s="3">
        <v>4</v>
      </c>
      <c r="AM6" s="3">
        <f t="shared" si="9"/>
        <v>84</v>
      </c>
      <c r="AN6" s="3">
        <v>3</v>
      </c>
      <c r="AO6" s="3">
        <f t="shared" si="10"/>
        <v>87</v>
      </c>
      <c r="AP6" s="3">
        <v>4</v>
      </c>
      <c r="AQ6" s="3">
        <f t="shared" si="11"/>
        <v>91</v>
      </c>
      <c r="AR6" s="3">
        <f t="shared" si="12"/>
        <v>98</v>
      </c>
      <c r="AS6" s="3">
        <f t="shared" si="13"/>
        <v>112</v>
      </c>
      <c r="AT6" s="3">
        <v>7</v>
      </c>
      <c r="AU6" s="3">
        <f t="shared" si="14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3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0"/>
        <v>0</v>
      </c>
      <c r="Q7" s="3">
        <f t="shared" si="1"/>
        <v>0</v>
      </c>
      <c r="R7" s="3">
        <v>16</v>
      </c>
      <c r="S7" s="3">
        <v>7</v>
      </c>
      <c r="T7" s="3">
        <f t="shared" si="2"/>
        <v>22</v>
      </c>
      <c r="U7" s="3">
        <f t="shared" si="3"/>
        <v>23</v>
      </c>
      <c r="V7" s="3">
        <v>8</v>
      </c>
      <c r="W7" s="3">
        <f t="shared" si="4"/>
        <v>30</v>
      </c>
      <c r="X7" s="3">
        <v>0</v>
      </c>
      <c r="Y7" s="26">
        <f>+W7+1</f>
        <v>31</v>
      </c>
      <c r="Z7" s="6">
        <v>33</v>
      </c>
      <c r="AA7" s="6">
        <f t="shared" si="5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6"/>
        <v>77</v>
      </c>
      <c r="AG7" s="6">
        <v>3</v>
      </c>
      <c r="AH7" s="6">
        <f t="shared" si="7"/>
        <v>80</v>
      </c>
      <c r="AI7" s="3">
        <v>0</v>
      </c>
      <c r="AJ7" s="3">
        <f t="shared" si="8"/>
        <v>80</v>
      </c>
      <c r="AK7" s="3" t="s">
        <v>60</v>
      </c>
      <c r="AL7" s="3">
        <v>2</v>
      </c>
      <c r="AM7" s="3">
        <f t="shared" si="9"/>
        <v>82</v>
      </c>
      <c r="AN7" s="3">
        <v>2</v>
      </c>
      <c r="AO7" s="3">
        <f t="shared" si="10"/>
        <v>84</v>
      </c>
      <c r="AP7" s="3">
        <v>0</v>
      </c>
      <c r="AQ7" s="3">
        <f t="shared" si="11"/>
        <v>84</v>
      </c>
      <c r="AR7" s="3">
        <f t="shared" si="12"/>
        <v>91</v>
      </c>
      <c r="AS7" s="3">
        <f t="shared" si="13"/>
        <v>98</v>
      </c>
      <c r="AT7" s="3">
        <v>0</v>
      </c>
      <c r="AU7" s="3">
        <f t="shared" si="14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3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ref="O8:O54" si="15">IF(I8="SFK Freight Forwarder",M8,M8+N8-1)</f>
        <v>0</v>
      </c>
      <c r="P8" s="3">
        <f t="shared" si="0"/>
        <v>0</v>
      </c>
      <c r="Q8" s="3">
        <f t="shared" si="1"/>
        <v>0</v>
      </c>
      <c r="R8" s="3">
        <v>16</v>
      </c>
      <c r="S8" s="3">
        <v>7</v>
      </c>
      <c r="T8" s="3">
        <f t="shared" si="2"/>
        <v>22</v>
      </c>
      <c r="U8" s="3">
        <f t="shared" si="3"/>
        <v>23</v>
      </c>
      <c r="V8" s="3">
        <v>8</v>
      </c>
      <c r="W8" s="3">
        <f t="shared" si="4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6"/>
        <v>72</v>
      </c>
      <c r="AG8" s="6">
        <v>3</v>
      </c>
      <c r="AH8" s="6">
        <f t="shared" si="7"/>
        <v>75</v>
      </c>
      <c r="AI8" s="3">
        <v>7</v>
      </c>
      <c r="AJ8" s="3">
        <f t="shared" si="8"/>
        <v>82</v>
      </c>
      <c r="AK8" s="3" t="s">
        <v>60</v>
      </c>
      <c r="AL8" s="3">
        <v>3</v>
      </c>
      <c r="AM8" s="3">
        <f t="shared" si="9"/>
        <v>85</v>
      </c>
      <c r="AN8" s="3">
        <v>6</v>
      </c>
      <c r="AO8" s="3">
        <f t="shared" si="10"/>
        <v>91</v>
      </c>
      <c r="AP8" s="3">
        <v>0</v>
      </c>
      <c r="AQ8" s="3">
        <f t="shared" si="11"/>
        <v>91</v>
      </c>
      <c r="AR8" s="3">
        <f t="shared" si="12"/>
        <v>98</v>
      </c>
      <c r="AS8" s="3">
        <f t="shared" si="13"/>
        <v>105</v>
      </c>
      <c r="AT8" s="3">
        <v>0</v>
      </c>
      <c r="AU8" s="3">
        <f t="shared" si="14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3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5"/>
        <v>0</v>
      </c>
      <c r="P9" s="3">
        <f t="shared" si="0"/>
        <v>0</v>
      </c>
      <c r="Q9" s="3">
        <f t="shared" si="1"/>
        <v>0</v>
      </c>
      <c r="R9" s="3">
        <f t="shared" ref="R9:R44" si="16">9+N9</f>
        <v>16</v>
      </c>
      <c r="S9" s="3">
        <v>7</v>
      </c>
      <c r="T9" s="3">
        <f t="shared" si="2"/>
        <v>22</v>
      </c>
      <c r="U9" s="3">
        <f t="shared" si="3"/>
        <v>23</v>
      </c>
      <c r="V9" s="3">
        <v>8</v>
      </c>
      <c r="W9" s="3">
        <f t="shared" si="4"/>
        <v>30</v>
      </c>
      <c r="X9" s="3">
        <v>0</v>
      </c>
      <c r="Y9" s="26">
        <v>31</v>
      </c>
      <c r="Z9" s="27">
        <v>36</v>
      </c>
      <c r="AA9" s="6">
        <f t="shared" ref="AA9:AA16" si="17"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6"/>
        <v>53</v>
      </c>
      <c r="AG9" s="6">
        <v>3</v>
      </c>
      <c r="AH9" s="6">
        <f t="shared" si="7"/>
        <v>56</v>
      </c>
      <c r="AI9" s="3">
        <v>7</v>
      </c>
      <c r="AJ9" s="3">
        <f t="shared" si="8"/>
        <v>63</v>
      </c>
      <c r="AK9" s="3" t="s">
        <v>55</v>
      </c>
      <c r="AL9" s="3">
        <v>4</v>
      </c>
      <c r="AM9" s="3">
        <f t="shared" si="9"/>
        <v>67</v>
      </c>
      <c r="AN9" s="3">
        <v>3</v>
      </c>
      <c r="AO9" s="3">
        <f t="shared" si="10"/>
        <v>70</v>
      </c>
      <c r="AP9" s="3">
        <v>0</v>
      </c>
      <c r="AQ9" s="3">
        <f t="shared" si="11"/>
        <v>70</v>
      </c>
      <c r="AR9" s="3">
        <f t="shared" si="12"/>
        <v>77</v>
      </c>
      <c r="AS9" s="3">
        <f t="shared" si="13"/>
        <v>84</v>
      </c>
      <c r="AT9" s="3">
        <v>0</v>
      </c>
      <c r="AU9" s="3">
        <f t="shared" si="14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3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ref="M10:M29" si="18">+IF(I10="SFK Freight Forwarder",L10,9)</f>
        <v>9</v>
      </c>
      <c r="N10" s="3">
        <v>7</v>
      </c>
      <c r="O10" s="3">
        <f t="shared" si="15"/>
        <v>15</v>
      </c>
      <c r="P10" s="3">
        <f t="shared" si="0"/>
        <v>5</v>
      </c>
      <c r="Q10" s="3">
        <f t="shared" si="1"/>
        <v>19</v>
      </c>
      <c r="R10" s="3">
        <f t="shared" si="16"/>
        <v>16</v>
      </c>
      <c r="S10" s="3">
        <v>7</v>
      </c>
      <c r="T10" s="3">
        <f t="shared" si="2"/>
        <v>22</v>
      </c>
      <c r="U10" s="3">
        <f t="shared" si="3"/>
        <v>23</v>
      </c>
      <c r="V10" s="3">
        <v>4</v>
      </c>
      <c r="W10" s="3">
        <f t="shared" si="4"/>
        <v>26</v>
      </c>
      <c r="X10" s="3">
        <v>0</v>
      </c>
      <c r="Y10" s="3">
        <v>26</v>
      </c>
      <c r="Z10" s="6">
        <v>30</v>
      </c>
      <c r="AA10" s="6">
        <f t="shared" si="17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6"/>
        <v>80</v>
      </c>
      <c r="AG10" s="6">
        <v>3</v>
      </c>
      <c r="AH10" s="6">
        <f t="shared" si="7"/>
        <v>83</v>
      </c>
      <c r="AI10" s="3">
        <v>0</v>
      </c>
      <c r="AJ10" s="3">
        <f t="shared" si="8"/>
        <v>83</v>
      </c>
      <c r="AK10" s="3" t="s">
        <v>65</v>
      </c>
      <c r="AL10" s="3">
        <v>1</v>
      </c>
      <c r="AM10" s="3">
        <f t="shared" si="9"/>
        <v>84</v>
      </c>
      <c r="AN10" s="3">
        <v>8</v>
      </c>
      <c r="AO10" s="3">
        <f t="shared" si="10"/>
        <v>92</v>
      </c>
      <c r="AP10" s="3">
        <v>6</v>
      </c>
      <c r="AQ10" s="3">
        <f t="shared" si="11"/>
        <v>98</v>
      </c>
      <c r="AR10" s="3">
        <f t="shared" si="12"/>
        <v>105</v>
      </c>
      <c r="AS10" s="3">
        <f t="shared" si="13"/>
        <v>119</v>
      </c>
      <c r="AT10" s="3">
        <v>7</v>
      </c>
      <c r="AU10" s="3">
        <f t="shared" si="14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3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18"/>
        <v>9</v>
      </c>
      <c r="N11" s="3">
        <v>14</v>
      </c>
      <c r="O11" s="3">
        <f t="shared" si="15"/>
        <v>22</v>
      </c>
      <c r="P11" s="3">
        <f t="shared" si="0"/>
        <v>5</v>
      </c>
      <c r="Q11" s="3">
        <f t="shared" si="1"/>
        <v>26</v>
      </c>
      <c r="R11" s="3">
        <f t="shared" si="16"/>
        <v>23</v>
      </c>
      <c r="S11" s="3">
        <v>7</v>
      </c>
      <c r="T11" s="3">
        <f t="shared" si="2"/>
        <v>29</v>
      </c>
      <c r="U11" s="3">
        <f t="shared" si="3"/>
        <v>30</v>
      </c>
      <c r="V11" s="3">
        <v>1</v>
      </c>
      <c r="W11" s="3">
        <f t="shared" si="4"/>
        <v>30</v>
      </c>
      <c r="X11" s="3">
        <v>0</v>
      </c>
      <c r="Y11" s="3">
        <v>31</v>
      </c>
      <c r="Z11" s="6">
        <v>37</v>
      </c>
      <c r="AA11" s="6">
        <f t="shared" si="17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6"/>
        <v>95</v>
      </c>
      <c r="AG11" s="6">
        <v>3</v>
      </c>
      <c r="AH11" s="6">
        <f t="shared" si="7"/>
        <v>98</v>
      </c>
      <c r="AI11" s="3">
        <v>14</v>
      </c>
      <c r="AJ11" s="3">
        <f t="shared" si="8"/>
        <v>112</v>
      </c>
      <c r="AK11" s="3" t="s">
        <v>55</v>
      </c>
      <c r="AL11" s="3">
        <v>4</v>
      </c>
      <c r="AM11" s="3">
        <f t="shared" si="9"/>
        <v>116</v>
      </c>
      <c r="AN11" s="3">
        <v>3</v>
      </c>
      <c r="AO11" s="3">
        <f t="shared" si="10"/>
        <v>119</v>
      </c>
      <c r="AP11" s="3">
        <v>0</v>
      </c>
      <c r="AQ11" s="3">
        <f t="shared" si="11"/>
        <v>119</v>
      </c>
      <c r="AR11" s="3">
        <f t="shared" si="12"/>
        <v>126</v>
      </c>
      <c r="AS11" s="3">
        <f t="shared" si="13"/>
        <v>147</v>
      </c>
      <c r="AT11" s="3">
        <v>14</v>
      </c>
      <c r="AU11" s="3">
        <f t="shared" si="14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3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18"/>
        <v>9</v>
      </c>
      <c r="N12" s="3">
        <v>14</v>
      </c>
      <c r="O12" s="3">
        <f t="shared" si="15"/>
        <v>22</v>
      </c>
      <c r="P12" s="3">
        <f t="shared" si="0"/>
        <v>5</v>
      </c>
      <c r="Q12" s="3">
        <f t="shared" si="1"/>
        <v>26</v>
      </c>
      <c r="R12" s="3">
        <f t="shared" si="16"/>
        <v>23</v>
      </c>
      <c r="S12" s="3">
        <v>7</v>
      </c>
      <c r="T12" s="3">
        <f t="shared" si="2"/>
        <v>29</v>
      </c>
      <c r="U12" s="3">
        <f t="shared" si="3"/>
        <v>30</v>
      </c>
      <c r="V12" s="3">
        <v>1</v>
      </c>
      <c r="W12" s="3">
        <f t="shared" si="4"/>
        <v>30</v>
      </c>
      <c r="X12" s="3">
        <v>0</v>
      </c>
      <c r="Y12" s="3">
        <v>33</v>
      </c>
      <c r="Z12" s="6">
        <v>37</v>
      </c>
      <c r="AA12" s="6">
        <f t="shared" si="17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6"/>
        <v>84</v>
      </c>
      <c r="AG12" s="6">
        <v>3</v>
      </c>
      <c r="AH12" s="6">
        <f t="shared" si="7"/>
        <v>87</v>
      </c>
      <c r="AI12" s="3">
        <v>14</v>
      </c>
      <c r="AJ12" s="3">
        <f t="shared" si="8"/>
        <v>101</v>
      </c>
      <c r="AK12" s="3" t="s">
        <v>55</v>
      </c>
      <c r="AL12" s="3">
        <v>2</v>
      </c>
      <c r="AM12" s="3">
        <f t="shared" si="9"/>
        <v>103</v>
      </c>
      <c r="AN12" s="3">
        <v>2</v>
      </c>
      <c r="AO12" s="3">
        <f t="shared" si="10"/>
        <v>105</v>
      </c>
      <c r="AP12" s="3">
        <v>0</v>
      </c>
      <c r="AQ12" s="3">
        <f t="shared" si="11"/>
        <v>105</v>
      </c>
      <c r="AR12" s="3">
        <f t="shared" si="12"/>
        <v>112</v>
      </c>
      <c r="AS12" s="3">
        <f t="shared" si="13"/>
        <v>134</v>
      </c>
      <c r="AT12" s="3">
        <v>15</v>
      </c>
      <c r="AU12" s="3">
        <f t="shared" si="14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3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18"/>
        <v>9</v>
      </c>
      <c r="N13" s="3">
        <v>7</v>
      </c>
      <c r="O13" s="3">
        <f t="shared" si="15"/>
        <v>15</v>
      </c>
      <c r="P13" s="3">
        <f t="shared" si="0"/>
        <v>5</v>
      </c>
      <c r="Q13" s="3">
        <f t="shared" si="1"/>
        <v>19</v>
      </c>
      <c r="R13" s="3">
        <f t="shared" si="16"/>
        <v>16</v>
      </c>
      <c r="S13" s="3">
        <v>7</v>
      </c>
      <c r="T13" s="3">
        <f t="shared" si="2"/>
        <v>22</v>
      </c>
      <c r="U13" s="3">
        <f t="shared" si="3"/>
        <v>23</v>
      </c>
      <c r="V13" s="3">
        <v>1</v>
      </c>
      <c r="W13" s="3">
        <f t="shared" si="4"/>
        <v>23</v>
      </c>
      <c r="X13" s="3">
        <v>0</v>
      </c>
      <c r="Y13" s="3">
        <v>26</v>
      </c>
      <c r="Z13" s="6">
        <v>31</v>
      </c>
      <c r="AA13" s="6">
        <f t="shared" si="17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6"/>
        <v>73</v>
      </c>
      <c r="AG13" s="6">
        <v>3</v>
      </c>
      <c r="AH13" s="6">
        <f t="shared" si="7"/>
        <v>76</v>
      </c>
      <c r="AI13" s="3">
        <v>0</v>
      </c>
      <c r="AJ13" s="3">
        <f t="shared" si="8"/>
        <v>76</v>
      </c>
      <c r="AK13" s="3" t="s">
        <v>60</v>
      </c>
      <c r="AL13" s="3">
        <v>2</v>
      </c>
      <c r="AM13" s="3">
        <f t="shared" si="9"/>
        <v>78</v>
      </c>
      <c r="AN13" s="3">
        <v>2</v>
      </c>
      <c r="AO13" s="3">
        <f t="shared" si="10"/>
        <v>80</v>
      </c>
      <c r="AP13" s="3">
        <v>4</v>
      </c>
      <c r="AQ13" s="3">
        <f t="shared" si="11"/>
        <v>84</v>
      </c>
      <c r="AR13" s="3">
        <f t="shared" si="12"/>
        <v>91</v>
      </c>
      <c r="AS13" s="3">
        <f t="shared" si="13"/>
        <v>112</v>
      </c>
      <c r="AT13" s="3">
        <v>14</v>
      </c>
      <c r="AU13" s="3">
        <f t="shared" si="14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3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18"/>
        <v>9</v>
      </c>
      <c r="N14" s="3">
        <v>14</v>
      </c>
      <c r="O14" s="3">
        <f t="shared" si="15"/>
        <v>22</v>
      </c>
      <c r="P14" s="3">
        <f t="shared" si="0"/>
        <v>5</v>
      </c>
      <c r="Q14" s="3">
        <f t="shared" si="1"/>
        <v>26</v>
      </c>
      <c r="R14" s="3">
        <f t="shared" si="16"/>
        <v>23</v>
      </c>
      <c r="S14" s="3">
        <v>7</v>
      </c>
      <c r="T14" s="3">
        <f t="shared" si="2"/>
        <v>29</v>
      </c>
      <c r="U14" s="3">
        <f t="shared" si="3"/>
        <v>30</v>
      </c>
      <c r="V14" s="3">
        <v>4</v>
      </c>
      <c r="W14" s="3">
        <f t="shared" si="4"/>
        <v>33</v>
      </c>
      <c r="X14" s="3">
        <v>0</v>
      </c>
      <c r="Y14" s="3">
        <v>33</v>
      </c>
      <c r="Z14" s="6">
        <v>36</v>
      </c>
      <c r="AA14" s="6">
        <f t="shared" si="17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6"/>
        <v>73</v>
      </c>
      <c r="AG14" s="6">
        <v>3</v>
      </c>
      <c r="AH14" s="6">
        <f t="shared" si="7"/>
        <v>76</v>
      </c>
      <c r="AI14" s="3">
        <v>7</v>
      </c>
      <c r="AJ14" s="3">
        <f t="shared" si="8"/>
        <v>83</v>
      </c>
      <c r="AK14" s="28" t="s">
        <v>79</v>
      </c>
      <c r="AL14" s="3">
        <v>2</v>
      </c>
      <c r="AM14" s="3">
        <f t="shared" si="9"/>
        <v>85</v>
      </c>
      <c r="AN14" s="3">
        <v>2</v>
      </c>
      <c r="AO14" s="3">
        <f t="shared" si="10"/>
        <v>87</v>
      </c>
      <c r="AP14" s="3">
        <v>4</v>
      </c>
      <c r="AQ14" s="3">
        <f t="shared" si="11"/>
        <v>91</v>
      </c>
      <c r="AR14" s="3">
        <f t="shared" si="12"/>
        <v>98</v>
      </c>
      <c r="AS14" s="3">
        <f t="shared" si="13"/>
        <v>121</v>
      </c>
      <c r="AT14" s="3">
        <v>16</v>
      </c>
      <c r="AU14" s="3">
        <f t="shared" si="14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3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18"/>
        <v>9</v>
      </c>
      <c r="N15" s="3">
        <v>14</v>
      </c>
      <c r="O15" s="3">
        <f t="shared" si="15"/>
        <v>22</v>
      </c>
      <c r="P15" s="3">
        <f t="shared" si="0"/>
        <v>5</v>
      </c>
      <c r="Q15" s="3">
        <f t="shared" si="1"/>
        <v>26</v>
      </c>
      <c r="R15" s="3">
        <f t="shared" si="16"/>
        <v>23</v>
      </c>
      <c r="S15" s="3">
        <v>7</v>
      </c>
      <c r="T15" s="3">
        <f t="shared" si="2"/>
        <v>29</v>
      </c>
      <c r="U15" s="3">
        <f t="shared" si="3"/>
        <v>30</v>
      </c>
      <c r="V15" s="3">
        <v>1</v>
      </c>
      <c r="W15" s="3">
        <f t="shared" si="4"/>
        <v>30</v>
      </c>
      <c r="X15" s="3">
        <v>0</v>
      </c>
      <c r="Y15" s="3">
        <v>36</v>
      </c>
      <c r="Z15" s="6">
        <f>+Y15+1</f>
        <v>37</v>
      </c>
      <c r="AA15" s="6">
        <f t="shared" si="17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6"/>
        <v>64</v>
      </c>
      <c r="AG15" s="6">
        <v>3</v>
      </c>
      <c r="AH15" s="6">
        <f t="shared" si="7"/>
        <v>67</v>
      </c>
      <c r="AI15" s="3">
        <v>7</v>
      </c>
      <c r="AJ15" s="3">
        <f t="shared" si="8"/>
        <v>74</v>
      </c>
      <c r="AK15" s="3" t="s">
        <v>65</v>
      </c>
      <c r="AL15" s="3">
        <v>2</v>
      </c>
      <c r="AM15" s="3">
        <f t="shared" si="9"/>
        <v>76</v>
      </c>
      <c r="AN15" s="3">
        <v>2</v>
      </c>
      <c r="AO15" s="3">
        <f t="shared" si="10"/>
        <v>78</v>
      </c>
      <c r="AP15" s="3">
        <v>6</v>
      </c>
      <c r="AQ15" s="3">
        <f t="shared" si="11"/>
        <v>84</v>
      </c>
      <c r="AR15" s="3">
        <f t="shared" si="12"/>
        <v>91</v>
      </c>
      <c r="AS15" s="3">
        <f t="shared" si="13"/>
        <v>112</v>
      </c>
      <c r="AT15" s="3">
        <v>14</v>
      </c>
      <c r="AU15" s="3">
        <f t="shared" si="14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3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18"/>
        <v>9</v>
      </c>
      <c r="N16" s="3">
        <v>14</v>
      </c>
      <c r="O16" s="3">
        <f t="shared" si="15"/>
        <v>22</v>
      </c>
      <c r="P16" s="3">
        <f t="shared" si="0"/>
        <v>5</v>
      </c>
      <c r="Q16" s="3">
        <f t="shared" si="1"/>
        <v>26</v>
      </c>
      <c r="R16" s="3">
        <f t="shared" si="16"/>
        <v>23</v>
      </c>
      <c r="S16" s="3">
        <v>7</v>
      </c>
      <c r="T16" s="3">
        <f t="shared" si="2"/>
        <v>29</v>
      </c>
      <c r="U16" s="3">
        <f t="shared" si="3"/>
        <v>30</v>
      </c>
      <c r="V16" s="3">
        <v>4</v>
      </c>
      <c r="W16" s="3">
        <f t="shared" si="4"/>
        <v>33</v>
      </c>
      <c r="X16" s="3">
        <v>0</v>
      </c>
      <c r="Y16" s="3">
        <v>33</v>
      </c>
      <c r="Z16" s="6">
        <v>33</v>
      </c>
      <c r="AA16" s="6">
        <f t="shared" si="17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6"/>
        <v>78</v>
      </c>
      <c r="AG16" s="6">
        <v>3</v>
      </c>
      <c r="AH16" s="6">
        <f t="shared" si="7"/>
        <v>81</v>
      </c>
      <c r="AI16" s="3">
        <v>7</v>
      </c>
      <c r="AJ16" s="3">
        <f t="shared" si="8"/>
        <v>88</v>
      </c>
      <c r="AK16" s="3" t="s">
        <v>55</v>
      </c>
      <c r="AL16" s="3">
        <v>2</v>
      </c>
      <c r="AM16" s="3">
        <f t="shared" si="9"/>
        <v>90</v>
      </c>
      <c r="AN16" s="3">
        <v>2</v>
      </c>
      <c r="AO16" s="3">
        <f t="shared" si="10"/>
        <v>92</v>
      </c>
      <c r="AP16" s="3">
        <v>6</v>
      </c>
      <c r="AQ16" s="3">
        <f t="shared" si="11"/>
        <v>98</v>
      </c>
      <c r="AR16" s="3">
        <f t="shared" si="12"/>
        <v>105</v>
      </c>
      <c r="AS16" s="3">
        <f t="shared" si="13"/>
        <v>121</v>
      </c>
      <c r="AT16" s="3">
        <v>9</v>
      </c>
      <c r="AU16" s="3">
        <f t="shared" si="14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18"/>
        <v>9</v>
      </c>
      <c r="N17" s="3">
        <v>14</v>
      </c>
      <c r="O17" s="3">
        <f t="shared" si="15"/>
        <v>22</v>
      </c>
      <c r="P17" s="3">
        <f t="shared" si="0"/>
        <v>5</v>
      </c>
      <c r="Q17" s="3">
        <f t="shared" si="1"/>
        <v>26</v>
      </c>
      <c r="R17" s="3">
        <f t="shared" si="16"/>
        <v>23</v>
      </c>
      <c r="S17" s="3">
        <v>7</v>
      </c>
      <c r="T17" s="3">
        <f t="shared" si="2"/>
        <v>29</v>
      </c>
      <c r="U17" s="3">
        <f t="shared" si="3"/>
        <v>30</v>
      </c>
      <c r="V17" s="3">
        <v>2</v>
      </c>
      <c r="W17" s="3">
        <f t="shared" si="4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6"/>
        <v>80</v>
      </c>
      <c r="AG17" s="6">
        <v>3</v>
      </c>
      <c r="AH17" s="6">
        <f t="shared" si="7"/>
        <v>83</v>
      </c>
      <c r="AI17" s="3">
        <v>14</v>
      </c>
      <c r="AJ17" s="3">
        <f t="shared" si="8"/>
        <v>97</v>
      </c>
      <c r="AK17" s="3" t="s">
        <v>55</v>
      </c>
      <c r="AL17" s="3">
        <v>1</v>
      </c>
      <c r="AM17" s="3">
        <f t="shared" si="9"/>
        <v>98</v>
      </c>
      <c r="AN17" s="3">
        <v>8</v>
      </c>
      <c r="AO17" s="3">
        <f t="shared" si="10"/>
        <v>106</v>
      </c>
      <c r="AP17" s="3">
        <v>6</v>
      </c>
      <c r="AQ17" s="3">
        <f t="shared" si="11"/>
        <v>112</v>
      </c>
      <c r="AR17" s="3">
        <f t="shared" si="12"/>
        <v>119</v>
      </c>
      <c r="AS17" s="3">
        <f t="shared" si="13"/>
        <v>139</v>
      </c>
      <c r="AT17" s="3">
        <v>13</v>
      </c>
      <c r="AU17" s="3">
        <f t="shared" si="14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3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18"/>
        <v>9</v>
      </c>
      <c r="N18" s="3">
        <v>7</v>
      </c>
      <c r="O18" s="3">
        <f t="shared" si="15"/>
        <v>15</v>
      </c>
      <c r="P18" s="3">
        <f t="shared" si="0"/>
        <v>5</v>
      </c>
      <c r="Q18" s="3">
        <f t="shared" si="1"/>
        <v>19</v>
      </c>
      <c r="R18" s="3">
        <f t="shared" si="16"/>
        <v>16</v>
      </c>
      <c r="S18" s="3">
        <v>7</v>
      </c>
      <c r="T18" s="3">
        <f t="shared" si="2"/>
        <v>22</v>
      </c>
      <c r="U18" s="3">
        <f t="shared" si="3"/>
        <v>23</v>
      </c>
      <c r="V18" s="3">
        <v>4</v>
      </c>
      <c r="W18" s="3">
        <f t="shared" si="4"/>
        <v>26</v>
      </c>
      <c r="X18" s="3">
        <v>0</v>
      </c>
      <c r="Y18" s="3">
        <v>26</v>
      </c>
      <c r="Z18" s="6">
        <v>31</v>
      </c>
      <c r="AA18" s="6">
        <f t="shared" ref="AA18:AA44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6"/>
        <v>59</v>
      </c>
      <c r="AG18" s="6">
        <v>3</v>
      </c>
      <c r="AH18" s="6">
        <f t="shared" si="7"/>
        <v>62</v>
      </c>
      <c r="AI18" s="3">
        <v>7</v>
      </c>
      <c r="AJ18" s="3">
        <f t="shared" si="8"/>
        <v>69</v>
      </c>
      <c r="AK18" s="3" t="s">
        <v>65</v>
      </c>
      <c r="AL18" s="3">
        <v>2</v>
      </c>
      <c r="AM18" s="3">
        <f t="shared" si="9"/>
        <v>71</v>
      </c>
      <c r="AN18" s="3">
        <v>8</v>
      </c>
      <c r="AO18" s="3">
        <f t="shared" si="10"/>
        <v>79</v>
      </c>
      <c r="AP18" s="3">
        <v>2</v>
      </c>
      <c r="AQ18" s="3">
        <f t="shared" si="11"/>
        <v>81</v>
      </c>
      <c r="AR18" s="3">
        <f t="shared" si="12"/>
        <v>88</v>
      </c>
      <c r="AS18" s="3">
        <f t="shared" si="13"/>
        <v>108</v>
      </c>
      <c r="AT18" s="3">
        <v>13</v>
      </c>
      <c r="AU18" s="3">
        <f t="shared" si="14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3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18"/>
        <v>9</v>
      </c>
      <c r="N19" s="3">
        <v>14</v>
      </c>
      <c r="O19" s="3">
        <f t="shared" si="15"/>
        <v>22</v>
      </c>
      <c r="P19" s="3">
        <f t="shared" si="0"/>
        <v>5</v>
      </c>
      <c r="Q19" s="3">
        <f t="shared" si="1"/>
        <v>26</v>
      </c>
      <c r="R19" s="3">
        <f t="shared" si="16"/>
        <v>23</v>
      </c>
      <c r="S19" s="3">
        <v>7</v>
      </c>
      <c r="T19" s="3">
        <f t="shared" si="2"/>
        <v>29</v>
      </c>
      <c r="U19" s="3">
        <f t="shared" si="3"/>
        <v>30</v>
      </c>
      <c r="V19" s="3">
        <v>2</v>
      </c>
      <c r="W19" s="3">
        <f t="shared" si="4"/>
        <v>31</v>
      </c>
      <c r="X19" s="3">
        <v>0</v>
      </c>
      <c r="Y19" s="3"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6"/>
        <v>73</v>
      </c>
      <c r="AG19" s="6">
        <v>3</v>
      </c>
      <c r="AH19" s="6">
        <f t="shared" si="7"/>
        <v>76</v>
      </c>
      <c r="AI19" s="3">
        <v>14</v>
      </c>
      <c r="AJ19" s="3">
        <f t="shared" si="8"/>
        <v>90</v>
      </c>
      <c r="AK19" s="3" t="s">
        <v>55</v>
      </c>
      <c r="AL19" s="3">
        <v>2</v>
      </c>
      <c r="AM19" s="3">
        <f t="shared" si="9"/>
        <v>92</v>
      </c>
      <c r="AN19" s="3">
        <v>2</v>
      </c>
      <c r="AO19" s="3">
        <f t="shared" si="10"/>
        <v>94</v>
      </c>
      <c r="AP19" s="3">
        <v>4</v>
      </c>
      <c r="AQ19" s="3">
        <f t="shared" si="11"/>
        <v>98</v>
      </c>
      <c r="AR19" s="3">
        <f t="shared" si="12"/>
        <v>105</v>
      </c>
      <c r="AS19" s="3">
        <f t="shared" si="13"/>
        <v>126</v>
      </c>
      <c r="AT19" s="3">
        <v>14</v>
      </c>
      <c r="AU19" s="3">
        <f t="shared" si="14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3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18"/>
        <v>9</v>
      </c>
      <c r="N20" s="3">
        <v>14</v>
      </c>
      <c r="O20" s="3">
        <f t="shared" si="15"/>
        <v>22</v>
      </c>
      <c r="P20" s="3">
        <f t="shared" si="0"/>
        <v>5</v>
      </c>
      <c r="Q20" s="3">
        <f t="shared" si="1"/>
        <v>26</v>
      </c>
      <c r="R20" s="3">
        <f t="shared" si="16"/>
        <v>23</v>
      </c>
      <c r="S20" s="3">
        <v>7</v>
      </c>
      <c r="T20" s="3">
        <f t="shared" si="2"/>
        <v>29</v>
      </c>
      <c r="U20" s="3">
        <f t="shared" si="3"/>
        <v>30</v>
      </c>
      <c r="V20" s="3">
        <v>2</v>
      </c>
      <c r="W20" s="3">
        <f t="shared" si="4"/>
        <v>31</v>
      </c>
      <c r="X20" s="3">
        <v>0</v>
      </c>
      <c r="Y20" s="3"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6"/>
        <v>72</v>
      </c>
      <c r="AG20" s="6">
        <v>3</v>
      </c>
      <c r="AH20" s="6">
        <f t="shared" si="7"/>
        <v>75</v>
      </c>
      <c r="AI20" s="3">
        <v>14</v>
      </c>
      <c r="AJ20" s="3">
        <f t="shared" si="8"/>
        <v>89</v>
      </c>
      <c r="AK20" s="3" t="s">
        <v>55</v>
      </c>
      <c r="AL20" s="3">
        <v>2</v>
      </c>
      <c r="AM20" s="3">
        <f t="shared" si="9"/>
        <v>91</v>
      </c>
      <c r="AN20" s="3">
        <v>8</v>
      </c>
      <c r="AO20" s="3">
        <f t="shared" si="10"/>
        <v>99</v>
      </c>
      <c r="AP20" s="3">
        <v>2</v>
      </c>
      <c r="AQ20" s="3">
        <f t="shared" si="11"/>
        <v>101</v>
      </c>
      <c r="AR20" s="3">
        <f t="shared" si="12"/>
        <v>108</v>
      </c>
      <c r="AS20" s="3">
        <f t="shared" si="13"/>
        <v>129</v>
      </c>
      <c r="AT20" s="3">
        <v>14</v>
      </c>
      <c r="AU20" s="3">
        <f t="shared" si="14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35">
      <c r="A21" s="5">
        <v>920</v>
      </c>
      <c r="B21" s="33" t="s">
        <v>80</v>
      </c>
      <c r="C21" s="33" t="s">
        <v>57</v>
      </c>
      <c r="D21" s="33" t="s">
        <v>58</v>
      </c>
      <c r="E21" s="33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4" t="s">
        <v>22</v>
      </c>
      <c r="L21" s="3">
        <v>7</v>
      </c>
      <c r="M21" s="3">
        <f t="shared" si="18"/>
        <v>9</v>
      </c>
      <c r="N21" s="3">
        <v>14</v>
      </c>
      <c r="O21" s="3">
        <f t="shared" si="15"/>
        <v>22</v>
      </c>
      <c r="P21" s="3">
        <f t="shared" si="0"/>
        <v>5</v>
      </c>
      <c r="Q21" s="3">
        <f t="shared" si="1"/>
        <v>26</v>
      </c>
      <c r="R21" s="3">
        <f t="shared" si="16"/>
        <v>23</v>
      </c>
      <c r="S21" s="3">
        <v>7</v>
      </c>
      <c r="T21" s="3">
        <f t="shared" si="2"/>
        <v>29</v>
      </c>
      <c r="U21" s="3">
        <f t="shared" si="3"/>
        <v>30</v>
      </c>
      <c r="V21" s="3">
        <v>3</v>
      </c>
      <c r="W21" s="3">
        <f t="shared" si="4"/>
        <v>32</v>
      </c>
      <c r="X21" s="3">
        <v>0</v>
      </c>
      <c r="Y21" s="3">
        <v>33</v>
      </c>
      <c r="Z21" s="6"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6"/>
        <v>77</v>
      </c>
      <c r="AG21" s="6">
        <v>3</v>
      </c>
      <c r="AH21" s="6">
        <f t="shared" si="7"/>
        <v>80</v>
      </c>
      <c r="AI21" s="3">
        <v>0</v>
      </c>
      <c r="AJ21" s="3">
        <f t="shared" si="8"/>
        <v>80</v>
      </c>
      <c r="AK21" s="3" t="s">
        <v>55</v>
      </c>
      <c r="AL21" s="46">
        <v>2</v>
      </c>
      <c r="AM21" s="3">
        <f t="shared" si="9"/>
        <v>82</v>
      </c>
      <c r="AN21" s="3">
        <v>8</v>
      </c>
      <c r="AO21" s="3">
        <f t="shared" si="10"/>
        <v>90</v>
      </c>
      <c r="AP21" s="3">
        <v>2</v>
      </c>
      <c r="AQ21" s="3">
        <f t="shared" si="11"/>
        <v>92</v>
      </c>
      <c r="AR21" s="3">
        <f t="shared" si="12"/>
        <v>99</v>
      </c>
      <c r="AS21" s="3">
        <f t="shared" si="13"/>
        <v>120</v>
      </c>
      <c r="AT21" s="3">
        <v>14</v>
      </c>
      <c r="AU21" s="3">
        <f t="shared" si="14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3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18"/>
        <v>9</v>
      </c>
      <c r="N22" s="3">
        <v>14</v>
      </c>
      <c r="O22" s="3">
        <f t="shared" si="15"/>
        <v>22</v>
      </c>
      <c r="P22" s="3">
        <f t="shared" si="0"/>
        <v>5</v>
      </c>
      <c r="Q22" s="3">
        <f t="shared" si="1"/>
        <v>26</v>
      </c>
      <c r="R22" s="3">
        <f t="shared" si="16"/>
        <v>23</v>
      </c>
      <c r="S22" s="3">
        <v>7</v>
      </c>
      <c r="T22" s="3">
        <f t="shared" si="2"/>
        <v>29</v>
      </c>
      <c r="U22" s="3">
        <f t="shared" si="3"/>
        <v>30</v>
      </c>
      <c r="V22" s="3">
        <v>3</v>
      </c>
      <c r="W22" s="3">
        <f t="shared" si="4"/>
        <v>32</v>
      </c>
      <c r="X22" s="3">
        <v>0</v>
      </c>
      <c r="Y22" s="3">
        <v>33</v>
      </c>
      <c r="Z22" s="6"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6"/>
        <v>84</v>
      </c>
      <c r="AG22" s="6">
        <v>3</v>
      </c>
      <c r="AH22" s="6">
        <f t="shared" si="7"/>
        <v>87</v>
      </c>
      <c r="AI22" s="3">
        <v>7</v>
      </c>
      <c r="AJ22" s="3">
        <f t="shared" si="8"/>
        <v>94</v>
      </c>
      <c r="AK22" s="3" t="s">
        <v>55</v>
      </c>
      <c r="AL22" s="3">
        <v>2</v>
      </c>
      <c r="AM22" s="3">
        <f t="shared" si="9"/>
        <v>96</v>
      </c>
      <c r="AN22" s="3">
        <v>2</v>
      </c>
      <c r="AO22" s="3">
        <f t="shared" si="10"/>
        <v>98</v>
      </c>
      <c r="AP22" s="3">
        <v>0</v>
      </c>
      <c r="AQ22" s="3">
        <f t="shared" si="11"/>
        <v>98</v>
      </c>
      <c r="AR22" s="3">
        <f t="shared" si="12"/>
        <v>105</v>
      </c>
      <c r="AS22" s="3">
        <f t="shared" si="13"/>
        <v>126</v>
      </c>
      <c r="AT22" s="3">
        <v>14</v>
      </c>
      <c r="AU22" s="3">
        <f t="shared" si="14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3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18"/>
        <v>9</v>
      </c>
      <c r="N23" s="3">
        <v>7</v>
      </c>
      <c r="O23" s="3">
        <f t="shared" si="15"/>
        <v>15</v>
      </c>
      <c r="P23" s="3">
        <f t="shared" si="0"/>
        <v>5</v>
      </c>
      <c r="Q23" s="3">
        <f t="shared" si="1"/>
        <v>19</v>
      </c>
      <c r="R23" s="3">
        <f t="shared" si="16"/>
        <v>16</v>
      </c>
      <c r="S23" s="3">
        <v>7</v>
      </c>
      <c r="T23" s="3">
        <f t="shared" si="2"/>
        <v>22</v>
      </c>
      <c r="U23" s="3">
        <f t="shared" si="3"/>
        <v>23</v>
      </c>
      <c r="V23" s="3">
        <v>3</v>
      </c>
      <c r="W23" s="3">
        <f t="shared" si="4"/>
        <v>25</v>
      </c>
      <c r="X23" s="3">
        <v>0</v>
      </c>
      <c r="Y23" s="3"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6"/>
        <v>52</v>
      </c>
      <c r="AG23" s="6">
        <v>3</v>
      </c>
      <c r="AH23" s="6">
        <f t="shared" si="7"/>
        <v>55</v>
      </c>
      <c r="AI23" s="3">
        <v>0</v>
      </c>
      <c r="AJ23" s="3">
        <f t="shared" si="8"/>
        <v>55</v>
      </c>
      <c r="AK23" s="3" t="s">
        <v>79</v>
      </c>
      <c r="AL23" s="3">
        <v>1</v>
      </c>
      <c r="AM23" s="3">
        <f t="shared" si="9"/>
        <v>56</v>
      </c>
      <c r="AN23" s="3">
        <v>8</v>
      </c>
      <c r="AO23" s="3">
        <f t="shared" si="10"/>
        <v>64</v>
      </c>
      <c r="AP23" s="3">
        <v>6</v>
      </c>
      <c r="AQ23" s="3">
        <f t="shared" si="11"/>
        <v>70</v>
      </c>
      <c r="AR23" s="3">
        <f t="shared" si="12"/>
        <v>77</v>
      </c>
      <c r="AS23" s="3">
        <f t="shared" si="13"/>
        <v>84</v>
      </c>
      <c r="AT23" s="3">
        <v>0</v>
      </c>
      <c r="AU23" s="3">
        <f t="shared" si="14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3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18"/>
        <v>9</v>
      </c>
      <c r="N24" s="3">
        <v>14</v>
      </c>
      <c r="O24" s="3">
        <f t="shared" si="15"/>
        <v>22</v>
      </c>
      <c r="P24" s="3">
        <f t="shared" si="0"/>
        <v>5</v>
      </c>
      <c r="Q24" s="3">
        <f t="shared" si="1"/>
        <v>26</v>
      </c>
      <c r="R24" s="3">
        <f t="shared" si="16"/>
        <v>23</v>
      </c>
      <c r="S24" s="3">
        <v>7</v>
      </c>
      <c r="T24" s="3">
        <f t="shared" si="2"/>
        <v>29</v>
      </c>
      <c r="U24" s="3">
        <f t="shared" si="3"/>
        <v>30</v>
      </c>
      <c r="V24" s="3">
        <v>2</v>
      </c>
      <c r="W24" s="3">
        <f t="shared" si="4"/>
        <v>31</v>
      </c>
      <c r="X24" s="3">
        <v>0</v>
      </c>
      <c r="Y24" s="3"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6"/>
        <v>74</v>
      </c>
      <c r="AG24" s="6">
        <v>3</v>
      </c>
      <c r="AH24" s="6">
        <f t="shared" si="7"/>
        <v>77</v>
      </c>
      <c r="AI24" s="3">
        <v>14</v>
      </c>
      <c r="AJ24" s="3">
        <f t="shared" si="8"/>
        <v>91</v>
      </c>
      <c r="AK24" s="3" t="s">
        <v>55</v>
      </c>
      <c r="AL24" s="3">
        <v>2</v>
      </c>
      <c r="AM24" s="3">
        <f t="shared" si="9"/>
        <v>93</v>
      </c>
      <c r="AN24" s="3">
        <v>2</v>
      </c>
      <c r="AO24" s="3">
        <f t="shared" si="10"/>
        <v>95</v>
      </c>
      <c r="AP24" s="3">
        <v>3</v>
      </c>
      <c r="AQ24" s="3">
        <f t="shared" si="11"/>
        <v>98</v>
      </c>
      <c r="AR24" s="3">
        <f t="shared" si="12"/>
        <v>105</v>
      </c>
      <c r="AS24" s="3">
        <f t="shared" si="13"/>
        <v>126</v>
      </c>
      <c r="AT24" s="3">
        <v>14</v>
      </c>
      <c r="AU24" s="3">
        <f t="shared" si="14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3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18"/>
        <v>9</v>
      </c>
      <c r="N25" s="3">
        <v>14</v>
      </c>
      <c r="O25" s="3">
        <f t="shared" si="15"/>
        <v>22</v>
      </c>
      <c r="P25" s="3">
        <f t="shared" si="0"/>
        <v>5</v>
      </c>
      <c r="Q25" s="3">
        <f t="shared" si="1"/>
        <v>26</v>
      </c>
      <c r="R25" s="3">
        <f t="shared" si="16"/>
        <v>23</v>
      </c>
      <c r="S25" s="3">
        <v>7</v>
      </c>
      <c r="T25" s="3">
        <f t="shared" si="2"/>
        <v>29</v>
      </c>
      <c r="U25" s="3">
        <f t="shared" si="3"/>
        <v>30</v>
      </c>
      <c r="V25" s="3">
        <v>1</v>
      </c>
      <c r="W25" s="3">
        <f t="shared" si="4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6"/>
        <v>77</v>
      </c>
      <c r="AG25" s="6">
        <v>3</v>
      </c>
      <c r="AH25" s="6">
        <f t="shared" si="7"/>
        <v>80</v>
      </c>
      <c r="AI25" s="3">
        <v>14</v>
      </c>
      <c r="AJ25" s="3">
        <f t="shared" si="8"/>
        <v>94</v>
      </c>
      <c r="AK25" s="3" t="s">
        <v>55</v>
      </c>
      <c r="AL25" s="3">
        <v>4</v>
      </c>
      <c r="AM25" s="3">
        <f t="shared" si="9"/>
        <v>98</v>
      </c>
      <c r="AN25" s="3">
        <v>3</v>
      </c>
      <c r="AO25" s="3">
        <f t="shared" si="10"/>
        <v>101</v>
      </c>
      <c r="AP25" s="3">
        <v>4</v>
      </c>
      <c r="AQ25" s="3">
        <f t="shared" si="11"/>
        <v>105</v>
      </c>
      <c r="AR25" s="3">
        <f t="shared" si="12"/>
        <v>112</v>
      </c>
      <c r="AS25" s="3">
        <f t="shared" si="13"/>
        <v>133</v>
      </c>
      <c r="AT25" s="3">
        <v>14</v>
      </c>
      <c r="AU25" s="3">
        <f t="shared" si="14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3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18"/>
        <v>9</v>
      </c>
      <c r="N26" s="3">
        <v>7</v>
      </c>
      <c r="O26" s="3">
        <f t="shared" si="15"/>
        <v>15</v>
      </c>
      <c r="P26" s="3">
        <f t="shared" si="0"/>
        <v>5</v>
      </c>
      <c r="Q26" s="3">
        <f t="shared" si="1"/>
        <v>19</v>
      </c>
      <c r="R26" s="3">
        <f t="shared" si="16"/>
        <v>16</v>
      </c>
      <c r="S26" s="3">
        <v>7</v>
      </c>
      <c r="T26" s="3">
        <f t="shared" si="2"/>
        <v>22</v>
      </c>
      <c r="U26" s="3">
        <f t="shared" si="3"/>
        <v>23</v>
      </c>
      <c r="V26" s="3">
        <v>2</v>
      </c>
      <c r="W26" s="3">
        <f t="shared" si="4"/>
        <v>24</v>
      </c>
      <c r="X26" s="3">
        <v>0</v>
      </c>
      <c r="Y26" s="3"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6"/>
        <v>53</v>
      </c>
      <c r="AG26" s="6">
        <v>3</v>
      </c>
      <c r="AH26" s="6">
        <f t="shared" si="7"/>
        <v>56</v>
      </c>
      <c r="AI26" s="3">
        <v>7</v>
      </c>
      <c r="AJ26" s="3">
        <f t="shared" si="8"/>
        <v>63</v>
      </c>
      <c r="AK26" s="3" t="s">
        <v>60</v>
      </c>
      <c r="AL26" s="3">
        <v>2</v>
      </c>
      <c r="AM26" s="3">
        <f t="shared" si="9"/>
        <v>65</v>
      </c>
      <c r="AN26" s="3">
        <v>2</v>
      </c>
      <c r="AO26" s="3">
        <f t="shared" si="10"/>
        <v>67</v>
      </c>
      <c r="AP26" s="3">
        <v>3</v>
      </c>
      <c r="AQ26" s="3">
        <f t="shared" si="11"/>
        <v>70</v>
      </c>
      <c r="AR26" s="3">
        <f t="shared" si="12"/>
        <v>77</v>
      </c>
      <c r="AS26" s="3">
        <f t="shared" si="13"/>
        <v>98</v>
      </c>
      <c r="AT26" s="3">
        <v>14</v>
      </c>
      <c r="AU26" s="3">
        <f t="shared" si="14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35">
      <c r="A27" s="5">
        <v>930</v>
      </c>
      <c r="B27" s="33" t="s">
        <v>80</v>
      </c>
      <c r="C27" s="33" t="s">
        <v>68</v>
      </c>
      <c r="D27" s="33" t="s">
        <v>58</v>
      </c>
      <c r="E27" s="33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7</v>
      </c>
      <c r="M27" s="3">
        <f t="shared" si="18"/>
        <v>9</v>
      </c>
      <c r="N27" s="3">
        <v>14</v>
      </c>
      <c r="O27" s="3">
        <f t="shared" si="15"/>
        <v>22</v>
      </c>
      <c r="P27" s="3">
        <v>5</v>
      </c>
      <c r="Q27" s="3">
        <f t="shared" si="1"/>
        <v>26</v>
      </c>
      <c r="R27" s="3">
        <f t="shared" si="16"/>
        <v>23</v>
      </c>
      <c r="S27" s="3">
        <v>7</v>
      </c>
      <c r="T27" s="3">
        <f t="shared" si="2"/>
        <v>29</v>
      </c>
      <c r="U27" s="3">
        <f t="shared" si="3"/>
        <v>30</v>
      </c>
      <c r="V27" s="3">
        <v>1</v>
      </c>
      <c r="W27" s="3">
        <f t="shared" si="4"/>
        <v>30</v>
      </c>
      <c r="X27" s="3">
        <v>0</v>
      </c>
      <c r="Y27" s="3"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6"/>
        <v>76</v>
      </c>
      <c r="AG27" s="6">
        <v>3</v>
      </c>
      <c r="AH27" s="6">
        <f t="shared" si="7"/>
        <v>79</v>
      </c>
      <c r="AI27" s="3">
        <v>7</v>
      </c>
      <c r="AJ27" s="3">
        <f t="shared" si="8"/>
        <v>86</v>
      </c>
      <c r="AK27" s="3" t="s">
        <v>55</v>
      </c>
      <c r="AL27" s="46">
        <v>2</v>
      </c>
      <c r="AM27" s="3">
        <f t="shared" si="9"/>
        <v>88</v>
      </c>
      <c r="AN27" s="3">
        <v>8</v>
      </c>
      <c r="AO27" s="3">
        <f t="shared" si="10"/>
        <v>96</v>
      </c>
      <c r="AP27" s="3">
        <v>2</v>
      </c>
      <c r="AQ27" s="3">
        <f t="shared" si="11"/>
        <v>98</v>
      </c>
      <c r="AR27" s="3">
        <f t="shared" si="12"/>
        <v>105</v>
      </c>
      <c r="AS27" s="3">
        <f t="shared" si="13"/>
        <v>129</v>
      </c>
      <c r="AT27" s="3">
        <v>17</v>
      </c>
      <c r="AU27" s="3">
        <f t="shared" si="14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3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18"/>
        <v>9</v>
      </c>
      <c r="N28" s="3">
        <v>14</v>
      </c>
      <c r="O28" s="3">
        <f t="shared" si="15"/>
        <v>22</v>
      </c>
      <c r="P28" s="3">
        <f t="shared" ref="P28:P44" si="20">+IF(I28="SFK Freight Forwarder",0,5)</f>
        <v>5</v>
      </c>
      <c r="Q28" s="3">
        <f t="shared" si="1"/>
        <v>26</v>
      </c>
      <c r="R28" s="3">
        <f t="shared" si="16"/>
        <v>23</v>
      </c>
      <c r="S28" s="3">
        <v>7</v>
      </c>
      <c r="T28" s="3">
        <f t="shared" si="2"/>
        <v>29</v>
      </c>
      <c r="U28" s="3">
        <f t="shared" si="3"/>
        <v>30</v>
      </c>
      <c r="V28" s="3">
        <v>1</v>
      </c>
      <c r="W28" s="3">
        <f t="shared" si="4"/>
        <v>30</v>
      </c>
      <c r="X28" s="3">
        <v>0</v>
      </c>
      <c r="Y28" s="3"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6"/>
        <v>77</v>
      </c>
      <c r="AG28" s="6">
        <v>3</v>
      </c>
      <c r="AH28" s="6">
        <f t="shared" si="7"/>
        <v>80</v>
      </c>
      <c r="AI28" s="3">
        <v>7</v>
      </c>
      <c r="AJ28" s="3">
        <f t="shared" si="8"/>
        <v>87</v>
      </c>
      <c r="AK28" s="3" t="s">
        <v>55</v>
      </c>
      <c r="AL28" s="3">
        <v>2</v>
      </c>
      <c r="AM28" s="3">
        <f t="shared" si="9"/>
        <v>89</v>
      </c>
      <c r="AN28" s="3">
        <v>2</v>
      </c>
      <c r="AO28" s="3">
        <f t="shared" si="10"/>
        <v>91</v>
      </c>
      <c r="AP28" s="3">
        <v>0</v>
      </c>
      <c r="AQ28" s="3">
        <f t="shared" si="11"/>
        <v>91</v>
      </c>
      <c r="AR28" s="3">
        <f t="shared" si="12"/>
        <v>98</v>
      </c>
      <c r="AS28" s="3">
        <f t="shared" si="13"/>
        <v>122</v>
      </c>
      <c r="AT28" s="3">
        <v>17</v>
      </c>
      <c r="AU28" s="3">
        <f t="shared" si="14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3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18"/>
        <v>9</v>
      </c>
      <c r="N29" s="3">
        <v>14</v>
      </c>
      <c r="O29" s="3">
        <f t="shared" si="15"/>
        <v>22</v>
      </c>
      <c r="P29" s="3">
        <f t="shared" si="20"/>
        <v>5</v>
      </c>
      <c r="Q29" s="3">
        <f t="shared" si="1"/>
        <v>26</v>
      </c>
      <c r="R29" s="3">
        <f t="shared" si="16"/>
        <v>23</v>
      </c>
      <c r="S29" s="3">
        <v>7</v>
      </c>
      <c r="T29" s="3">
        <f t="shared" si="2"/>
        <v>29</v>
      </c>
      <c r="U29" s="3">
        <f t="shared" si="3"/>
        <v>30</v>
      </c>
      <c r="V29" s="3">
        <v>1</v>
      </c>
      <c r="W29" s="3">
        <f t="shared" si="4"/>
        <v>30</v>
      </c>
      <c r="X29" s="3">
        <v>0</v>
      </c>
      <c r="Y29" s="3"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6"/>
        <v>94</v>
      </c>
      <c r="AG29" s="6">
        <v>3</v>
      </c>
      <c r="AH29" s="6">
        <f t="shared" si="7"/>
        <v>97</v>
      </c>
      <c r="AI29" s="3">
        <v>7</v>
      </c>
      <c r="AJ29" s="3">
        <f t="shared" si="8"/>
        <v>104</v>
      </c>
      <c r="AK29" s="3" t="s">
        <v>55</v>
      </c>
      <c r="AL29" s="3">
        <v>1</v>
      </c>
      <c r="AM29" s="3">
        <f t="shared" si="9"/>
        <v>105</v>
      </c>
      <c r="AN29" s="3">
        <v>8</v>
      </c>
      <c r="AO29" s="3">
        <f t="shared" si="10"/>
        <v>113</v>
      </c>
      <c r="AP29" s="3">
        <v>6</v>
      </c>
      <c r="AQ29" s="3">
        <f t="shared" si="11"/>
        <v>119</v>
      </c>
      <c r="AR29" s="3">
        <f t="shared" si="12"/>
        <v>126</v>
      </c>
      <c r="AS29" s="3">
        <f t="shared" si="13"/>
        <v>147</v>
      </c>
      <c r="AT29" s="3">
        <v>14</v>
      </c>
      <c r="AU29" s="3">
        <f t="shared" si="14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3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5"/>
        <v>0</v>
      </c>
      <c r="P30" s="3">
        <f t="shared" si="20"/>
        <v>0</v>
      </c>
      <c r="Q30" s="3">
        <f t="shared" si="1"/>
        <v>0</v>
      </c>
      <c r="R30" s="3">
        <f t="shared" si="16"/>
        <v>23</v>
      </c>
      <c r="S30" s="3">
        <v>7</v>
      </c>
      <c r="T30" s="3">
        <f t="shared" si="2"/>
        <v>29</v>
      </c>
      <c r="U30" s="3">
        <f t="shared" si="3"/>
        <v>30</v>
      </c>
      <c r="V30" s="3">
        <v>1</v>
      </c>
      <c r="W30" s="3">
        <f t="shared" si="4"/>
        <v>30</v>
      </c>
      <c r="X30" s="3">
        <v>0</v>
      </c>
      <c r="Y30" s="3">
        <v>31</v>
      </c>
      <c r="Z30" s="6">
        <v>31</v>
      </c>
      <c r="AA30" s="6">
        <f t="shared" si="19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6"/>
        <v>66</v>
      </c>
      <c r="AG30" s="6">
        <v>3</v>
      </c>
      <c r="AH30" s="6">
        <f t="shared" si="7"/>
        <v>69</v>
      </c>
      <c r="AI30" s="3">
        <v>14</v>
      </c>
      <c r="AJ30" s="3">
        <f t="shared" si="8"/>
        <v>83</v>
      </c>
      <c r="AK30" s="3" t="s">
        <v>60</v>
      </c>
      <c r="AL30" s="3">
        <v>0</v>
      </c>
      <c r="AM30" s="3">
        <f t="shared" si="9"/>
        <v>83</v>
      </c>
      <c r="AN30" s="3">
        <v>0</v>
      </c>
      <c r="AO30" s="3">
        <f t="shared" si="10"/>
        <v>83</v>
      </c>
      <c r="AP30" s="3">
        <v>1</v>
      </c>
      <c r="AQ30" s="3">
        <f t="shared" si="11"/>
        <v>84</v>
      </c>
      <c r="AR30" s="3">
        <f t="shared" si="12"/>
        <v>91</v>
      </c>
      <c r="AS30" s="3">
        <f t="shared" si="13"/>
        <v>98</v>
      </c>
      <c r="AT30" s="3">
        <v>0</v>
      </c>
      <c r="AU30" s="3">
        <f t="shared" si="14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3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5"/>
        <v>0</v>
      </c>
      <c r="P31" s="3">
        <f t="shared" si="20"/>
        <v>0</v>
      </c>
      <c r="Q31" s="3">
        <f t="shared" si="1"/>
        <v>0</v>
      </c>
      <c r="R31" s="3">
        <f t="shared" si="16"/>
        <v>23</v>
      </c>
      <c r="S31" s="3">
        <v>7</v>
      </c>
      <c r="T31" s="3">
        <f t="shared" si="2"/>
        <v>29</v>
      </c>
      <c r="U31" s="3">
        <f t="shared" si="3"/>
        <v>30</v>
      </c>
      <c r="V31" s="3">
        <v>1</v>
      </c>
      <c r="W31" s="3">
        <f t="shared" si="4"/>
        <v>30</v>
      </c>
      <c r="X31" s="3">
        <v>0</v>
      </c>
      <c r="Y31" s="3">
        <v>31</v>
      </c>
      <c r="Z31" s="6">
        <v>31</v>
      </c>
      <c r="AA31" s="6">
        <f t="shared" si="19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6"/>
        <v>91</v>
      </c>
      <c r="AG31" s="6">
        <v>3</v>
      </c>
      <c r="AH31" s="6">
        <f t="shared" si="7"/>
        <v>94</v>
      </c>
      <c r="AI31" s="3">
        <v>0</v>
      </c>
      <c r="AJ31" s="3">
        <f t="shared" si="8"/>
        <v>94</v>
      </c>
      <c r="AK31" s="3" t="s">
        <v>60</v>
      </c>
      <c r="AL31" s="3">
        <v>1</v>
      </c>
      <c r="AM31" s="3">
        <f t="shared" si="9"/>
        <v>95</v>
      </c>
      <c r="AN31" s="3">
        <v>4</v>
      </c>
      <c r="AO31" s="3">
        <f t="shared" si="10"/>
        <v>99</v>
      </c>
      <c r="AP31" s="3">
        <v>6</v>
      </c>
      <c r="AQ31" s="3">
        <f t="shared" si="11"/>
        <v>105</v>
      </c>
      <c r="AR31" s="3">
        <f t="shared" si="12"/>
        <v>112</v>
      </c>
      <c r="AS31" s="3">
        <f t="shared" si="13"/>
        <v>119</v>
      </c>
      <c r="AT31" s="3">
        <v>0</v>
      </c>
      <c r="AU31" s="3">
        <f t="shared" si="14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3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5"/>
        <v>0</v>
      </c>
      <c r="P32" s="3">
        <f t="shared" si="20"/>
        <v>0</v>
      </c>
      <c r="Q32" s="3">
        <f t="shared" si="1"/>
        <v>0</v>
      </c>
      <c r="R32" s="3">
        <f t="shared" si="16"/>
        <v>23</v>
      </c>
      <c r="S32" s="3">
        <v>7</v>
      </c>
      <c r="T32" s="3">
        <f t="shared" si="2"/>
        <v>29</v>
      </c>
      <c r="U32" s="3">
        <f t="shared" si="3"/>
        <v>30</v>
      </c>
      <c r="V32" s="3">
        <v>1</v>
      </c>
      <c r="W32" s="3">
        <f t="shared" si="4"/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 t="shared" si="19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6"/>
        <v>83</v>
      </c>
      <c r="AG32" s="6">
        <v>3</v>
      </c>
      <c r="AH32" s="6">
        <f t="shared" si="7"/>
        <v>86</v>
      </c>
      <c r="AI32" s="3">
        <v>7</v>
      </c>
      <c r="AJ32" s="3">
        <f t="shared" si="8"/>
        <v>93</v>
      </c>
      <c r="AK32" s="3" t="s">
        <v>60</v>
      </c>
      <c r="AL32" s="3">
        <v>3</v>
      </c>
      <c r="AM32" s="3">
        <f t="shared" si="9"/>
        <v>96</v>
      </c>
      <c r="AN32" s="3">
        <v>1</v>
      </c>
      <c r="AO32" s="3">
        <f t="shared" si="10"/>
        <v>97</v>
      </c>
      <c r="AP32" s="3">
        <v>1</v>
      </c>
      <c r="AQ32" s="3">
        <f t="shared" si="11"/>
        <v>98</v>
      </c>
      <c r="AR32" s="3">
        <f t="shared" si="12"/>
        <v>105</v>
      </c>
      <c r="AS32" s="3">
        <f t="shared" si="13"/>
        <v>112</v>
      </c>
      <c r="AT32" s="3">
        <v>0</v>
      </c>
      <c r="AU32" s="3">
        <f t="shared" si="14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3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si="15"/>
        <v>0</v>
      </c>
      <c r="P33" s="3">
        <f t="shared" si="20"/>
        <v>0</v>
      </c>
      <c r="Q33" s="3">
        <f t="shared" si="1"/>
        <v>0</v>
      </c>
      <c r="R33" s="3">
        <f t="shared" si="16"/>
        <v>23</v>
      </c>
      <c r="S33" s="3">
        <v>7</v>
      </c>
      <c r="T33" s="3">
        <f t="shared" si="2"/>
        <v>29</v>
      </c>
      <c r="U33" s="3">
        <f t="shared" si="3"/>
        <v>30</v>
      </c>
      <c r="V33" s="3">
        <v>1</v>
      </c>
      <c r="W33" s="3">
        <f t="shared" si="4"/>
        <v>30</v>
      </c>
      <c r="X33" s="3">
        <v>0</v>
      </c>
      <c r="Y33" s="3">
        <v>31</v>
      </c>
      <c r="Z33" s="6">
        <v>36</v>
      </c>
      <c r="AA33" s="6">
        <f t="shared" si="19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si="6"/>
        <v>89</v>
      </c>
      <c r="AG33" s="6">
        <v>3</v>
      </c>
      <c r="AH33" s="6">
        <f t="shared" si="7"/>
        <v>92</v>
      </c>
      <c r="AI33" s="3">
        <v>0</v>
      </c>
      <c r="AJ33" s="3">
        <f t="shared" si="8"/>
        <v>92</v>
      </c>
      <c r="AK33" s="3" t="s">
        <v>60</v>
      </c>
      <c r="AL33" s="3">
        <v>2</v>
      </c>
      <c r="AM33" s="3">
        <f t="shared" si="9"/>
        <v>94</v>
      </c>
      <c r="AN33" s="3">
        <v>2</v>
      </c>
      <c r="AO33" s="3">
        <f t="shared" si="10"/>
        <v>96</v>
      </c>
      <c r="AP33" s="3">
        <v>2</v>
      </c>
      <c r="AQ33" s="3">
        <f t="shared" si="11"/>
        <v>98</v>
      </c>
      <c r="AR33" s="3">
        <f t="shared" si="12"/>
        <v>105</v>
      </c>
      <c r="AS33" s="3">
        <f t="shared" si="13"/>
        <v>112</v>
      </c>
      <c r="AT33" s="3">
        <v>0</v>
      </c>
      <c r="AU33" s="3">
        <f t="shared" si="14"/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3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15"/>
        <v>0</v>
      </c>
      <c r="P34" s="3">
        <f t="shared" si="20"/>
        <v>0</v>
      </c>
      <c r="Q34" s="3">
        <f t="shared" ref="Q34:Q55" si="21">+IF(I34="SFK Freight Forwarder",O34,O34+P34-1)</f>
        <v>0</v>
      </c>
      <c r="R34" s="3">
        <f t="shared" si="16"/>
        <v>23</v>
      </c>
      <c r="S34" s="3">
        <v>7</v>
      </c>
      <c r="T34" s="3">
        <f t="shared" ref="T34:T52" si="22">+R34+S34-1</f>
        <v>29</v>
      </c>
      <c r="U34" s="3">
        <f t="shared" si="3"/>
        <v>30</v>
      </c>
      <c r="V34" s="3">
        <v>1</v>
      </c>
      <c r="W34" s="3">
        <f t="shared" ref="W34:W52" si="23">+U34+V34-1</f>
        <v>30</v>
      </c>
      <c r="X34" s="3">
        <v>0</v>
      </c>
      <c r="Y34" s="3">
        <v>31</v>
      </c>
      <c r="Z34" s="6">
        <v>33</v>
      </c>
      <c r="AA34" s="6">
        <f t="shared" si="19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ref="AF34:AF55" si="24">+AE34+AA34-1</f>
        <v>98</v>
      </c>
      <c r="AG34" s="6">
        <v>3</v>
      </c>
      <c r="AH34" s="6">
        <f t="shared" ref="AH34:AH55" si="25">+AF34+AG34</f>
        <v>101</v>
      </c>
      <c r="AI34" s="3">
        <v>0</v>
      </c>
      <c r="AJ34" s="3">
        <f t="shared" ref="AJ34:AJ55" si="26">+AI34+AH34</f>
        <v>101</v>
      </c>
      <c r="AK34" s="3" t="s">
        <v>60</v>
      </c>
      <c r="AL34" s="3">
        <v>4</v>
      </c>
      <c r="AM34" s="3">
        <f t="shared" ref="AM34:AM55" si="27">+AJ34+AL34</f>
        <v>105</v>
      </c>
      <c r="AN34" s="3">
        <v>3</v>
      </c>
      <c r="AO34" s="3">
        <f t="shared" ref="AO34:AO55" si="28">+AM34+AN34</f>
        <v>108</v>
      </c>
      <c r="AP34" s="3">
        <v>4</v>
      </c>
      <c r="AQ34" s="3">
        <f t="shared" si="11"/>
        <v>112</v>
      </c>
      <c r="AR34" s="3">
        <f t="shared" si="12"/>
        <v>119</v>
      </c>
      <c r="AS34" s="3">
        <f t="shared" ref="AS34:AS55" si="29">+AR34+7+AT34</f>
        <v>126</v>
      </c>
      <c r="AT34" s="3">
        <v>0</v>
      </c>
      <c r="AU34" s="3">
        <f t="shared" ref="AU34:AU55" si="30"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3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15"/>
        <v>0</v>
      </c>
      <c r="P35" s="3">
        <f t="shared" si="20"/>
        <v>0</v>
      </c>
      <c r="Q35" s="3">
        <f t="shared" si="21"/>
        <v>0</v>
      </c>
      <c r="R35" s="3">
        <f t="shared" si="16"/>
        <v>23</v>
      </c>
      <c r="S35" s="3">
        <v>7</v>
      </c>
      <c r="T35" s="3">
        <f t="shared" si="22"/>
        <v>29</v>
      </c>
      <c r="U35" s="3">
        <f t="shared" si="3"/>
        <v>30</v>
      </c>
      <c r="V35" s="3">
        <v>1</v>
      </c>
      <c r="W35" s="3">
        <f t="shared" si="23"/>
        <v>30</v>
      </c>
      <c r="X35" s="3">
        <v>3</v>
      </c>
      <c r="Y35" s="3">
        <v>31</v>
      </c>
      <c r="Z35" s="6">
        <f>+Y35+X35-1</f>
        <v>33</v>
      </c>
      <c r="AA35" s="6">
        <f t="shared" si="19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4"/>
        <v>84</v>
      </c>
      <c r="AG35" s="6">
        <v>3</v>
      </c>
      <c r="AH35" s="6">
        <f t="shared" si="25"/>
        <v>87</v>
      </c>
      <c r="AI35" s="3">
        <v>14</v>
      </c>
      <c r="AJ35" s="3">
        <f t="shared" si="26"/>
        <v>101</v>
      </c>
      <c r="AK35" s="3" t="s">
        <v>60</v>
      </c>
      <c r="AL35" s="3">
        <v>2</v>
      </c>
      <c r="AM35" s="3">
        <f t="shared" si="27"/>
        <v>103</v>
      </c>
      <c r="AN35" s="3">
        <v>2</v>
      </c>
      <c r="AO35" s="3">
        <f t="shared" si="28"/>
        <v>105</v>
      </c>
      <c r="AP35" s="3">
        <v>0</v>
      </c>
      <c r="AQ35" s="3">
        <f t="shared" si="11"/>
        <v>105</v>
      </c>
      <c r="AR35" s="3">
        <f t="shared" si="12"/>
        <v>112</v>
      </c>
      <c r="AS35" s="3">
        <f t="shared" si="29"/>
        <v>119</v>
      </c>
      <c r="AT35" s="3">
        <v>0</v>
      </c>
      <c r="AU35" s="3">
        <f t="shared" si="30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3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15"/>
        <v>0</v>
      </c>
      <c r="P36" s="3">
        <f t="shared" si="20"/>
        <v>0</v>
      </c>
      <c r="Q36" s="3">
        <f t="shared" si="21"/>
        <v>0</v>
      </c>
      <c r="R36" s="3">
        <f t="shared" si="16"/>
        <v>23</v>
      </c>
      <c r="S36" s="3">
        <v>7</v>
      </c>
      <c r="T36" s="3">
        <f t="shared" si="22"/>
        <v>29</v>
      </c>
      <c r="U36" s="3">
        <f t="shared" si="3"/>
        <v>30</v>
      </c>
      <c r="V36" s="3">
        <v>2</v>
      </c>
      <c r="W36" s="3">
        <f t="shared" si="23"/>
        <v>31</v>
      </c>
      <c r="X36" s="3">
        <v>0</v>
      </c>
      <c r="Y36" s="3">
        <v>33</v>
      </c>
      <c r="Z36" s="6">
        <v>39</v>
      </c>
      <c r="AA36" s="6">
        <f t="shared" si="19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4"/>
        <v>60</v>
      </c>
      <c r="AG36" s="6">
        <v>3</v>
      </c>
      <c r="AH36" s="6">
        <f t="shared" si="25"/>
        <v>63</v>
      </c>
      <c r="AI36" s="3">
        <v>0</v>
      </c>
      <c r="AJ36" s="3">
        <f t="shared" si="26"/>
        <v>63</v>
      </c>
      <c r="AK36" s="3" t="s">
        <v>60</v>
      </c>
      <c r="AL36" s="3">
        <v>0</v>
      </c>
      <c r="AM36" s="3">
        <f t="shared" si="27"/>
        <v>63</v>
      </c>
      <c r="AN36" s="3">
        <v>0</v>
      </c>
      <c r="AO36" s="3">
        <f t="shared" si="28"/>
        <v>63</v>
      </c>
      <c r="AP36" s="3">
        <v>0</v>
      </c>
      <c r="AQ36" s="3">
        <f t="shared" si="11"/>
        <v>63</v>
      </c>
      <c r="AR36" s="3">
        <f t="shared" si="12"/>
        <v>70</v>
      </c>
      <c r="AS36" s="3">
        <f t="shared" si="29"/>
        <v>77</v>
      </c>
      <c r="AT36" s="3">
        <v>0</v>
      </c>
      <c r="AU36" s="3">
        <f t="shared" si="30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3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15"/>
        <v>0</v>
      </c>
      <c r="P37" s="3">
        <f t="shared" si="20"/>
        <v>0</v>
      </c>
      <c r="Q37" s="3">
        <f t="shared" si="21"/>
        <v>0</v>
      </c>
      <c r="R37" s="3">
        <f t="shared" si="16"/>
        <v>23</v>
      </c>
      <c r="S37" s="3">
        <v>7</v>
      </c>
      <c r="T37" s="3">
        <f t="shared" si="22"/>
        <v>29</v>
      </c>
      <c r="U37" s="3">
        <f t="shared" si="3"/>
        <v>30</v>
      </c>
      <c r="V37" s="3">
        <v>2</v>
      </c>
      <c r="W37" s="3">
        <f t="shared" si="23"/>
        <v>31</v>
      </c>
      <c r="X37" s="3">
        <v>0</v>
      </c>
      <c r="Y37" s="3">
        <v>33</v>
      </c>
      <c r="Z37" s="6">
        <v>39</v>
      </c>
      <c r="AA37" s="6">
        <f t="shared" si="19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4"/>
        <v>77</v>
      </c>
      <c r="AG37" s="6">
        <v>3</v>
      </c>
      <c r="AH37" s="6">
        <f t="shared" si="25"/>
        <v>80</v>
      </c>
      <c r="AI37" s="3">
        <v>0</v>
      </c>
      <c r="AJ37" s="3">
        <f t="shared" si="26"/>
        <v>80</v>
      </c>
      <c r="AK37" s="3" t="s">
        <v>60</v>
      </c>
      <c r="AL37" s="3">
        <v>2</v>
      </c>
      <c r="AM37" s="3">
        <f t="shared" si="27"/>
        <v>82</v>
      </c>
      <c r="AN37" s="3">
        <v>2</v>
      </c>
      <c r="AO37" s="3">
        <f t="shared" si="28"/>
        <v>84</v>
      </c>
      <c r="AP37" s="3">
        <v>0</v>
      </c>
      <c r="AQ37" s="3">
        <f t="shared" si="11"/>
        <v>84</v>
      </c>
      <c r="AR37" s="3">
        <f t="shared" si="12"/>
        <v>91</v>
      </c>
      <c r="AS37" s="3">
        <f t="shared" si="29"/>
        <v>98</v>
      </c>
      <c r="AT37" s="3">
        <v>0</v>
      </c>
      <c r="AU37" s="3">
        <f t="shared" si="30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3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15"/>
        <v>0</v>
      </c>
      <c r="P38" s="3">
        <f t="shared" si="20"/>
        <v>0</v>
      </c>
      <c r="Q38" s="3">
        <f t="shared" si="21"/>
        <v>0</v>
      </c>
      <c r="R38" s="3">
        <f t="shared" si="16"/>
        <v>23</v>
      </c>
      <c r="S38" s="3">
        <v>7</v>
      </c>
      <c r="T38" s="3">
        <f t="shared" si="22"/>
        <v>29</v>
      </c>
      <c r="U38" s="3">
        <f t="shared" si="3"/>
        <v>30</v>
      </c>
      <c r="V38" s="3">
        <v>1</v>
      </c>
      <c r="W38" s="3">
        <f t="shared" si="23"/>
        <v>30</v>
      </c>
      <c r="X38" s="3">
        <v>0</v>
      </c>
      <c r="Y38" s="3">
        <v>31</v>
      </c>
      <c r="Z38" s="6">
        <v>33</v>
      </c>
      <c r="AA38" s="6">
        <f t="shared" si="19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4"/>
        <v>87</v>
      </c>
      <c r="AG38" s="6">
        <v>3</v>
      </c>
      <c r="AH38" s="6">
        <f t="shared" si="25"/>
        <v>90</v>
      </c>
      <c r="AI38" s="3">
        <v>0</v>
      </c>
      <c r="AJ38" s="3">
        <f t="shared" si="26"/>
        <v>90</v>
      </c>
      <c r="AK38" s="3" t="s">
        <v>60</v>
      </c>
      <c r="AL38" s="3">
        <v>2</v>
      </c>
      <c r="AM38" s="3">
        <f t="shared" si="27"/>
        <v>92</v>
      </c>
      <c r="AN38" s="3">
        <v>6</v>
      </c>
      <c r="AO38" s="3">
        <f t="shared" si="28"/>
        <v>98</v>
      </c>
      <c r="AP38" s="3">
        <v>0</v>
      </c>
      <c r="AQ38" s="3">
        <f t="shared" si="11"/>
        <v>98</v>
      </c>
      <c r="AR38" s="3">
        <f t="shared" si="12"/>
        <v>105</v>
      </c>
      <c r="AS38" s="3">
        <f t="shared" si="29"/>
        <v>112</v>
      </c>
      <c r="AT38" s="3">
        <v>0</v>
      </c>
      <c r="AU38" s="3">
        <f t="shared" si="30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3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15"/>
        <v>0</v>
      </c>
      <c r="P39" s="3">
        <f t="shared" si="20"/>
        <v>0</v>
      </c>
      <c r="Q39" s="3">
        <f t="shared" si="21"/>
        <v>0</v>
      </c>
      <c r="R39" s="3">
        <f t="shared" si="16"/>
        <v>23</v>
      </c>
      <c r="S39" s="3">
        <v>7</v>
      </c>
      <c r="T39" s="3">
        <f t="shared" si="22"/>
        <v>29</v>
      </c>
      <c r="U39" s="3">
        <f t="shared" si="3"/>
        <v>30</v>
      </c>
      <c r="V39" s="3">
        <v>2</v>
      </c>
      <c r="W39" s="3">
        <f t="shared" si="23"/>
        <v>31</v>
      </c>
      <c r="X39" s="3">
        <v>0</v>
      </c>
      <c r="Y39" s="3">
        <v>33</v>
      </c>
      <c r="Z39" s="6">
        <v>34</v>
      </c>
      <c r="AA39" s="6">
        <f t="shared" si="19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4"/>
        <v>66</v>
      </c>
      <c r="AG39" s="6">
        <v>3</v>
      </c>
      <c r="AH39" s="6">
        <f t="shared" si="25"/>
        <v>69</v>
      </c>
      <c r="AI39" s="3">
        <v>0</v>
      </c>
      <c r="AJ39" s="3">
        <f t="shared" si="26"/>
        <v>69</v>
      </c>
      <c r="AK39" s="3" t="s">
        <v>60</v>
      </c>
      <c r="AL39" s="3">
        <v>2</v>
      </c>
      <c r="AM39" s="3">
        <f t="shared" si="27"/>
        <v>71</v>
      </c>
      <c r="AN39" s="3">
        <v>5</v>
      </c>
      <c r="AO39" s="3">
        <f t="shared" si="28"/>
        <v>76</v>
      </c>
      <c r="AP39" s="3">
        <v>1</v>
      </c>
      <c r="AQ39" s="3">
        <f t="shared" si="11"/>
        <v>77</v>
      </c>
      <c r="AR39" s="3">
        <f t="shared" si="12"/>
        <v>84</v>
      </c>
      <c r="AS39" s="3">
        <f t="shared" si="29"/>
        <v>91</v>
      </c>
      <c r="AT39" s="3">
        <v>0</v>
      </c>
      <c r="AU39" s="3">
        <f t="shared" si="30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3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15"/>
        <v>0</v>
      </c>
      <c r="P40" s="3">
        <f t="shared" si="20"/>
        <v>0</v>
      </c>
      <c r="Q40" s="3">
        <f t="shared" si="21"/>
        <v>0</v>
      </c>
      <c r="R40" s="3">
        <f t="shared" si="16"/>
        <v>23</v>
      </c>
      <c r="S40" s="3">
        <v>7</v>
      </c>
      <c r="T40" s="3">
        <f t="shared" si="22"/>
        <v>29</v>
      </c>
      <c r="U40" s="3">
        <f t="shared" si="3"/>
        <v>30</v>
      </c>
      <c r="V40" s="3">
        <v>1</v>
      </c>
      <c r="W40" s="3">
        <f t="shared" si="23"/>
        <v>30</v>
      </c>
      <c r="X40" s="3">
        <v>0</v>
      </c>
      <c r="Y40" s="3">
        <v>31</v>
      </c>
      <c r="Z40" s="6">
        <v>33</v>
      </c>
      <c r="AA40" s="6">
        <f t="shared" si="19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4"/>
        <v>102</v>
      </c>
      <c r="AG40" s="6">
        <v>3</v>
      </c>
      <c r="AH40" s="6">
        <f t="shared" si="25"/>
        <v>105</v>
      </c>
      <c r="AI40" s="3">
        <v>7</v>
      </c>
      <c r="AJ40" s="3">
        <f t="shared" si="26"/>
        <v>112</v>
      </c>
      <c r="AK40" s="3" t="s">
        <v>60</v>
      </c>
      <c r="AL40" s="3">
        <v>3</v>
      </c>
      <c r="AM40" s="3">
        <f t="shared" si="27"/>
        <v>115</v>
      </c>
      <c r="AN40" s="3">
        <v>3</v>
      </c>
      <c r="AO40" s="3">
        <f t="shared" si="28"/>
        <v>118</v>
      </c>
      <c r="AP40" s="3">
        <v>1</v>
      </c>
      <c r="AQ40" s="3">
        <f t="shared" si="11"/>
        <v>119</v>
      </c>
      <c r="AR40" s="3">
        <f t="shared" si="12"/>
        <v>126</v>
      </c>
      <c r="AS40" s="3">
        <f t="shared" si="29"/>
        <v>133</v>
      </c>
      <c r="AT40" s="3">
        <v>0</v>
      </c>
      <c r="AU40" s="3">
        <f t="shared" si="30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3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>+IF(I41="SFK Freight Forwarder",L41,9)</f>
        <v>9</v>
      </c>
      <c r="N41" s="3">
        <v>21</v>
      </c>
      <c r="O41" s="3">
        <f t="shared" si="15"/>
        <v>29</v>
      </c>
      <c r="P41" s="3">
        <f t="shared" si="20"/>
        <v>5</v>
      </c>
      <c r="Q41" s="3">
        <f t="shared" si="21"/>
        <v>33</v>
      </c>
      <c r="R41" s="3">
        <f t="shared" si="16"/>
        <v>30</v>
      </c>
      <c r="S41" s="3">
        <v>7</v>
      </c>
      <c r="T41" s="3">
        <f t="shared" si="22"/>
        <v>36</v>
      </c>
      <c r="U41" s="3">
        <f t="shared" si="3"/>
        <v>37</v>
      </c>
      <c r="V41" s="3">
        <v>1</v>
      </c>
      <c r="W41" s="3">
        <f t="shared" si="23"/>
        <v>37</v>
      </c>
      <c r="X41" s="3">
        <v>0</v>
      </c>
      <c r="Y41" s="3">
        <v>37</v>
      </c>
      <c r="Z41" s="6">
        <v>42</v>
      </c>
      <c r="AA41" s="6">
        <f t="shared" si="19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4"/>
        <v>83</v>
      </c>
      <c r="AG41" s="6">
        <v>3</v>
      </c>
      <c r="AH41" s="6">
        <f t="shared" si="25"/>
        <v>86</v>
      </c>
      <c r="AI41" s="3">
        <v>0</v>
      </c>
      <c r="AJ41" s="3">
        <f t="shared" si="26"/>
        <v>86</v>
      </c>
      <c r="AK41" s="3" t="s">
        <v>55</v>
      </c>
      <c r="AL41" s="3">
        <v>2</v>
      </c>
      <c r="AM41" s="3">
        <f t="shared" si="27"/>
        <v>88</v>
      </c>
      <c r="AN41" s="3">
        <v>8</v>
      </c>
      <c r="AO41" s="3">
        <f t="shared" si="28"/>
        <v>96</v>
      </c>
      <c r="AP41" s="3">
        <v>2</v>
      </c>
      <c r="AQ41" s="3">
        <f t="shared" si="11"/>
        <v>98</v>
      </c>
      <c r="AR41" s="3">
        <f t="shared" si="12"/>
        <v>105</v>
      </c>
      <c r="AS41" s="3">
        <f t="shared" si="29"/>
        <v>112</v>
      </c>
      <c r="AT41" s="3">
        <v>0</v>
      </c>
      <c r="AU41" s="3">
        <f t="shared" si="30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3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15"/>
        <v>0</v>
      </c>
      <c r="P42" s="3">
        <f t="shared" si="20"/>
        <v>0</v>
      </c>
      <c r="Q42" s="3">
        <f t="shared" si="21"/>
        <v>0</v>
      </c>
      <c r="R42" s="3">
        <f t="shared" si="16"/>
        <v>23</v>
      </c>
      <c r="S42" s="3">
        <v>7</v>
      </c>
      <c r="T42" s="3">
        <f t="shared" si="22"/>
        <v>29</v>
      </c>
      <c r="U42" s="3">
        <f t="shared" si="3"/>
        <v>30</v>
      </c>
      <c r="V42" s="3">
        <v>1</v>
      </c>
      <c r="W42" s="3">
        <f t="shared" si="23"/>
        <v>30</v>
      </c>
      <c r="X42" s="3">
        <v>0</v>
      </c>
      <c r="Y42" s="3">
        <v>31</v>
      </c>
      <c r="Z42" s="6">
        <v>33</v>
      </c>
      <c r="AA42" s="6">
        <f t="shared" si="19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4"/>
        <v>67</v>
      </c>
      <c r="AG42" s="6">
        <v>3</v>
      </c>
      <c r="AH42" s="6">
        <f t="shared" si="25"/>
        <v>70</v>
      </c>
      <c r="AI42" s="3">
        <v>0</v>
      </c>
      <c r="AJ42" s="3">
        <f t="shared" si="26"/>
        <v>70</v>
      </c>
      <c r="AK42" s="3" t="s">
        <v>60</v>
      </c>
      <c r="AL42" s="3">
        <v>4</v>
      </c>
      <c r="AM42" s="3">
        <f t="shared" si="27"/>
        <v>74</v>
      </c>
      <c r="AN42" s="3">
        <v>3</v>
      </c>
      <c r="AO42" s="3">
        <f t="shared" si="28"/>
        <v>77</v>
      </c>
      <c r="AP42" s="3">
        <v>0</v>
      </c>
      <c r="AQ42" s="3">
        <f t="shared" si="11"/>
        <v>77</v>
      </c>
      <c r="AR42" s="3">
        <f t="shared" si="12"/>
        <v>84</v>
      </c>
      <c r="AS42" s="3">
        <f t="shared" si="29"/>
        <v>91</v>
      </c>
      <c r="AT42" s="3">
        <v>0</v>
      </c>
      <c r="AU42" s="3">
        <f t="shared" si="30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 t="shared" si="15"/>
        <v>29</v>
      </c>
      <c r="P43" s="3">
        <f t="shared" si="20"/>
        <v>5</v>
      </c>
      <c r="Q43" s="3">
        <f t="shared" si="21"/>
        <v>33</v>
      </c>
      <c r="R43" s="3">
        <f t="shared" si="16"/>
        <v>30</v>
      </c>
      <c r="S43" s="3">
        <v>7</v>
      </c>
      <c r="T43" s="3">
        <f t="shared" si="22"/>
        <v>36</v>
      </c>
      <c r="U43" s="3">
        <f t="shared" si="3"/>
        <v>37</v>
      </c>
      <c r="V43" s="3">
        <v>1</v>
      </c>
      <c r="W43" s="3">
        <f t="shared" si="23"/>
        <v>37</v>
      </c>
      <c r="X43" s="3">
        <v>0</v>
      </c>
      <c r="Y43" s="3">
        <v>37</v>
      </c>
      <c r="Z43" s="6">
        <v>37</v>
      </c>
      <c r="AA43" s="6">
        <f t="shared" si="19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4"/>
        <v>84</v>
      </c>
      <c r="AG43" s="6">
        <v>3</v>
      </c>
      <c r="AH43" s="6">
        <f t="shared" si="25"/>
        <v>87</v>
      </c>
      <c r="AI43" s="3">
        <v>7</v>
      </c>
      <c r="AJ43" s="3">
        <f t="shared" si="26"/>
        <v>94</v>
      </c>
      <c r="AK43" s="3" t="s">
        <v>55</v>
      </c>
      <c r="AL43" s="3">
        <v>4</v>
      </c>
      <c r="AM43" s="3">
        <f t="shared" si="27"/>
        <v>98</v>
      </c>
      <c r="AN43" s="3">
        <v>3</v>
      </c>
      <c r="AO43" s="3">
        <f t="shared" si="28"/>
        <v>101</v>
      </c>
      <c r="AP43" s="3">
        <v>4</v>
      </c>
      <c r="AQ43" s="3">
        <f t="shared" si="11"/>
        <v>105</v>
      </c>
      <c r="AR43" s="3">
        <f t="shared" si="12"/>
        <v>112</v>
      </c>
      <c r="AS43" s="3">
        <f t="shared" si="29"/>
        <v>119</v>
      </c>
      <c r="AT43" s="3">
        <v>0</v>
      </c>
      <c r="AU43" s="3">
        <f t="shared" si="30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3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 t="shared" si="15"/>
        <v>22</v>
      </c>
      <c r="P44" s="3">
        <f t="shared" si="20"/>
        <v>5</v>
      </c>
      <c r="Q44" s="3">
        <f t="shared" si="21"/>
        <v>26</v>
      </c>
      <c r="R44" s="3">
        <f t="shared" si="16"/>
        <v>23</v>
      </c>
      <c r="S44" s="3">
        <v>7</v>
      </c>
      <c r="T44" s="3">
        <f t="shared" si="22"/>
        <v>29</v>
      </c>
      <c r="U44" s="3">
        <f t="shared" si="3"/>
        <v>30</v>
      </c>
      <c r="V44" s="3">
        <v>2</v>
      </c>
      <c r="W44" s="3">
        <f t="shared" si="23"/>
        <v>31</v>
      </c>
      <c r="X44" s="3">
        <v>0</v>
      </c>
      <c r="Y44" s="3">
        <v>36</v>
      </c>
      <c r="Z44" s="6">
        <v>39</v>
      </c>
      <c r="AA44" s="6">
        <f t="shared" si="19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4"/>
        <v>75</v>
      </c>
      <c r="AG44" s="6">
        <v>3</v>
      </c>
      <c r="AH44" s="6">
        <f t="shared" si="25"/>
        <v>78</v>
      </c>
      <c r="AI44" s="3">
        <v>0</v>
      </c>
      <c r="AJ44" s="3">
        <f t="shared" si="26"/>
        <v>78</v>
      </c>
      <c r="AK44" s="3" t="s">
        <v>65</v>
      </c>
      <c r="AL44" s="3">
        <v>2</v>
      </c>
      <c r="AM44" s="3">
        <f t="shared" si="27"/>
        <v>80</v>
      </c>
      <c r="AN44" s="3">
        <v>2</v>
      </c>
      <c r="AO44" s="3">
        <f t="shared" si="28"/>
        <v>82</v>
      </c>
      <c r="AP44" s="3">
        <v>2</v>
      </c>
      <c r="AQ44" s="3">
        <f t="shared" si="11"/>
        <v>84</v>
      </c>
      <c r="AR44" s="3">
        <f t="shared" si="12"/>
        <v>91</v>
      </c>
      <c r="AS44" s="3">
        <f t="shared" si="29"/>
        <v>98</v>
      </c>
      <c r="AT44" s="3">
        <v>0</v>
      </c>
      <c r="AU44" s="3">
        <f t="shared" si="30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3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15"/>
        <v>8</v>
      </c>
      <c r="P45" s="3">
        <v>6</v>
      </c>
      <c r="Q45" s="3">
        <f t="shared" si="21"/>
        <v>13</v>
      </c>
      <c r="R45" s="23">
        <v>9</v>
      </c>
      <c r="S45" s="23">
        <v>12</v>
      </c>
      <c r="T45" s="23">
        <f t="shared" si="22"/>
        <v>20</v>
      </c>
      <c r="U45" s="23">
        <f>+T45+2</f>
        <v>22</v>
      </c>
      <c r="V45" s="23">
        <v>5</v>
      </c>
      <c r="W45" s="23">
        <f t="shared" si="23"/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4"/>
        <v>71</v>
      </c>
      <c r="AG45" s="23">
        <v>3</v>
      </c>
      <c r="AH45" s="23">
        <f t="shared" si="25"/>
        <v>74</v>
      </c>
      <c r="AI45" s="23">
        <v>7</v>
      </c>
      <c r="AJ45" s="23">
        <f t="shared" si="26"/>
        <v>81</v>
      </c>
      <c r="AK45" s="23"/>
      <c r="AL45" s="23">
        <v>3</v>
      </c>
      <c r="AM45" s="23">
        <f t="shared" si="27"/>
        <v>84</v>
      </c>
      <c r="AN45" s="23">
        <v>5</v>
      </c>
      <c r="AO45" s="23">
        <f t="shared" si="28"/>
        <v>89</v>
      </c>
      <c r="AP45" s="23">
        <v>6</v>
      </c>
      <c r="AQ45" s="3">
        <v>92</v>
      </c>
      <c r="AR45" s="23">
        <f>+AQ45+4</f>
        <v>96</v>
      </c>
      <c r="AS45" s="23">
        <f t="shared" si="29"/>
        <v>117</v>
      </c>
      <c r="AT45" s="23">
        <v>14</v>
      </c>
      <c r="AU45" s="3">
        <f t="shared" si="30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3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si="15"/>
        <v>8</v>
      </c>
      <c r="P46" s="3">
        <v>6</v>
      </c>
      <c r="Q46" s="3">
        <f t="shared" si="21"/>
        <v>13</v>
      </c>
      <c r="R46" s="23">
        <v>9</v>
      </c>
      <c r="S46" s="23">
        <v>12</v>
      </c>
      <c r="T46" s="23">
        <f t="shared" si="22"/>
        <v>20</v>
      </c>
      <c r="U46" s="23">
        <f>+T46+2</f>
        <v>22</v>
      </c>
      <c r="V46" s="23">
        <v>5</v>
      </c>
      <c r="W46" s="23">
        <f t="shared" si="23"/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si="24"/>
        <v>69</v>
      </c>
      <c r="AG46" s="23">
        <v>3</v>
      </c>
      <c r="AH46" s="23">
        <f t="shared" si="25"/>
        <v>72</v>
      </c>
      <c r="AI46" s="23">
        <v>0</v>
      </c>
      <c r="AJ46" s="23">
        <f t="shared" si="26"/>
        <v>72</v>
      </c>
      <c r="AK46" s="23"/>
      <c r="AL46" s="23">
        <v>2</v>
      </c>
      <c r="AM46" s="23">
        <f t="shared" si="27"/>
        <v>74</v>
      </c>
      <c r="AN46" s="23">
        <v>1</v>
      </c>
      <c r="AO46" s="23">
        <f t="shared" si="28"/>
        <v>75</v>
      </c>
      <c r="AP46" s="23">
        <v>3</v>
      </c>
      <c r="AQ46" s="3">
        <f t="shared" ref="AQ46:AQ55" si="31">+AO46+AP46</f>
        <v>78</v>
      </c>
      <c r="AR46" s="23">
        <f>+AQ46+4</f>
        <v>82</v>
      </c>
      <c r="AS46" s="23">
        <f t="shared" si="29"/>
        <v>103</v>
      </c>
      <c r="AT46" s="23">
        <v>14</v>
      </c>
      <c r="AU46" s="3">
        <f t="shared" si="30"/>
        <v>27</v>
      </c>
      <c r="AV46" s="23" t="s">
        <v>133</v>
      </c>
      <c r="AW46" s="23" t="s">
        <v>131</v>
      </c>
      <c r="AX46" s="20" t="s">
        <v>56</v>
      </c>
      <c r="AY46" s="40">
        <v>46507</v>
      </c>
    </row>
    <row r="47" spans="1:51" hidden="1" x14ac:dyDescent="0.3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ref="M47:M54" si="32">+IF(I47="SFK Freight Forwarder",L47,9)</f>
        <v>9</v>
      </c>
      <c r="N47" s="3">
        <v>14</v>
      </c>
      <c r="O47" s="3">
        <f t="shared" si="15"/>
        <v>22</v>
      </c>
      <c r="P47" s="3">
        <f t="shared" ref="P47:P52" si="33">+IF(I47="SFK Freight Forwarder",0,5)</f>
        <v>5</v>
      </c>
      <c r="Q47" s="3">
        <f t="shared" si="21"/>
        <v>26</v>
      </c>
      <c r="R47" s="3">
        <f t="shared" ref="R47:R52" si="34">9+N47</f>
        <v>23</v>
      </c>
      <c r="S47" s="3">
        <v>7</v>
      </c>
      <c r="T47" s="3">
        <f t="shared" si="22"/>
        <v>29</v>
      </c>
      <c r="U47" s="3">
        <f t="shared" ref="U47:U52" si="35">+T47+1</f>
        <v>30</v>
      </c>
      <c r="V47" s="3">
        <v>2</v>
      </c>
      <c r="W47" s="3">
        <f t="shared" si="23"/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4"/>
        <v>73</v>
      </c>
      <c r="AG47" s="6">
        <v>3</v>
      </c>
      <c r="AH47" s="6">
        <f t="shared" si="25"/>
        <v>76</v>
      </c>
      <c r="AI47" s="3">
        <v>0</v>
      </c>
      <c r="AJ47" s="3">
        <f t="shared" si="26"/>
        <v>76</v>
      </c>
      <c r="AK47" s="3" t="s">
        <v>60</v>
      </c>
      <c r="AL47" s="3">
        <v>2</v>
      </c>
      <c r="AM47" s="3">
        <f t="shared" si="27"/>
        <v>78</v>
      </c>
      <c r="AN47" s="3">
        <v>2</v>
      </c>
      <c r="AO47" s="3">
        <f t="shared" si="28"/>
        <v>80</v>
      </c>
      <c r="AP47" s="3">
        <v>6</v>
      </c>
      <c r="AQ47" s="3">
        <f t="shared" si="31"/>
        <v>86</v>
      </c>
      <c r="AR47" s="3">
        <f t="shared" ref="AR47:AR55" si="36">+AQ47+7</f>
        <v>93</v>
      </c>
      <c r="AS47" s="3">
        <f t="shared" si="29"/>
        <v>100</v>
      </c>
      <c r="AT47" s="3">
        <v>0</v>
      </c>
      <c r="AU47" s="3">
        <f t="shared" si="30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3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2"/>
        <v>9</v>
      </c>
      <c r="N48" s="3">
        <v>14</v>
      </c>
      <c r="O48" s="3">
        <f t="shared" si="15"/>
        <v>22</v>
      </c>
      <c r="P48" s="3">
        <f t="shared" si="33"/>
        <v>5</v>
      </c>
      <c r="Q48" s="3">
        <f t="shared" si="21"/>
        <v>26</v>
      </c>
      <c r="R48" s="3">
        <f t="shared" si="34"/>
        <v>23</v>
      </c>
      <c r="S48" s="3">
        <v>7</v>
      </c>
      <c r="T48" s="3">
        <f t="shared" si="22"/>
        <v>29</v>
      </c>
      <c r="U48" s="3">
        <f t="shared" si="35"/>
        <v>30</v>
      </c>
      <c r="V48" s="3">
        <v>2</v>
      </c>
      <c r="W48" s="3">
        <f t="shared" si="23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4"/>
        <v>103</v>
      </c>
      <c r="AG48" s="6">
        <v>3</v>
      </c>
      <c r="AH48" s="6">
        <f t="shared" si="25"/>
        <v>106</v>
      </c>
      <c r="AI48" s="3">
        <v>0</v>
      </c>
      <c r="AJ48" s="3">
        <f t="shared" si="26"/>
        <v>106</v>
      </c>
      <c r="AK48" s="3" t="s">
        <v>60</v>
      </c>
      <c r="AL48" s="3">
        <v>2</v>
      </c>
      <c r="AM48" s="3">
        <f t="shared" si="27"/>
        <v>108</v>
      </c>
      <c r="AN48" s="3">
        <v>7</v>
      </c>
      <c r="AO48" s="3">
        <f t="shared" si="28"/>
        <v>115</v>
      </c>
      <c r="AP48" s="3">
        <v>5</v>
      </c>
      <c r="AQ48" s="3">
        <f t="shared" si="31"/>
        <v>120</v>
      </c>
      <c r="AR48" s="3">
        <f t="shared" si="36"/>
        <v>127</v>
      </c>
      <c r="AS48" s="3">
        <f t="shared" si="29"/>
        <v>134</v>
      </c>
      <c r="AT48" s="3">
        <v>0</v>
      </c>
      <c r="AU48" s="3">
        <f t="shared" si="30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hidden="1" x14ac:dyDescent="0.3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2"/>
        <v>9</v>
      </c>
      <c r="N49" s="3">
        <v>14</v>
      </c>
      <c r="O49" s="3">
        <f t="shared" si="15"/>
        <v>22</v>
      </c>
      <c r="P49" s="3">
        <f t="shared" si="33"/>
        <v>5</v>
      </c>
      <c r="Q49" s="3">
        <f t="shared" si="21"/>
        <v>26</v>
      </c>
      <c r="R49" s="3">
        <f t="shared" si="34"/>
        <v>23</v>
      </c>
      <c r="S49" s="3">
        <v>7</v>
      </c>
      <c r="T49" s="3">
        <f t="shared" si="22"/>
        <v>29</v>
      </c>
      <c r="U49" s="3">
        <f t="shared" si="35"/>
        <v>30</v>
      </c>
      <c r="V49" s="3">
        <v>2</v>
      </c>
      <c r="W49" s="3">
        <f t="shared" si="23"/>
        <v>31</v>
      </c>
      <c r="X49" s="3">
        <v>2</v>
      </c>
      <c r="Y49" s="3">
        <v>33</v>
      </c>
      <c r="Z49" s="6">
        <v>33</v>
      </c>
      <c r="AA49" s="6">
        <f t="shared" ref="AA49:AA54" si="37"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4"/>
        <v>79</v>
      </c>
      <c r="AG49" s="6">
        <v>3</v>
      </c>
      <c r="AH49" s="6">
        <f t="shared" si="25"/>
        <v>82</v>
      </c>
      <c r="AI49" s="3">
        <v>0</v>
      </c>
      <c r="AJ49" s="3">
        <f t="shared" si="26"/>
        <v>82</v>
      </c>
      <c r="AK49" s="3" t="s">
        <v>60</v>
      </c>
      <c r="AL49" s="46">
        <v>2</v>
      </c>
      <c r="AM49" s="3">
        <f t="shared" si="27"/>
        <v>84</v>
      </c>
      <c r="AN49" s="3">
        <v>1</v>
      </c>
      <c r="AO49" s="3">
        <f t="shared" si="28"/>
        <v>85</v>
      </c>
      <c r="AP49" s="3">
        <v>3</v>
      </c>
      <c r="AQ49" s="3">
        <f t="shared" si="31"/>
        <v>88</v>
      </c>
      <c r="AR49" s="3">
        <f t="shared" si="36"/>
        <v>95</v>
      </c>
      <c r="AS49" s="3">
        <f t="shared" si="29"/>
        <v>102</v>
      </c>
      <c r="AT49" s="3">
        <v>0</v>
      </c>
      <c r="AU49" s="3">
        <f t="shared" si="30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hidden="1" x14ac:dyDescent="0.3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2"/>
        <v>9</v>
      </c>
      <c r="N50" s="3">
        <v>14</v>
      </c>
      <c r="O50" s="3">
        <f t="shared" si="15"/>
        <v>22</v>
      </c>
      <c r="P50" s="3">
        <f t="shared" si="33"/>
        <v>5</v>
      </c>
      <c r="Q50" s="3">
        <f t="shared" si="21"/>
        <v>26</v>
      </c>
      <c r="R50" s="3">
        <f t="shared" si="34"/>
        <v>23</v>
      </c>
      <c r="S50" s="3">
        <v>7</v>
      </c>
      <c r="T50" s="3">
        <f t="shared" si="22"/>
        <v>29</v>
      </c>
      <c r="U50" s="3">
        <f t="shared" si="35"/>
        <v>30</v>
      </c>
      <c r="V50" s="3">
        <v>2</v>
      </c>
      <c r="W50" s="3">
        <f t="shared" si="23"/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 t="shared" si="37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4"/>
        <v>81</v>
      </c>
      <c r="AG50" s="6">
        <v>0</v>
      </c>
      <c r="AH50" s="6">
        <f t="shared" si="25"/>
        <v>81</v>
      </c>
      <c r="AI50" s="3">
        <v>0</v>
      </c>
      <c r="AJ50" s="3">
        <f t="shared" si="26"/>
        <v>81</v>
      </c>
      <c r="AK50" s="3" t="s">
        <v>60</v>
      </c>
      <c r="AL50" s="3">
        <v>3</v>
      </c>
      <c r="AM50" s="3">
        <f t="shared" si="27"/>
        <v>84</v>
      </c>
      <c r="AN50" s="3">
        <v>8</v>
      </c>
      <c r="AO50" s="3">
        <f t="shared" si="28"/>
        <v>92</v>
      </c>
      <c r="AP50" s="3">
        <v>0</v>
      </c>
      <c r="AQ50" s="3">
        <f t="shared" si="31"/>
        <v>92</v>
      </c>
      <c r="AR50" s="3">
        <f t="shared" si="36"/>
        <v>99</v>
      </c>
      <c r="AS50" s="3">
        <f t="shared" si="29"/>
        <v>106</v>
      </c>
      <c r="AT50" s="3">
        <v>0</v>
      </c>
      <c r="AU50" s="3">
        <f t="shared" si="30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3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2"/>
        <v>9</v>
      </c>
      <c r="N51" s="3">
        <v>14</v>
      </c>
      <c r="O51" s="3">
        <f t="shared" si="15"/>
        <v>22</v>
      </c>
      <c r="P51" s="3">
        <f t="shared" si="33"/>
        <v>5</v>
      </c>
      <c r="Q51" s="3">
        <f t="shared" si="21"/>
        <v>26</v>
      </c>
      <c r="R51" s="3">
        <f t="shared" si="34"/>
        <v>23</v>
      </c>
      <c r="S51" s="3">
        <v>7</v>
      </c>
      <c r="T51" s="3">
        <f t="shared" si="22"/>
        <v>29</v>
      </c>
      <c r="U51" s="3">
        <f t="shared" si="35"/>
        <v>30</v>
      </c>
      <c r="V51" s="3">
        <v>2</v>
      </c>
      <c r="W51" s="3">
        <f t="shared" si="23"/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 t="shared" si="37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4"/>
        <v>83</v>
      </c>
      <c r="AG51" s="6">
        <v>3</v>
      </c>
      <c r="AH51" s="6">
        <f t="shared" si="25"/>
        <v>86</v>
      </c>
      <c r="AI51" s="3">
        <v>0</v>
      </c>
      <c r="AJ51" s="3">
        <f t="shared" si="26"/>
        <v>86</v>
      </c>
      <c r="AK51" s="3" t="s">
        <v>60</v>
      </c>
      <c r="AL51" s="3">
        <v>4</v>
      </c>
      <c r="AM51" s="3">
        <f t="shared" si="27"/>
        <v>90</v>
      </c>
      <c r="AN51" s="3">
        <v>2</v>
      </c>
      <c r="AO51" s="3">
        <f t="shared" si="28"/>
        <v>92</v>
      </c>
      <c r="AP51" s="3">
        <v>1</v>
      </c>
      <c r="AQ51" s="3">
        <f t="shared" si="31"/>
        <v>93</v>
      </c>
      <c r="AR51" s="3">
        <f t="shared" si="36"/>
        <v>100</v>
      </c>
      <c r="AS51" s="3">
        <f t="shared" si="29"/>
        <v>107</v>
      </c>
      <c r="AT51" s="3">
        <v>0</v>
      </c>
      <c r="AU51" s="3">
        <f t="shared" si="30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hidden="1" x14ac:dyDescent="0.3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2"/>
        <v>9</v>
      </c>
      <c r="N52" s="3">
        <v>7</v>
      </c>
      <c r="O52" s="3">
        <f t="shared" si="15"/>
        <v>15</v>
      </c>
      <c r="P52" s="3">
        <f t="shared" si="33"/>
        <v>5</v>
      </c>
      <c r="Q52" s="3">
        <f t="shared" si="21"/>
        <v>19</v>
      </c>
      <c r="R52" s="3">
        <f t="shared" si="34"/>
        <v>16</v>
      </c>
      <c r="S52" s="3">
        <v>3</v>
      </c>
      <c r="T52" s="3">
        <f t="shared" si="22"/>
        <v>18</v>
      </c>
      <c r="U52" s="3">
        <f t="shared" si="35"/>
        <v>19</v>
      </c>
      <c r="V52" s="3">
        <v>5</v>
      </c>
      <c r="W52" s="3">
        <f t="shared" si="23"/>
        <v>23</v>
      </c>
      <c r="X52" s="3">
        <v>2</v>
      </c>
      <c r="Y52" s="3">
        <f>+ROUNDDOWN(W52/7,0)*7+X52</f>
        <v>23</v>
      </c>
      <c r="Z52" s="6">
        <v>23</v>
      </c>
      <c r="AA52" s="6">
        <f t="shared" si="37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4"/>
        <v>64</v>
      </c>
      <c r="AG52" s="6">
        <v>3</v>
      </c>
      <c r="AH52" s="6">
        <f t="shared" si="25"/>
        <v>67</v>
      </c>
      <c r="AI52" s="3">
        <v>7</v>
      </c>
      <c r="AJ52" s="3">
        <f t="shared" si="26"/>
        <v>74</v>
      </c>
      <c r="AK52" s="3">
        <v>0</v>
      </c>
      <c r="AL52" s="3">
        <v>6</v>
      </c>
      <c r="AM52" s="3">
        <f t="shared" si="27"/>
        <v>80</v>
      </c>
      <c r="AN52" s="3">
        <v>2</v>
      </c>
      <c r="AO52" s="3">
        <f t="shared" si="28"/>
        <v>82</v>
      </c>
      <c r="AP52" s="3">
        <v>0</v>
      </c>
      <c r="AQ52" s="3">
        <f t="shared" si="31"/>
        <v>82</v>
      </c>
      <c r="AR52" s="3">
        <f t="shared" si="36"/>
        <v>89</v>
      </c>
      <c r="AS52" s="3">
        <f t="shared" si="29"/>
        <v>96</v>
      </c>
      <c r="AT52" s="3">
        <v>0</v>
      </c>
      <c r="AU52" s="3">
        <f t="shared" si="30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x14ac:dyDescent="0.35">
      <c r="A53" s="5" t="s">
        <v>168</v>
      </c>
      <c r="B53" s="38" t="s">
        <v>80</v>
      </c>
      <c r="C53" s="39" t="s">
        <v>68</v>
      </c>
      <c r="D53" s="38" t="s">
        <v>58</v>
      </c>
      <c r="E53" s="38" t="s">
        <v>53</v>
      </c>
      <c r="F53" s="19">
        <v>91017700</v>
      </c>
      <c r="G53" s="5" t="s">
        <v>157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si="32"/>
        <v>9</v>
      </c>
      <c r="N53" s="23">
        <v>2</v>
      </c>
      <c r="O53" s="3">
        <f t="shared" si="15"/>
        <v>10</v>
      </c>
      <c r="P53" s="3">
        <v>5</v>
      </c>
      <c r="Q53" s="3">
        <f t="shared" si="21"/>
        <v>14</v>
      </c>
      <c r="R53" s="23">
        <v>10</v>
      </c>
      <c r="S53" s="23">
        <v>12</v>
      </c>
      <c r="T53" s="25">
        <v>21</v>
      </c>
      <c r="U53" s="23">
        <v>16</v>
      </c>
      <c r="V53" s="23">
        <v>7</v>
      </c>
      <c r="W53" s="23">
        <v>22</v>
      </c>
      <c r="X53" s="23">
        <v>1</v>
      </c>
      <c r="Y53" s="3">
        <v>22</v>
      </c>
      <c r="Z53" s="6">
        <v>22</v>
      </c>
      <c r="AA53" s="6">
        <f t="shared" si="37"/>
        <v>25</v>
      </c>
      <c r="AB53" s="23">
        <v>4</v>
      </c>
      <c r="AC53" s="23"/>
      <c r="AD53" s="23"/>
      <c r="AE53" s="23">
        <v>39</v>
      </c>
      <c r="AF53" s="23">
        <f t="shared" si="24"/>
        <v>63</v>
      </c>
      <c r="AG53" s="23">
        <v>3</v>
      </c>
      <c r="AH53" s="23">
        <f t="shared" si="25"/>
        <v>66</v>
      </c>
      <c r="AI53" s="23">
        <v>7</v>
      </c>
      <c r="AJ53" s="23">
        <f t="shared" si="26"/>
        <v>73</v>
      </c>
      <c r="AK53" s="23"/>
      <c r="AL53" s="47">
        <v>2</v>
      </c>
      <c r="AM53" s="23">
        <f t="shared" si="27"/>
        <v>75</v>
      </c>
      <c r="AN53" s="23">
        <v>8</v>
      </c>
      <c r="AO53" s="23">
        <f t="shared" si="28"/>
        <v>83</v>
      </c>
      <c r="AP53" s="23">
        <v>2</v>
      </c>
      <c r="AQ53" s="23">
        <f t="shared" si="31"/>
        <v>85</v>
      </c>
      <c r="AR53" s="23">
        <f t="shared" si="36"/>
        <v>92</v>
      </c>
      <c r="AS53" s="23">
        <f t="shared" si="29"/>
        <v>113</v>
      </c>
      <c r="AT53" s="23">
        <v>14</v>
      </c>
      <c r="AU53" s="3">
        <f t="shared" si="30"/>
        <v>15</v>
      </c>
      <c r="AV53" s="23" t="s">
        <v>133</v>
      </c>
      <c r="AW53" s="23" t="s">
        <v>131</v>
      </c>
      <c r="AX53" s="20" t="s">
        <v>56</v>
      </c>
      <c r="AY53" s="21">
        <v>46507</v>
      </c>
    </row>
    <row r="54" spans="1:51" hidden="1" x14ac:dyDescent="0.35">
      <c r="A54" s="5" t="s">
        <v>173</v>
      </c>
      <c r="B54" s="38" t="s">
        <v>61</v>
      </c>
      <c r="C54" s="39" t="s">
        <v>68</v>
      </c>
      <c r="D54" s="38" t="s">
        <v>64</v>
      </c>
      <c r="E54" s="38" t="s">
        <v>81</v>
      </c>
      <c r="F54" s="19">
        <v>90014400</v>
      </c>
      <c r="G54" s="5" t="s">
        <v>155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 t="shared" si="32"/>
        <v>9</v>
      </c>
      <c r="N54" s="23">
        <v>2</v>
      </c>
      <c r="O54" s="3">
        <f t="shared" si="15"/>
        <v>10</v>
      </c>
      <c r="P54" s="3">
        <v>5</v>
      </c>
      <c r="Q54" s="3">
        <f t="shared" si="21"/>
        <v>14</v>
      </c>
      <c r="R54" s="23">
        <v>0</v>
      </c>
      <c r="S54" s="23">
        <v>0</v>
      </c>
      <c r="T54" s="25">
        <v>0</v>
      </c>
      <c r="U54" s="23">
        <v>15</v>
      </c>
      <c r="V54" s="23">
        <v>4</v>
      </c>
      <c r="W54" s="23">
        <f>+U54+V54-1</f>
        <v>18</v>
      </c>
      <c r="X54" s="23">
        <v>1</v>
      </c>
      <c r="Y54" s="3">
        <v>18</v>
      </c>
      <c r="Z54" s="6">
        <v>19</v>
      </c>
      <c r="AA54" s="6">
        <f t="shared" si="37"/>
        <v>22</v>
      </c>
      <c r="AB54" s="23">
        <v>4</v>
      </c>
      <c r="AC54" s="23"/>
      <c r="AD54" s="23"/>
      <c r="AE54" s="23">
        <v>46</v>
      </c>
      <c r="AF54" s="23">
        <f t="shared" si="24"/>
        <v>67</v>
      </c>
      <c r="AG54" s="23">
        <v>3</v>
      </c>
      <c r="AH54" s="23">
        <f t="shared" si="25"/>
        <v>70</v>
      </c>
      <c r="AI54" s="23">
        <v>7</v>
      </c>
      <c r="AJ54" s="23">
        <f t="shared" si="26"/>
        <v>77</v>
      </c>
      <c r="AK54" s="23"/>
      <c r="AL54" s="23">
        <v>3</v>
      </c>
      <c r="AM54" s="23">
        <f t="shared" si="27"/>
        <v>80</v>
      </c>
      <c r="AN54" s="23">
        <v>2</v>
      </c>
      <c r="AO54" s="23">
        <f t="shared" si="28"/>
        <v>82</v>
      </c>
      <c r="AP54" s="23">
        <v>2</v>
      </c>
      <c r="AQ54" s="23">
        <f t="shared" si="31"/>
        <v>84</v>
      </c>
      <c r="AR54" s="23">
        <f t="shared" si="36"/>
        <v>91</v>
      </c>
      <c r="AS54" s="23">
        <f t="shared" si="29"/>
        <v>112</v>
      </c>
      <c r="AT54" s="23">
        <v>14</v>
      </c>
      <c r="AU54" s="3">
        <f t="shared" si="30"/>
        <v>22</v>
      </c>
      <c r="AV54" s="23" t="s">
        <v>133</v>
      </c>
      <c r="AW54" s="23" t="s">
        <v>131</v>
      </c>
      <c r="AX54" s="20" t="s">
        <v>56</v>
      </c>
      <c r="AY54" s="37">
        <v>46143</v>
      </c>
    </row>
    <row r="55" spans="1:51" hidden="1" x14ac:dyDescent="0.35">
      <c r="A55" s="5" t="s">
        <v>176</v>
      </c>
      <c r="B55" s="23" t="s">
        <v>135</v>
      </c>
      <c r="C55" s="43" t="s">
        <v>98</v>
      </c>
      <c r="D55" s="43" t="s">
        <v>136</v>
      </c>
      <c r="E55" s="48" t="s">
        <v>170</v>
      </c>
      <c r="F55" s="19">
        <v>90016500</v>
      </c>
      <c r="G55" s="23" t="s">
        <v>158</v>
      </c>
      <c r="H55" s="2">
        <v>0</v>
      </c>
      <c r="I55" s="4" t="s">
        <v>139</v>
      </c>
      <c r="J55" s="2">
        <v>29159</v>
      </c>
      <c r="K55" s="4" t="s">
        <v>175</v>
      </c>
      <c r="L55" s="3">
        <v>8</v>
      </c>
      <c r="M55" s="3">
        <v>0</v>
      </c>
      <c r="N55" s="3">
        <v>14</v>
      </c>
      <c r="O55" s="3">
        <v>9</v>
      </c>
      <c r="P55" s="3">
        <v>7</v>
      </c>
      <c r="Q55" s="3">
        <f t="shared" si="21"/>
        <v>15</v>
      </c>
      <c r="R55" s="3">
        <v>15</v>
      </c>
      <c r="S55" s="3">
        <v>7</v>
      </c>
      <c r="T55" s="3">
        <v>21</v>
      </c>
      <c r="U55" s="3">
        <f>+T55+1</f>
        <v>22</v>
      </c>
      <c r="V55" s="3">
        <v>4</v>
      </c>
      <c r="W55" s="3">
        <f>+U55+V55-1</f>
        <v>25</v>
      </c>
      <c r="X55" s="3">
        <v>1</v>
      </c>
      <c r="Y55" s="3">
        <v>25</v>
      </c>
      <c r="Z55" s="6">
        <v>25</v>
      </c>
      <c r="AA55" s="6">
        <v>29</v>
      </c>
      <c r="AB55" s="3">
        <v>6</v>
      </c>
      <c r="AC55" s="3">
        <v>7</v>
      </c>
      <c r="AD55" s="3">
        <v>7</v>
      </c>
      <c r="AE55" s="3">
        <v>50</v>
      </c>
      <c r="AF55" s="3">
        <f t="shared" si="24"/>
        <v>78</v>
      </c>
      <c r="AG55" s="6">
        <v>3</v>
      </c>
      <c r="AH55" s="6">
        <f t="shared" si="25"/>
        <v>81</v>
      </c>
      <c r="AI55" s="3">
        <v>0</v>
      </c>
      <c r="AJ55" s="3">
        <f t="shared" si="26"/>
        <v>81</v>
      </c>
      <c r="AK55" s="3" t="s">
        <v>60</v>
      </c>
      <c r="AL55" s="46">
        <v>10</v>
      </c>
      <c r="AM55" s="3">
        <f t="shared" si="27"/>
        <v>91</v>
      </c>
      <c r="AN55" s="3">
        <v>5</v>
      </c>
      <c r="AO55" s="3">
        <f t="shared" si="28"/>
        <v>96</v>
      </c>
      <c r="AP55" s="3">
        <v>3</v>
      </c>
      <c r="AQ55" s="3">
        <f t="shared" si="31"/>
        <v>99</v>
      </c>
      <c r="AR55" s="3">
        <f t="shared" si="36"/>
        <v>106</v>
      </c>
      <c r="AS55" s="3">
        <f t="shared" si="29"/>
        <v>113</v>
      </c>
      <c r="AT55" s="3">
        <v>0</v>
      </c>
      <c r="AU55" s="3">
        <f t="shared" si="30"/>
        <v>14</v>
      </c>
      <c r="AV55" s="3" t="s">
        <v>133</v>
      </c>
      <c r="AW55" s="3" t="s">
        <v>131</v>
      </c>
      <c r="AX55" s="20" t="s">
        <v>88</v>
      </c>
      <c r="AY55" s="40">
        <v>46507</v>
      </c>
    </row>
    <row r="57" spans="1:51" x14ac:dyDescent="0.35">
      <c r="D57" s="41"/>
    </row>
    <row r="59" spans="1:51" x14ac:dyDescent="0.35">
      <c r="D59" s="42"/>
    </row>
    <row r="61" spans="1:51" x14ac:dyDescent="0.35">
      <c r="D61" s="41"/>
    </row>
    <row r="63" spans="1:51" x14ac:dyDescent="0.35">
      <c r="D63" s="42"/>
    </row>
    <row r="65" spans="4:4" x14ac:dyDescent="0.35">
      <c r="D65" s="41"/>
    </row>
    <row r="66" spans="4:4" x14ac:dyDescent="0.35">
      <c r="D66" s="42"/>
    </row>
    <row r="67" spans="4:4" x14ac:dyDescent="0.35">
      <c r="D67" s="42"/>
    </row>
  </sheetData>
  <sheetProtection formatCells="0" formatColumns="0" formatRows="0" sort="0" autoFilter="0"/>
  <autoFilter ref="A1:AY55" xr:uid="{869D9611-F0E3-4A7A-9239-9C1FA0F0C8DA}">
    <filterColumn colId="0">
      <filters>
        <filter val="O009"/>
      </filters>
    </filterColumn>
    <filterColumn colId="1">
      <filters>
        <filter val="SPAIN"/>
      </filters>
    </filterColumn>
  </autoFilter>
  <phoneticPr fontId="8" type="noConversion"/>
  <dataValidations count="3">
    <dataValidation type="list" allowBlank="1" showInputMessage="1" showErrorMessage="1" sqref="C2:E12 K2:K12 D68:D1048191 C16:E55 K16:K1048191 D56 E56:E1048191 C56:C1048191" xr:uid="{833F6030-824F-4AAE-BA3C-131D886541AF}">
      <formula1>shippername</formula1>
    </dataValidation>
    <dataValidation type="list" allowBlank="1" showInputMessage="1" showErrorMessage="1" sqref="J3:J10 D68:D1048191 J12:J55 I2:I55 C2:E55 K2:K55 E56:E1048191 C56:C1048191 H56:K1048191 D56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4.5" x14ac:dyDescent="0.35"/>
  <cols>
    <col min="4" max="5" width="11" customWidth="1"/>
    <col min="6" max="6" width="15.7265625" bestFit="1" customWidth="1"/>
    <col min="7" max="7" width="19" bestFit="1" customWidth="1"/>
    <col min="8" max="8" width="11" customWidth="1"/>
  </cols>
  <sheetData>
    <row r="7" spans="4:8" ht="29" x14ac:dyDescent="0.3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174</v>
      </c>
    </row>
    <row r="8" spans="4:8" ht="16" x14ac:dyDescent="0.4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6" x14ac:dyDescent="0.4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6" x14ac:dyDescent="0.4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6" x14ac:dyDescent="0.4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6" x14ac:dyDescent="0.4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6" x14ac:dyDescent="0.4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6" x14ac:dyDescent="0.4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6" x14ac:dyDescent="0.4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6" x14ac:dyDescent="0.4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6" x14ac:dyDescent="0.4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4.5" x14ac:dyDescent="0.35"/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 t="s">
        <v>177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178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35">
      <c r="A3" s="5" t="s">
        <v>179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178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2026-06-22T11:27:23Z</dcterms:modified>
</cp:coreProperties>
</file>