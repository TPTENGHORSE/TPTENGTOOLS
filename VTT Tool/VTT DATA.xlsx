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2BDF8F0B-200B-4692-8694-4BF1F9C4070E}" xr6:coauthVersionLast="47" xr6:coauthVersionMax="47" xr10:uidLastSave="{00000000-0000-0000-0000-000000000000}"/>
  <bookViews>
    <workbookView xWindow="-110" yWindow="-110" windowWidth="19420" windowHeight="1030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" l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M46" i="1"/>
  <c r="O46" i="1" s="1"/>
  <c r="Q46" i="1" s="1"/>
  <c r="M47" i="1"/>
  <c r="O47" i="1" s="1"/>
  <c r="Q47" i="1" s="1"/>
  <c r="M6" i="1"/>
  <c r="O6" i="1" s="1"/>
  <c r="W47" i="1"/>
  <c r="Y47" i="1" s="1"/>
  <c r="Z47" i="1" s="1"/>
  <c r="T47" i="1"/>
  <c r="AA47" i="1" l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U46" i="1" s="1"/>
  <c r="W46" i="1" s="1"/>
  <c r="Y46" i="1" s="1"/>
  <c r="Z46" i="1" l="1"/>
  <c r="AA46" i="1" s="1"/>
  <c r="R4" i="1"/>
  <c r="T4" i="1" s="1"/>
  <c r="U4" i="1" s="1"/>
  <c r="W4" i="1" s="1"/>
  <c r="Y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Y22" i="1" s="1"/>
  <c r="Z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Y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O46" i="1" s="1"/>
  <c r="AQ46" i="1" s="1"/>
  <c r="AR46" i="1" s="1"/>
  <c r="AS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U45" i="1" l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<sst xmlns="http://schemas.openxmlformats.org/spreadsheetml/2006/main" count="638" uniqueCount="170">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</sst>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Y46" activePane="bottomRight" state="frozen"/>
      <selection pane="topRight" activeCell="L1" sqref="L1"/>
      <selection pane="bottomLeft" activeCell="A2" sqref="A2"/>
      <selection pane="bottomRight" activeCell="E55" sqref="E55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5.570312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hidden="1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>+IF(I2="SFK Freight Forwarder",0,5)</f>
        <v>5</v>
      </c>
      <c r="Q2" s="3">
        <f>+IF(I2="SFK Freight Forwarder",O2,O2+P2-1)</f>
        <v>19</v>
      </c>
      <c r="R2" s="3">
        <f>9+N2</f>
        <v>16</v>
      </c>
      <c r="S2" s="3">
        <v>7</v>
      </c>
      <c r="T2" s="3">
        <f>+R2+S2-1</f>
        <v>22</v>
      </c>
      <c r="U2" s="3">
        <f>+T2+1</f>
        <v>23</v>
      </c>
      <c r="V2" s="3">
        <v>1</v>
      </c>
      <c r="W2" s="3">
        <f>+U2+V2-1</f>
        <v>23</v>
      </c>
      <c r="X2" s="3">
        <v>4</v>
      </c>
      <c r="Y2" s="3">
        <f>+ROUNDDOWN(W2/7,0)*7+X2</f>
        <v>25</v>
      </c>
      <c r="Z2" s="6">
        <v>25</v>
      </c>
      <c r="AA2" s="6">
        <f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>+AE2+AA2-1</f>
        <v>72</v>
      </c>
      <c r="AG2" s="6">
        <v>3</v>
      </c>
      <c r="AH2" s="6">
        <f>+AF2+AG2</f>
        <v>75</v>
      </c>
      <c r="AI2" s="3">
        <v>7</v>
      </c>
      <c r="AJ2" s="3">
        <f>+AI2+AH2</f>
        <v>82</v>
      </c>
      <c r="AK2" s="3" t="s">
        <v>56</v>
      </c>
      <c r="AL2" s="3">
        <v>2</v>
      </c>
      <c r="AM2" s="3">
        <f>+AJ2+AL2</f>
        <v>84</v>
      </c>
      <c r="AN2" s="3">
        <v>2</v>
      </c>
      <c r="AO2" s="3">
        <f>+AM2+AN2</f>
        <v>86</v>
      </c>
      <c r="AP2" s="3">
        <v>5</v>
      </c>
      <c r="AQ2" s="3">
        <f>+AO2+AP2</f>
        <v>91</v>
      </c>
      <c r="AR2" s="3">
        <f>+AQ2+7</f>
        <v>98</v>
      </c>
      <c r="AS2" s="3">
        <f>+AR2+7+AT2</f>
        <v>115</v>
      </c>
      <c r="AT2" s="3">
        <v>10</v>
      </c>
      <c r="AU2" s="3">
        <f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hidden="1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>+IF(I3="SFK Freight Forwarder",0,5)</f>
        <v>5</v>
      </c>
      <c r="Q3" s="3">
        <f>+IF(I3="SFK Freight Forwarder",O3,O3+P3-1)</f>
        <v>26</v>
      </c>
      <c r="R3" s="3">
        <f>9+N3</f>
        <v>23</v>
      </c>
      <c r="S3" s="3">
        <v>7</v>
      </c>
      <c r="T3" s="3">
        <f>+R3+S3-1</f>
        <v>29</v>
      </c>
      <c r="U3" s="3">
        <f>+T3+1</f>
        <v>30</v>
      </c>
      <c r="V3" s="3">
        <v>2</v>
      </c>
      <c r="W3" s="3">
        <f>+U3+V3-1</f>
        <v>31</v>
      </c>
      <c r="X3" s="3">
        <v>5</v>
      </c>
      <c r="Y3" s="3">
        <f>+ROUNDDOWN(W3/7,0)*7+X3</f>
        <v>33</v>
      </c>
      <c r="Z3" s="6">
        <v>33</v>
      </c>
      <c r="AA3" s="6">
        <f>+Z3+AB3-1</f>
        <v>35</v>
      </c>
      <c r="AB3" s="3">
        <v>3</v>
      </c>
      <c r="AC3" s="3">
        <v>7</v>
      </c>
      <c r="AD3" s="3">
        <v>7</v>
      </c>
      <c r="AE3" s="3">
        <v>68</v>
      </c>
      <c r="AF3" s="3">
        <f>+AE3+AA3-1</f>
        <v>102</v>
      </c>
      <c r="AG3" s="6">
        <v>3</v>
      </c>
      <c r="AH3" s="6">
        <f>+AF3+AG3</f>
        <v>105</v>
      </c>
      <c r="AI3" s="3">
        <v>7</v>
      </c>
      <c r="AJ3" s="3">
        <f>+AI3+AH3</f>
        <v>112</v>
      </c>
      <c r="AK3" s="3" t="s">
        <v>56</v>
      </c>
      <c r="AL3" s="3">
        <v>2</v>
      </c>
      <c r="AM3" s="3">
        <f>+AJ3+AL3</f>
        <v>114</v>
      </c>
      <c r="AN3" s="3">
        <v>2</v>
      </c>
      <c r="AO3" s="3">
        <f>+AM3+AN3</f>
        <v>116</v>
      </c>
      <c r="AP3" s="3">
        <v>3</v>
      </c>
      <c r="AQ3" s="3">
        <f>+AO3+AP3</f>
        <v>119</v>
      </c>
      <c r="AR3" s="3">
        <f>+AQ3+7</f>
        <v>126</v>
      </c>
      <c r="AS3" s="3">
        <f>+AR3+7+AT3</f>
        <v>143</v>
      </c>
      <c r="AT3" s="3">
        <v>10</v>
      </c>
      <c r="AU3" s="3">
        <f>+AA3-R3</f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hidden="1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>+IF(I4="SFK Freight Forwarder",0,5)</f>
        <v>5</v>
      </c>
      <c r="Q4" s="3">
        <f>+IF(I4="SFK Freight Forwarder",O4,O4+P4-1)</f>
        <v>26</v>
      </c>
      <c r="R4" s="3">
        <f>9+N4</f>
        <v>23</v>
      </c>
      <c r="S4" s="3">
        <v>7</v>
      </c>
      <c r="T4" s="3">
        <f>+R4+S4-1</f>
        <v>29</v>
      </c>
      <c r="U4" s="3">
        <f>+T4+1</f>
        <v>30</v>
      </c>
      <c r="V4" s="3">
        <v>3</v>
      </c>
      <c r="W4" s="3">
        <f>+U4+V4-1</f>
        <v>32</v>
      </c>
      <c r="X4" s="3">
        <v>5</v>
      </c>
      <c r="Y4" s="3">
        <f>+ROUNDDOWN(W4/7,0)*7+X4</f>
        <v>33</v>
      </c>
      <c r="Z4" s="6">
        <v>33</v>
      </c>
      <c r="AA4" s="6">
        <f>+Z4+AB4-1</f>
        <v>35</v>
      </c>
      <c r="AB4" s="3">
        <v>3</v>
      </c>
      <c r="AC4" s="3">
        <v>4</v>
      </c>
      <c r="AD4" s="3">
        <v>11</v>
      </c>
      <c r="AE4" s="3">
        <v>75</v>
      </c>
      <c r="AF4" s="3">
        <f>+AE4+AA4-1</f>
        <v>109</v>
      </c>
      <c r="AG4" s="6">
        <v>3</v>
      </c>
      <c r="AH4" s="6">
        <f>+AF4+AG4</f>
        <v>112</v>
      </c>
      <c r="AI4" s="3">
        <v>7</v>
      </c>
      <c r="AJ4" s="3">
        <f>+AI4+AH4</f>
        <v>119</v>
      </c>
      <c r="AK4" s="3" t="s">
        <v>56</v>
      </c>
      <c r="AL4" s="3">
        <v>2</v>
      </c>
      <c r="AM4" s="3">
        <f>+AJ4+AL4</f>
        <v>121</v>
      </c>
      <c r="AN4" s="3">
        <v>2</v>
      </c>
      <c r="AO4" s="3">
        <f>+AM4+AN4</f>
        <v>123</v>
      </c>
      <c r="AP4" s="3">
        <v>3</v>
      </c>
      <c r="AQ4" s="3">
        <f>+AO4+AP4</f>
        <v>126</v>
      </c>
      <c r="AR4" s="3">
        <f>+AQ4+7</f>
        <v>133</v>
      </c>
      <c r="AS4" s="3">
        <f>+AR4+7+AT4</f>
        <v>150</v>
      </c>
      <c r="AT4" s="3">
        <v>10</v>
      </c>
      <c r="AU4" s="3">
        <f>+AA4-R4</f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hidden="1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>+IF(I5="SFK Freight Forwarder",0,5)</f>
        <v>5</v>
      </c>
      <c r="Q5" s="3">
        <f>+IF(I5="SFK Freight Forwarder",O5,O5+P5-1)</f>
        <v>19</v>
      </c>
      <c r="R5" s="3">
        <f>9+N5</f>
        <v>16</v>
      </c>
      <c r="S5" s="3">
        <v>7</v>
      </c>
      <c r="T5" s="3">
        <f>+R5+S5-1</f>
        <v>22</v>
      </c>
      <c r="U5" s="3">
        <f>+T5+1</f>
        <v>23</v>
      </c>
      <c r="V5" s="3">
        <v>2</v>
      </c>
      <c r="W5" s="3">
        <f>+U5+V5-1</f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>+Z5+AB5-1</f>
        <v>33</v>
      </c>
      <c r="AB5" s="3">
        <v>3</v>
      </c>
      <c r="AC5" s="3">
        <v>9</v>
      </c>
      <c r="AD5" s="3">
        <v>9</v>
      </c>
      <c r="AE5" s="3">
        <v>41</v>
      </c>
      <c r="AF5" s="3">
        <f>+AE5+AA5-1</f>
        <v>73</v>
      </c>
      <c r="AG5" s="6">
        <v>3</v>
      </c>
      <c r="AH5" s="6">
        <f>+AF5+AG5</f>
        <v>76</v>
      </c>
      <c r="AI5" s="3">
        <v>0</v>
      </c>
      <c r="AJ5" s="3">
        <f>+AI5+AH5</f>
        <v>76</v>
      </c>
      <c r="AK5" s="3" t="s">
        <v>61</v>
      </c>
      <c r="AL5" s="3">
        <v>2</v>
      </c>
      <c r="AM5" s="3">
        <f>+AJ5+AL5</f>
        <v>78</v>
      </c>
      <c r="AN5" s="3">
        <v>2</v>
      </c>
      <c r="AO5" s="3">
        <f>+AM5+AN5</f>
        <v>80</v>
      </c>
      <c r="AP5" s="3">
        <v>4</v>
      </c>
      <c r="AQ5" s="3">
        <f>+AO5+AP5</f>
        <v>84</v>
      </c>
      <c r="AR5" s="3">
        <f>+AQ5+7</f>
        <v>91</v>
      </c>
      <c r="AS5" s="3">
        <f>+AR5+7+AT5</f>
        <v>104</v>
      </c>
      <c r="AT5" s="3">
        <v>6</v>
      </c>
      <c r="AU5" s="3">
        <f>+AA5-R5</f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hidden="1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>+IF(I6="SFK Freight Forwarder",0,5)</f>
        <v>5</v>
      </c>
      <c r="Q6" s="3">
        <f>+IF(I6="SFK Freight Forwarder",O6,O6+P6-1)</f>
        <v>19</v>
      </c>
      <c r="R6" s="3">
        <f>9+N6</f>
        <v>16</v>
      </c>
      <c r="S6" s="3">
        <v>7</v>
      </c>
      <c r="T6" s="3">
        <f>+R6+S6-1</f>
        <v>22</v>
      </c>
      <c r="U6" s="3">
        <f>+T6+1</f>
        <v>23</v>
      </c>
      <c r="V6" s="3">
        <v>4</v>
      </c>
      <c r="W6" s="3">
        <f>+U6+V6-1</f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>+Z6+AB6-1</f>
        <v>32</v>
      </c>
      <c r="AB6" s="3">
        <v>3</v>
      </c>
      <c r="AC6" s="3">
        <v>4</v>
      </c>
      <c r="AD6" s="3">
        <v>11</v>
      </c>
      <c r="AE6" s="3">
        <v>46</v>
      </c>
      <c r="AF6" s="3">
        <f>+AE6+AA6-1</f>
        <v>77</v>
      </c>
      <c r="AG6" s="6">
        <v>3</v>
      </c>
      <c r="AH6" s="6">
        <f>+AF6+AG6</f>
        <v>80</v>
      </c>
      <c r="AI6" s="3">
        <v>0</v>
      </c>
      <c r="AJ6" s="3">
        <f>+AI6+AH6</f>
        <v>80</v>
      </c>
      <c r="AK6" s="3" t="s">
        <v>66</v>
      </c>
      <c r="AL6" s="3">
        <v>4</v>
      </c>
      <c r="AM6" s="3">
        <f>+AJ6+AL6</f>
        <v>84</v>
      </c>
      <c r="AN6" s="3">
        <v>3</v>
      </c>
      <c r="AO6" s="3">
        <f>+AM6+AN6</f>
        <v>87</v>
      </c>
      <c r="AP6" s="3">
        <v>4</v>
      </c>
      <c r="AQ6" s="3">
        <f>+AO6+AP6</f>
        <v>91</v>
      </c>
      <c r="AR6" s="3">
        <f>+AQ6+7</f>
        <v>98</v>
      </c>
      <c r="AS6" s="3">
        <f>+AR6+7+AT6</f>
        <v>112</v>
      </c>
      <c r="AT6" s="3">
        <v>7</v>
      </c>
      <c r="AU6" s="3">
        <f>+AA6-R6</f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hidden="1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>+IF(I7="SFK Freight Forwarder",L7,9)</f>
        <v>7</v>
      </c>
      <c r="N7" s="3">
        <v>7</v>
      </c>
      <c r="O7" s="3">
        <f>IF(I7="SFK Freight Forwarder",M7,M7+N7-1)</f>
        <v>7</v>
      </c>
      <c r="P7" s="3">
        <f>+IF(I7="SFK Freight Forwarder",0,5)</f>
        <v>0</v>
      </c>
      <c r="Q7" s="3">
        <f>+IF(I7="SFK Freight Forwarder",O7,O7+P7-1)</f>
        <v>7</v>
      </c>
      <c r="R7" s="3">
        <f>9+N7</f>
        <v>16</v>
      </c>
      <c r="S7" s="3">
        <v>7</v>
      </c>
      <c r="T7" s="3">
        <f>+R7+S7-1</f>
        <v>22</v>
      </c>
      <c r="U7" s="3">
        <f>+T7+1</f>
        <v>23</v>
      </c>
      <c r="V7" s="3">
        <v>8</v>
      </c>
      <c r="W7" s="3">
        <f>+U7+V7-1</f>
        <v>30</v>
      </c>
      <c r="X7" s="3">
        <v>3</v>
      </c>
      <c r="Y7" s="26">
        <f>+W7+1</f>
        <v>31</v>
      </c>
      <c r="Z7" s="6">
        <f>+Y7+X7-1</f>
        <v>33</v>
      </c>
      <c r="AA7" s="6">
        <f>+Z7+AB7-1</f>
        <v>35</v>
      </c>
      <c r="AB7" s="3">
        <v>3</v>
      </c>
      <c r="AC7" s="3">
        <v>5</v>
      </c>
      <c r="AD7" s="3">
        <v>5</v>
      </c>
      <c r="AE7" s="3">
        <v>39</v>
      </c>
      <c r="AF7" s="3">
        <f>+AE7+AA7-1</f>
        <v>73</v>
      </c>
      <c r="AG7" s="6">
        <v>3</v>
      </c>
      <c r="AH7" s="6">
        <f>+AF7+AG7</f>
        <v>76</v>
      </c>
      <c r="AI7" s="3">
        <v>0</v>
      </c>
      <c r="AJ7" s="3">
        <f>+AI7+AH7</f>
        <v>76</v>
      </c>
      <c r="AK7" s="3" t="s">
        <v>61</v>
      </c>
      <c r="AL7" s="3">
        <v>2</v>
      </c>
      <c r="AM7" s="3">
        <f>+AJ7+AL7</f>
        <v>78</v>
      </c>
      <c r="AN7" s="3">
        <v>2</v>
      </c>
      <c r="AO7" s="3">
        <f>+AM7+AN7</f>
        <v>80</v>
      </c>
      <c r="AP7" s="3">
        <v>6</v>
      </c>
      <c r="AQ7" s="3">
        <f>+AO7+AP7</f>
        <v>86</v>
      </c>
      <c r="AR7" s="3">
        <f>+AQ7+7</f>
        <v>93</v>
      </c>
      <c r="AS7" s="3">
        <f>+AR7+7+AT7</f>
        <v>114</v>
      </c>
      <c r="AT7" s="3">
        <v>14</v>
      </c>
      <c r="AU7" s="3">
        <f>+AA7-R7</f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hidden="1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>+IF(I8="SFK Freight Forwarder",L8,9)</f>
        <v>7</v>
      </c>
      <c r="N8" s="3">
        <v>7</v>
      </c>
      <c r="O8" s="3">
        <f>IF(I8="SFK Freight Forwarder",M8,M8+N8-1)</f>
        <v>7</v>
      </c>
      <c r="P8" s="3">
        <f>+IF(I8="SFK Freight Forwarder",0,5)</f>
        <v>0</v>
      </c>
      <c r="Q8" s="3">
        <f>+IF(I8="SFK Freight Forwarder",O8,O8+P8-1)</f>
        <v>7</v>
      </c>
      <c r="R8" s="3">
        <f>9+N8</f>
        <v>16</v>
      </c>
      <c r="S8" s="3">
        <v>7</v>
      </c>
      <c r="T8" s="3">
        <f>+R8+S8-1</f>
        <v>22</v>
      </c>
      <c r="U8" s="3">
        <f>+T8+1</f>
        <v>23</v>
      </c>
      <c r="V8" s="3">
        <v>8</v>
      </c>
      <c r="W8" s="3">
        <f>+U8+V8-1</f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>+Z8+AB8-1</f>
        <v>36</v>
      </c>
      <c r="AB8" s="3">
        <v>4</v>
      </c>
      <c r="AC8" s="3">
        <v>6</v>
      </c>
      <c r="AD8" s="3">
        <v>6</v>
      </c>
      <c r="AE8" s="3">
        <v>37</v>
      </c>
      <c r="AF8" s="3">
        <f>+AE8+AA8-1</f>
        <v>72</v>
      </c>
      <c r="AG8" s="6">
        <v>3</v>
      </c>
      <c r="AH8" s="6">
        <f>+AF8+AG8</f>
        <v>75</v>
      </c>
      <c r="AI8" s="3">
        <v>7</v>
      </c>
      <c r="AJ8" s="3">
        <f>+AI8+AH8</f>
        <v>82</v>
      </c>
      <c r="AK8" s="3" t="s">
        <v>61</v>
      </c>
      <c r="AL8" s="3">
        <v>3</v>
      </c>
      <c r="AM8" s="3">
        <f>+AJ8+AL8</f>
        <v>85</v>
      </c>
      <c r="AN8" s="3">
        <v>4</v>
      </c>
      <c r="AO8" s="3">
        <f>+AM8+AN8</f>
        <v>89</v>
      </c>
      <c r="AP8" s="3">
        <v>2</v>
      </c>
      <c r="AQ8" s="3">
        <f>+AO8+AP8</f>
        <v>91</v>
      </c>
      <c r="AR8" s="3">
        <f>+AQ8+7</f>
        <v>98</v>
      </c>
      <c r="AS8" s="3">
        <f>+AR8+7+AT8</f>
        <v>119</v>
      </c>
      <c r="AT8" s="3">
        <v>14</v>
      </c>
      <c r="AU8" s="3">
        <f>+AA8-R8</f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hidden="1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>+IF(I9="SFK Freight Forwarder",L9,9)</f>
        <v>5</v>
      </c>
      <c r="N9" s="3">
        <v>7</v>
      </c>
      <c r="O9" s="3">
        <f>IF(I9="SFK Freight Forwarder",M9,M9+N9-1)</f>
        <v>5</v>
      </c>
      <c r="P9" s="3">
        <f>+IF(I9="SFK Freight Forwarder",0,5)</f>
        <v>0</v>
      </c>
      <c r="Q9" s="3">
        <f>+IF(I9="SFK Freight Forwarder",O9,O9+P9-1)</f>
        <v>5</v>
      </c>
      <c r="R9" s="3">
        <f>9+N9</f>
        <v>16</v>
      </c>
      <c r="S9" s="3">
        <v>7</v>
      </c>
      <c r="T9" s="3">
        <f>+R9+S9-1</f>
        <v>22</v>
      </c>
      <c r="U9" s="3">
        <f>+T9+1</f>
        <v>23</v>
      </c>
      <c r="V9" s="3">
        <v>8</v>
      </c>
      <c r="W9" s="3">
        <f>+U9+V9-1</f>
        <v>30</v>
      </c>
      <c r="X9" s="3">
        <v>5</v>
      </c>
      <c r="Y9" s="26">
        <f>+W9+1</f>
        <v>31</v>
      </c>
      <c r="Z9" s="27">
        <f>+Y9+X9</f>
        <v>36</v>
      </c>
      <c r="AA9" s="6">
        <f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>+AE9+AA9-1</f>
        <v>53</v>
      </c>
      <c r="AG9" s="6">
        <v>3</v>
      </c>
      <c r="AH9" s="6">
        <f>+AF9+AG9</f>
        <v>56</v>
      </c>
      <c r="AI9" s="3">
        <v>7</v>
      </c>
      <c r="AJ9" s="3">
        <f>+AI9+AH9</f>
        <v>63</v>
      </c>
      <c r="AK9" s="3" t="s">
        <v>56</v>
      </c>
      <c r="AL9" s="3">
        <v>4</v>
      </c>
      <c r="AM9" s="3">
        <f>+AJ9+AL9</f>
        <v>67</v>
      </c>
      <c r="AN9" s="3">
        <v>3</v>
      </c>
      <c r="AO9" s="3">
        <f>+AM9+AN9</f>
        <v>70</v>
      </c>
      <c r="AP9" s="3">
        <v>0</v>
      </c>
      <c r="AQ9" s="3">
        <f>+AO9+AP9</f>
        <v>70</v>
      </c>
      <c r="AR9" s="3">
        <f>+AQ9+7</f>
        <v>77</v>
      </c>
      <c r="AS9" s="3">
        <f>+AR9+7+AT9</f>
        <v>84</v>
      </c>
      <c r="AT9" s="3">
        <v>0</v>
      </c>
      <c r="AU9" s="3">
        <f>+AA9-R9</f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hidden="1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>+IF(I10="SFK Freight Forwarder",L10,9)</f>
        <v>9</v>
      </c>
      <c r="N10" s="3">
        <v>7</v>
      </c>
      <c r="O10" s="3">
        <f>IF(I10="SFK Freight Forwarder",M10,M10+N10-1)</f>
        <v>15</v>
      </c>
      <c r="P10" s="3">
        <f>+IF(I10="SFK Freight Forwarder",0,5)</f>
        <v>5</v>
      </c>
      <c r="Q10" s="3">
        <f>+IF(I10="SFK Freight Forwarder",O10,O10+P10-1)</f>
        <v>19</v>
      </c>
      <c r="R10" s="3">
        <f>9+N10</f>
        <v>16</v>
      </c>
      <c r="S10" s="3">
        <v>7</v>
      </c>
      <c r="T10" s="3">
        <f>+R10+S10-1</f>
        <v>22</v>
      </c>
      <c r="U10" s="3">
        <f>+T10+1</f>
        <v>23</v>
      </c>
      <c r="V10" s="3">
        <v>4</v>
      </c>
      <c r="W10" s="3">
        <f>+U10+V10-1</f>
        <v>26</v>
      </c>
      <c r="X10" s="3">
        <v>5</v>
      </c>
      <c r="Y10" s="3">
        <f>+ROUNDDOWN(W10/7,0)*7+X10</f>
        <v>26</v>
      </c>
      <c r="Z10" s="6">
        <f>+Y10+X10-1</f>
        <v>30</v>
      </c>
      <c r="AA10" s="6">
        <f>+Z10+AB10-1</f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>+AE10+AA10-1</f>
        <v>80</v>
      </c>
      <c r="AG10" s="6">
        <v>3</v>
      </c>
      <c r="AH10" s="6">
        <f>+AF10+AG10</f>
        <v>83</v>
      </c>
      <c r="AI10" s="3">
        <v>0</v>
      </c>
      <c r="AJ10" s="3">
        <f>+AI10+AH10</f>
        <v>83</v>
      </c>
      <c r="AK10" s="3" t="s">
        <v>66</v>
      </c>
      <c r="AL10" s="3">
        <v>1</v>
      </c>
      <c r="AM10" s="3">
        <f>+AJ10+AL10</f>
        <v>84</v>
      </c>
      <c r="AN10" s="3">
        <v>8</v>
      </c>
      <c r="AO10" s="3">
        <f>+AM10+AN10</f>
        <v>92</v>
      </c>
      <c r="AP10" s="3">
        <v>6</v>
      </c>
      <c r="AQ10" s="3">
        <f>+AO10+AP10</f>
        <v>98</v>
      </c>
      <c r="AR10" s="3">
        <f>+AQ10+7</f>
        <v>105</v>
      </c>
      <c r="AS10" s="3">
        <f>+AR10+7+AT10</f>
        <v>119</v>
      </c>
      <c r="AT10" s="3">
        <v>7</v>
      </c>
      <c r="AU10" s="3">
        <f>+AA10-R10</f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hidden="1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>+IF(I11="SFK Freight Forwarder",L11,9)</f>
        <v>9</v>
      </c>
      <c r="N11" s="3">
        <v>14</v>
      </c>
      <c r="O11" s="3">
        <f>IF(I11="SFK Freight Forwarder",M11,M11+N11-1)</f>
        <v>22</v>
      </c>
      <c r="P11" s="3">
        <f>+IF(I11="SFK Freight Forwarder",0,5)</f>
        <v>5</v>
      </c>
      <c r="Q11" s="3">
        <f>+IF(I11="SFK Freight Forwarder",O11,O11+P11-1)</f>
        <v>26</v>
      </c>
      <c r="R11" s="3">
        <f>9+N11</f>
        <v>23</v>
      </c>
      <c r="S11" s="3">
        <v>7</v>
      </c>
      <c r="T11" s="3">
        <f>+R11+S11-1</f>
        <v>29</v>
      </c>
      <c r="U11" s="3">
        <f>+T11+1</f>
        <v>30</v>
      </c>
      <c r="V11" s="3">
        <v>1</v>
      </c>
      <c r="W11" s="3">
        <f>+U11+V11-1</f>
        <v>30</v>
      </c>
      <c r="X11" s="3">
        <v>3</v>
      </c>
      <c r="Y11" s="3">
        <f>+ROUNDDOWN(W11/7,0)*7+X11</f>
        <v>31</v>
      </c>
      <c r="Z11" s="6">
        <v>37</v>
      </c>
      <c r="AA11" s="6">
        <f>+Z11+AB11-1</f>
        <v>39</v>
      </c>
      <c r="AB11" s="3">
        <v>3</v>
      </c>
      <c r="AC11" s="3">
        <v>7</v>
      </c>
      <c r="AD11" s="3">
        <v>7</v>
      </c>
      <c r="AE11" s="3">
        <v>57</v>
      </c>
      <c r="AF11" s="3">
        <f>+AE11+AA11-1</f>
        <v>95</v>
      </c>
      <c r="AG11" s="6">
        <v>3</v>
      </c>
      <c r="AH11" s="6">
        <f>+AF11+AG11</f>
        <v>98</v>
      </c>
      <c r="AI11" s="3">
        <v>14</v>
      </c>
      <c r="AJ11" s="3">
        <f>+AI11+AH11</f>
        <v>112</v>
      </c>
      <c r="AK11" s="3" t="s">
        <v>56</v>
      </c>
      <c r="AL11" s="3">
        <v>4</v>
      </c>
      <c r="AM11" s="3">
        <f>+AJ11+AL11</f>
        <v>116</v>
      </c>
      <c r="AN11" s="3">
        <v>3</v>
      </c>
      <c r="AO11" s="3">
        <f>+AM11+AN11</f>
        <v>119</v>
      </c>
      <c r="AP11" s="3">
        <v>0</v>
      </c>
      <c r="AQ11" s="3">
        <f>+AO11+AP11</f>
        <v>119</v>
      </c>
      <c r="AR11" s="3">
        <f>+AQ11+7</f>
        <v>126</v>
      </c>
      <c r="AS11" s="3">
        <f>+AR11+7+AT11</f>
        <v>147</v>
      </c>
      <c r="AT11" s="3">
        <v>14</v>
      </c>
      <c r="AU11" s="3">
        <f>+AA11-R11</f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hidden="1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>+IF(I12="SFK Freight Forwarder",L12,9)</f>
        <v>9</v>
      </c>
      <c r="N12" s="3">
        <v>14</v>
      </c>
      <c r="O12" s="3">
        <f>IF(I12="SFK Freight Forwarder",M12,M12+N12-1)</f>
        <v>22</v>
      </c>
      <c r="P12" s="3">
        <f>+IF(I12="SFK Freight Forwarder",0,5)</f>
        <v>5</v>
      </c>
      <c r="Q12" s="3">
        <f>+IF(I12="SFK Freight Forwarder",O12,O12+P12-1)</f>
        <v>26</v>
      </c>
      <c r="R12" s="3">
        <f>9+N12</f>
        <v>23</v>
      </c>
      <c r="S12" s="3">
        <v>7</v>
      </c>
      <c r="T12" s="3">
        <f>+R12+S12-1</f>
        <v>29</v>
      </c>
      <c r="U12" s="3">
        <f>+T12+1</f>
        <v>30</v>
      </c>
      <c r="V12" s="3">
        <v>1</v>
      </c>
      <c r="W12" s="3">
        <f>+U12+V12-1</f>
        <v>30</v>
      </c>
      <c r="X12" s="3">
        <v>5</v>
      </c>
      <c r="Y12" s="3">
        <f>+ROUNDDOWN(W12/7,0)*7+X12</f>
        <v>33</v>
      </c>
      <c r="Z12" s="6">
        <f>+Y12+X12-1</f>
        <v>37</v>
      </c>
      <c r="AA12" s="6">
        <f>+Z12+AB12-1</f>
        <v>38</v>
      </c>
      <c r="AB12" s="3">
        <v>2</v>
      </c>
      <c r="AC12" s="3">
        <v>7</v>
      </c>
      <c r="AD12" s="3">
        <v>7</v>
      </c>
      <c r="AE12" s="3">
        <v>47</v>
      </c>
      <c r="AF12" s="3">
        <f>+AE12+AA12-1</f>
        <v>84</v>
      </c>
      <c r="AG12" s="6">
        <v>3</v>
      </c>
      <c r="AH12" s="6">
        <f>+AF12+AG12</f>
        <v>87</v>
      </c>
      <c r="AI12" s="3">
        <v>14</v>
      </c>
      <c r="AJ12" s="3">
        <f>+AI12+AH12</f>
        <v>101</v>
      </c>
      <c r="AK12" s="3" t="s">
        <v>56</v>
      </c>
      <c r="AL12" s="3">
        <v>2</v>
      </c>
      <c r="AM12" s="3">
        <f>+AJ12+AL12</f>
        <v>103</v>
      </c>
      <c r="AN12" s="3">
        <v>2</v>
      </c>
      <c r="AO12" s="3">
        <f>+AM12+AN12</f>
        <v>105</v>
      </c>
      <c r="AP12" s="3">
        <v>0</v>
      </c>
      <c r="AQ12" s="3">
        <f>+AO12+AP12</f>
        <v>105</v>
      </c>
      <c r="AR12" s="3">
        <f>+AQ12+7</f>
        <v>112</v>
      </c>
      <c r="AS12" s="3">
        <f>+AR12+7+AT12</f>
        <v>134</v>
      </c>
      <c r="AT12" s="3">
        <v>15</v>
      </c>
      <c r="AU12" s="3">
        <f>+AA12-R12</f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hidden="1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>+IF(I13="SFK Freight Forwarder",L13,9)</f>
        <v>9</v>
      </c>
      <c r="N13" s="3">
        <v>7</v>
      </c>
      <c r="O13" s="3">
        <f>IF(I13="SFK Freight Forwarder",M13,M13+N13-1)</f>
        <v>15</v>
      </c>
      <c r="P13" s="3">
        <f>+IF(I13="SFK Freight Forwarder",0,5)</f>
        <v>5</v>
      </c>
      <c r="Q13" s="3">
        <f>+IF(I13="SFK Freight Forwarder",O13,O13+P13-1)</f>
        <v>19</v>
      </c>
      <c r="R13" s="3">
        <f>9+N13</f>
        <v>16</v>
      </c>
      <c r="S13" s="3">
        <v>7</v>
      </c>
      <c r="T13" s="3">
        <f>+R13+S13-1</f>
        <v>22</v>
      </c>
      <c r="U13" s="3">
        <f>+T13+1</f>
        <v>23</v>
      </c>
      <c r="V13" s="3">
        <v>1</v>
      </c>
      <c r="W13" s="3">
        <f>+U13+V13-1</f>
        <v>23</v>
      </c>
      <c r="X13" s="3">
        <v>5</v>
      </c>
      <c r="Y13" s="3">
        <f>+ROUNDDOWN(W13/7,0)*7+X13</f>
        <v>26</v>
      </c>
      <c r="Z13" s="6">
        <v>31</v>
      </c>
      <c r="AA13" s="6">
        <f>+Z13+AB13-1</f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>+AE13+AA13-1</f>
        <v>73</v>
      </c>
      <c r="AG13" s="6">
        <v>3</v>
      </c>
      <c r="AH13" s="6">
        <f>+AF13+AG13</f>
        <v>76</v>
      </c>
      <c r="AI13" s="3">
        <v>0</v>
      </c>
      <c r="AJ13" s="3">
        <f>+AI13+AH13</f>
        <v>76</v>
      </c>
      <c r="AK13" s="3" t="s">
        <v>61</v>
      </c>
      <c r="AL13" s="3">
        <v>2</v>
      </c>
      <c r="AM13" s="3">
        <f>+AJ13+AL13</f>
        <v>78</v>
      </c>
      <c r="AN13" s="3">
        <v>2</v>
      </c>
      <c r="AO13" s="3">
        <f>+AM13+AN13</f>
        <v>80</v>
      </c>
      <c r="AP13" s="3">
        <v>4</v>
      </c>
      <c r="AQ13" s="3">
        <f>+AO13+AP13</f>
        <v>84</v>
      </c>
      <c r="AR13" s="3">
        <f>+AQ13+7</f>
        <v>91</v>
      </c>
      <c r="AS13" s="3">
        <f>+AR13+7+AT13</f>
        <v>112</v>
      </c>
      <c r="AT13" s="3">
        <v>14</v>
      </c>
      <c r="AU13" s="3">
        <f>+AA13-R13</f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hidden="1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>+IF(I14="SFK Freight Forwarder",L14,9)</f>
        <v>9</v>
      </c>
      <c r="N14" s="3">
        <v>14</v>
      </c>
      <c r="O14" s="3">
        <f>IF(I14="SFK Freight Forwarder",M14,M14+N14-1)</f>
        <v>22</v>
      </c>
      <c r="P14" s="3">
        <f>+IF(I14="SFK Freight Forwarder",0,5)</f>
        <v>5</v>
      </c>
      <c r="Q14" s="3">
        <f>+IF(I14="SFK Freight Forwarder",O14,O14+P14-1)</f>
        <v>26</v>
      </c>
      <c r="R14" s="3">
        <f>9+N14</f>
        <v>23</v>
      </c>
      <c r="S14" s="3">
        <v>7</v>
      </c>
      <c r="T14" s="3">
        <f>+R14+S14-1</f>
        <v>29</v>
      </c>
      <c r="U14" s="3">
        <f>+T14+1</f>
        <v>30</v>
      </c>
      <c r="V14" s="3">
        <v>4</v>
      </c>
      <c r="W14" s="3">
        <f>+U14+V14-1</f>
        <v>33</v>
      </c>
      <c r="X14" s="3">
        <v>5</v>
      </c>
      <c r="Y14" s="3">
        <f>+ROUNDDOWN(W14/7,0)*7+X14</f>
        <v>33</v>
      </c>
      <c r="Z14" s="6">
        <v>36</v>
      </c>
      <c r="AA14" s="6">
        <f>+Z14+AB14-1</f>
        <v>37</v>
      </c>
      <c r="AB14" s="3">
        <v>2</v>
      </c>
      <c r="AC14" s="3">
        <v>7</v>
      </c>
      <c r="AD14" s="3">
        <v>7</v>
      </c>
      <c r="AE14" s="3">
        <v>37</v>
      </c>
      <c r="AF14" s="3">
        <f>+AE14+AA14-1</f>
        <v>73</v>
      </c>
      <c r="AG14" s="6">
        <v>3</v>
      </c>
      <c r="AH14" s="6">
        <f>+AF14+AG14</f>
        <v>76</v>
      </c>
      <c r="AI14" s="3">
        <v>7</v>
      </c>
      <c r="AJ14" s="3">
        <f>+AI14+AH14</f>
        <v>83</v>
      </c>
      <c r="AK14" s="28" t="s">
        <v>80</v>
      </c>
      <c r="AL14" s="3">
        <v>2</v>
      </c>
      <c r="AM14" s="3">
        <f>+AJ14+AL14</f>
        <v>85</v>
      </c>
      <c r="AN14" s="3">
        <v>2</v>
      </c>
      <c r="AO14" s="3">
        <f>+AM14+AN14</f>
        <v>87</v>
      </c>
      <c r="AP14" s="3">
        <v>4</v>
      </c>
      <c r="AQ14" s="3">
        <f>+AO14+AP14</f>
        <v>91</v>
      </c>
      <c r="AR14" s="3">
        <f>+AQ14+7</f>
        <v>98</v>
      </c>
      <c r="AS14" s="3">
        <f>+AR14+7+AT14</f>
        <v>121</v>
      </c>
      <c r="AT14" s="3">
        <v>16</v>
      </c>
      <c r="AU14" s="3">
        <f>+AA14-R14</f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hidden="1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>+IF(I15="SFK Freight Forwarder",L15,9)</f>
        <v>9</v>
      </c>
      <c r="N15" s="3">
        <v>14</v>
      </c>
      <c r="O15" s="3">
        <f>IF(I15="SFK Freight Forwarder",M15,M15+N15-1)</f>
        <v>22</v>
      </c>
      <c r="P15" s="3">
        <f>+IF(I15="SFK Freight Forwarder",0,5)</f>
        <v>5</v>
      </c>
      <c r="Q15" s="3">
        <f>+IF(I15="SFK Freight Forwarder",O15,O15+P15-1)</f>
        <v>26</v>
      </c>
      <c r="R15" s="3">
        <f>9+N15</f>
        <v>23</v>
      </c>
      <c r="S15" s="3">
        <v>7</v>
      </c>
      <c r="T15" s="3">
        <f>+R15+S15-1</f>
        <v>29</v>
      </c>
      <c r="U15" s="3">
        <f>+T15+1</f>
        <v>30</v>
      </c>
      <c r="V15" s="3">
        <v>1</v>
      </c>
      <c r="W15" s="3">
        <f>+U15+V15-1</f>
        <v>30</v>
      </c>
      <c r="X15" s="3">
        <v>8</v>
      </c>
      <c r="Y15" s="3">
        <f>+ROUNDDOWN(W15/7,0)*7+X15</f>
        <v>36</v>
      </c>
      <c r="Z15" s="6">
        <f>+Y15+1</f>
        <v>37</v>
      </c>
      <c r="AA15" s="6">
        <f>+Z15+AB15-1</f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>+AE15+AA15-1</f>
        <v>64</v>
      </c>
      <c r="AG15" s="6">
        <v>3</v>
      </c>
      <c r="AH15" s="6">
        <f>+AF15+AG15</f>
        <v>67</v>
      </c>
      <c r="AI15" s="3">
        <v>14</v>
      </c>
      <c r="AJ15" s="3">
        <f>+AI15+AH15</f>
        <v>81</v>
      </c>
      <c r="AK15" s="3" t="s">
        <v>66</v>
      </c>
      <c r="AL15" s="3">
        <v>2</v>
      </c>
      <c r="AM15" s="3">
        <f>+AJ15+AL15</f>
        <v>83</v>
      </c>
      <c r="AN15" s="3">
        <v>2</v>
      </c>
      <c r="AO15" s="3">
        <f>+AM15+AN15</f>
        <v>85</v>
      </c>
      <c r="AP15" s="3">
        <v>6</v>
      </c>
      <c r="AQ15" s="3">
        <f>+AO15+AP15</f>
        <v>91</v>
      </c>
      <c r="AR15" s="3">
        <f>+AQ15+7</f>
        <v>98</v>
      </c>
      <c r="AS15" s="3">
        <f>+AR15+7+AT15</f>
        <v>119</v>
      </c>
      <c r="AT15" s="3">
        <v>14</v>
      </c>
      <c r="AU15" s="3">
        <f>+AA15-R15</f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hidden="1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>+IF(I16="SFK Freight Forwarder",L16,9)</f>
        <v>9</v>
      </c>
      <c r="N16" s="3">
        <v>14</v>
      </c>
      <c r="O16" s="3">
        <f>IF(I16="SFK Freight Forwarder",M16,M16+N16-1)</f>
        <v>22</v>
      </c>
      <c r="P16" s="3">
        <f>+IF(I16="SFK Freight Forwarder",0,5)</f>
        <v>5</v>
      </c>
      <c r="Q16" s="3">
        <f>+IF(I16="SFK Freight Forwarder",O16,O16+P16-1)</f>
        <v>26</v>
      </c>
      <c r="R16" s="3">
        <f>9+N16</f>
        <v>23</v>
      </c>
      <c r="S16" s="3">
        <v>7</v>
      </c>
      <c r="T16" s="3">
        <f>+R16+S16-1</f>
        <v>29</v>
      </c>
      <c r="U16" s="3">
        <f>+T16+1</f>
        <v>30</v>
      </c>
      <c r="V16" s="3">
        <v>4</v>
      </c>
      <c r="W16" s="3">
        <f>+U16+V16-1</f>
        <v>33</v>
      </c>
      <c r="X16" s="3">
        <v>5</v>
      </c>
      <c r="Y16" s="3">
        <f>+ROUNDDOWN(W16/7,0)*7+X16</f>
        <v>33</v>
      </c>
      <c r="Z16" s="6">
        <v>33</v>
      </c>
      <c r="AA16" s="6">
        <f>+Z16+AB16-1</f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>+AE16+AA16-1</f>
        <v>78</v>
      </c>
      <c r="AG16" s="6">
        <v>3</v>
      </c>
      <c r="AH16" s="6">
        <f>+AF16+AG16</f>
        <v>81</v>
      </c>
      <c r="AI16" s="3">
        <v>7</v>
      </c>
      <c r="AJ16" s="3">
        <f>+AI16+AH16</f>
        <v>88</v>
      </c>
      <c r="AK16" s="3" t="s">
        <v>56</v>
      </c>
      <c r="AL16" s="3">
        <v>2</v>
      </c>
      <c r="AM16" s="3">
        <f>+AJ16+AL16</f>
        <v>90</v>
      </c>
      <c r="AN16" s="3">
        <v>2</v>
      </c>
      <c r="AO16" s="3">
        <f>+AM16+AN16</f>
        <v>92</v>
      </c>
      <c r="AP16" s="3">
        <v>6</v>
      </c>
      <c r="AQ16" s="3">
        <f>+AO16+AP16</f>
        <v>98</v>
      </c>
      <c r="AR16" s="3">
        <f>+AQ16+7</f>
        <v>105</v>
      </c>
      <c r="AS16" s="3">
        <f>+AR16+7+AT16</f>
        <v>121</v>
      </c>
      <c r="AT16" s="3">
        <v>9</v>
      </c>
      <c r="AU16" s="3">
        <f>+AA16-R16</f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hidden="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>+IF(I17="SFK Freight Forwarder",L17,9)</f>
        <v>9</v>
      </c>
      <c r="N17" s="3">
        <v>14</v>
      </c>
      <c r="O17" s="3">
        <f>IF(I17="SFK Freight Forwarder",M17,M17+N17-1)</f>
        <v>22</v>
      </c>
      <c r="P17" s="3">
        <f>+IF(I17="SFK Freight Forwarder",0,5)</f>
        <v>5</v>
      </c>
      <c r="Q17" s="3">
        <f>+IF(I17="SFK Freight Forwarder",O17,O17+P17-1)</f>
        <v>26</v>
      </c>
      <c r="R17" s="3">
        <f>9+N17</f>
        <v>23</v>
      </c>
      <c r="S17" s="3">
        <v>7</v>
      </c>
      <c r="T17" s="3">
        <f>+R17+S17-1</f>
        <v>29</v>
      </c>
      <c r="U17" s="3">
        <f>+T17+1</f>
        <v>30</v>
      </c>
      <c r="V17" s="3">
        <v>2</v>
      </c>
      <c r="W17" s="3">
        <f>+U17+V17-1</f>
        <v>31</v>
      </c>
      <c r="X17" s="3">
        <v>4</v>
      </c>
      <c r="Y17" s="3">
        <f>+ROUNDDOWN(W17/7,0)*7+X17</f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>+AE17+AA17-1</f>
        <v>80</v>
      </c>
      <c r="AG17" s="6">
        <v>3</v>
      </c>
      <c r="AH17" s="6">
        <f>+AF17+AG17</f>
        <v>83</v>
      </c>
      <c r="AI17" s="3">
        <v>14</v>
      </c>
      <c r="AJ17" s="3">
        <f>+AI17+AH17</f>
        <v>97</v>
      </c>
      <c r="AK17" s="3" t="s">
        <v>56</v>
      </c>
      <c r="AL17" s="3">
        <v>1</v>
      </c>
      <c r="AM17" s="3">
        <f>+AJ17+AL17</f>
        <v>98</v>
      </c>
      <c r="AN17" s="3">
        <v>8</v>
      </c>
      <c r="AO17" s="3">
        <f>+AM17+AN17</f>
        <v>106</v>
      </c>
      <c r="AP17" s="3">
        <v>6</v>
      </c>
      <c r="AQ17" s="3">
        <f>+AO17+AP17</f>
        <v>112</v>
      </c>
      <c r="AR17" s="3">
        <f>+AQ17+7</f>
        <v>119</v>
      </c>
      <c r="AS17" s="3">
        <f>+AR17+7+AT17</f>
        <v>139</v>
      </c>
      <c r="AT17" s="3">
        <v>13</v>
      </c>
      <c r="AU17" s="3">
        <f>+AA17-R17</f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hidden="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>+IF(I18="SFK Freight Forwarder",L18,9)</f>
        <v>9</v>
      </c>
      <c r="N18" s="3">
        <v>7</v>
      </c>
      <c r="O18" s="3">
        <f>IF(I18="SFK Freight Forwarder",M18,M18+N18-1)</f>
        <v>15</v>
      </c>
      <c r="P18" s="3">
        <f>+IF(I18="SFK Freight Forwarder",0,5)</f>
        <v>5</v>
      </c>
      <c r="Q18" s="3">
        <f>+IF(I18="SFK Freight Forwarder",O18,O18+P18-1)</f>
        <v>19</v>
      </c>
      <c r="R18" s="3">
        <f>9+N18</f>
        <v>16</v>
      </c>
      <c r="S18" s="3">
        <v>7</v>
      </c>
      <c r="T18" s="3">
        <f>+R18+S18-1</f>
        <v>22</v>
      </c>
      <c r="U18" s="3">
        <f>+T18+1</f>
        <v>23</v>
      </c>
      <c r="V18" s="3">
        <v>4</v>
      </c>
      <c r="W18" s="3">
        <f>+U18+V18-1</f>
        <v>26</v>
      </c>
      <c r="X18" s="3">
        <v>5</v>
      </c>
      <c r="Y18" s="3">
        <f>+ROUNDDOWN(W18/7,0)*7+X18</f>
        <v>26</v>
      </c>
      <c r="Z18" s="6">
        <v>31</v>
      </c>
      <c r="AA18" s="6">
        <f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>+AE18+AA18-1</f>
        <v>59</v>
      </c>
      <c r="AG18" s="6">
        <v>3</v>
      </c>
      <c r="AH18" s="6">
        <f>+AF18+AG18</f>
        <v>62</v>
      </c>
      <c r="AI18" s="3">
        <v>7</v>
      </c>
      <c r="AJ18" s="3">
        <f>+AI18+AH18</f>
        <v>69</v>
      </c>
      <c r="AK18" s="3" t="s">
        <v>66</v>
      </c>
      <c r="AL18" s="3">
        <v>2</v>
      </c>
      <c r="AM18" s="3">
        <f>+AJ18+AL18</f>
        <v>71</v>
      </c>
      <c r="AN18" s="3">
        <v>9</v>
      </c>
      <c r="AO18" s="3">
        <f>+AM18+AN18</f>
        <v>80</v>
      </c>
      <c r="AP18" s="3">
        <v>4</v>
      </c>
      <c r="AQ18" s="3">
        <f>+AO18+AP18</f>
        <v>84</v>
      </c>
      <c r="AR18" s="3">
        <f>+AQ18+7</f>
        <v>91</v>
      </c>
      <c r="AS18" s="3">
        <f>+AR18+7+AT18</f>
        <v>111</v>
      </c>
      <c r="AT18" s="3">
        <v>13</v>
      </c>
      <c r="AU18" s="3">
        <f>+AA18-R18</f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hidden="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>+IF(I19="SFK Freight Forwarder",L19,9)</f>
        <v>9</v>
      </c>
      <c r="N19" s="3">
        <v>14</v>
      </c>
      <c r="O19" s="3">
        <f>IF(I19="SFK Freight Forwarder",M19,M19+N19-1)</f>
        <v>22</v>
      </c>
      <c r="P19" s="3">
        <f>+IF(I19="SFK Freight Forwarder",0,5)</f>
        <v>5</v>
      </c>
      <c r="Q19" s="3">
        <f>+IF(I19="SFK Freight Forwarder",O19,O19+P19-1)</f>
        <v>26</v>
      </c>
      <c r="R19" s="3">
        <f>9+N19</f>
        <v>23</v>
      </c>
      <c r="S19" s="3">
        <v>7</v>
      </c>
      <c r="T19" s="3">
        <f>+R19+S19-1</f>
        <v>29</v>
      </c>
      <c r="U19" s="3">
        <f>+T19+1</f>
        <v>30</v>
      </c>
      <c r="V19" s="3">
        <v>2</v>
      </c>
      <c r="W19" s="3">
        <f>+U19+V19-1</f>
        <v>31</v>
      </c>
      <c r="X19" s="3">
        <v>5</v>
      </c>
      <c r="Y19" s="3">
        <f>+ROUNDDOWN(W19/7,0)*7+X19</f>
        <v>33</v>
      </c>
      <c r="Z19" s="6">
        <v>36</v>
      </c>
      <c r="AA19" s="6">
        <f>+Z19+AB19-1</f>
        <v>37</v>
      </c>
      <c r="AB19" s="3">
        <v>2</v>
      </c>
      <c r="AC19" s="3">
        <v>9</v>
      </c>
      <c r="AD19" s="3">
        <v>9</v>
      </c>
      <c r="AE19" s="3">
        <v>37</v>
      </c>
      <c r="AF19" s="3">
        <f>+AE19+AA19-1</f>
        <v>73</v>
      </c>
      <c r="AG19" s="6">
        <v>3</v>
      </c>
      <c r="AH19" s="6">
        <f>+AF19+AG19</f>
        <v>76</v>
      </c>
      <c r="AI19" s="3">
        <v>14</v>
      </c>
      <c r="AJ19" s="3">
        <f>+AI19+AH19</f>
        <v>90</v>
      </c>
      <c r="AK19" s="3" t="s">
        <v>56</v>
      </c>
      <c r="AL19" s="3">
        <v>2</v>
      </c>
      <c r="AM19" s="3">
        <f>+AJ19+AL19</f>
        <v>92</v>
      </c>
      <c r="AN19" s="3">
        <v>2</v>
      </c>
      <c r="AO19" s="3">
        <f>+AM19+AN19</f>
        <v>94</v>
      </c>
      <c r="AP19" s="3">
        <v>4</v>
      </c>
      <c r="AQ19" s="3">
        <f>+AO19+AP19</f>
        <v>98</v>
      </c>
      <c r="AR19" s="3">
        <f>+AQ19+7</f>
        <v>105</v>
      </c>
      <c r="AS19" s="3">
        <f>+AR19+7+AT19</f>
        <v>126</v>
      </c>
      <c r="AT19" s="3">
        <v>14</v>
      </c>
      <c r="AU19" s="3">
        <f>+AA19-R19</f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hidden="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>+IF(I20="SFK Freight Forwarder",L20,9)</f>
        <v>9</v>
      </c>
      <c r="N20" s="3">
        <v>14</v>
      </c>
      <c r="O20" s="3">
        <f>IF(I20="SFK Freight Forwarder",M20,M20+N20-1)</f>
        <v>22</v>
      </c>
      <c r="P20" s="3">
        <f>+IF(I20="SFK Freight Forwarder",0,5)</f>
        <v>5</v>
      </c>
      <c r="Q20" s="3">
        <f>+IF(I20="SFK Freight Forwarder",O20,O20+P20-1)</f>
        <v>26</v>
      </c>
      <c r="R20" s="3">
        <f>9+N20</f>
        <v>23</v>
      </c>
      <c r="S20" s="3">
        <v>7</v>
      </c>
      <c r="T20" s="3">
        <f>+R20+S20-1</f>
        <v>29</v>
      </c>
      <c r="U20" s="3">
        <f>+T20+1</f>
        <v>30</v>
      </c>
      <c r="V20" s="3">
        <v>2</v>
      </c>
      <c r="W20" s="3">
        <f>+U20+V20-1</f>
        <v>31</v>
      </c>
      <c r="X20" s="3">
        <v>3</v>
      </c>
      <c r="Y20" s="3">
        <f>+ROUNDDOWN(W20/7,0)*7+X20</f>
        <v>31</v>
      </c>
      <c r="Z20" s="6">
        <v>35</v>
      </c>
      <c r="AA20" s="6">
        <f>+Z20+AB20-1</f>
        <v>37</v>
      </c>
      <c r="AB20" s="3">
        <v>3</v>
      </c>
      <c r="AC20" s="3">
        <v>6</v>
      </c>
      <c r="AD20" s="3">
        <v>6</v>
      </c>
      <c r="AE20" s="3">
        <v>36</v>
      </c>
      <c r="AF20" s="3">
        <f>+AE20+AA20-1</f>
        <v>72</v>
      </c>
      <c r="AG20" s="6">
        <v>3</v>
      </c>
      <c r="AH20" s="6">
        <f>+AF20+AG20</f>
        <v>75</v>
      </c>
      <c r="AI20" s="3">
        <v>14</v>
      </c>
      <c r="AJ20" s="3">
        <f>+AI20+AH20</f>
        <v>89</v>
      </c>
      <c r="AK20" s="3" t="s">
        <v>56</v>
      </c>
      <c r="AL20" s="3">
        <v>2</v>
      </c>
      <c r="AM20" s="3">
        <f>+AJ20+AL20</f>
        <v>91</v>
      </c>
      <c r="AN20" s="3">
        <v>7</v>
      </c>
      <c r="AO20" s="3">
        <f>+AM20+AN20</f>
        <v>98</v>
      </c>
      <c r="AP20" s="3">
        <v>0</v>
      </c>
      <c r="AQ20" s="3">
        <f>+AO20+AP20</f>
        <v>98</v>
      </c>
      <c r="AR20" s="3">
        <f>+AQ20+7</f>
        <v>105</v>
      </c>
      <c r="AS20" s="3">
        <f>+AR20+7+AT20</f>
        <v>126</v>
      </c>
      <c r="AT20" s="3">
        <v>14</v>
      </c>
      <c r="AU20" s="3">
        <f>+AA20-R20</f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hidden="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>+IF(I21="SFK Freight Forwarder",L21,9)</f>
        <v>9</v>
      </c>
      <c r="N21" s="3">
        <v>14</v>
      </c>
      <c r="O21" s="3">
        <f>IF(I21="SFK Freight Forwarder",M21,M21+N21-1)</f>
        <v>22</v>
      </c>
      <c r="P21" s="3">
        <f>+IF(I21="SFK Freight Forwarder",0,5)</f>
        <v>5</v>
      </c>
      <c r="Q21" s="3">
        <f>+IF(I21="SFK Freight Forwarder",O21,O21+P21-1)</f>
        <v>26</v>
      </c>
      <c r="R21" s="3">
        <f>9+N21</f>
        <v>23</v>
      </c>
      <c r="S21" s="3">
        <v>7</v>
      </c>
      <c r="T21" s="3">
        <f>+R21+S21-1</f>
        <v>29</v>
      </c>
      <c r="U21" s="3">
        <f>+T21+1</f>
        <v>30</v>
      </c>
      <c r="V21" s="3">
        <v>3</v>
      </c>
      <c r="W21" s="3">
        <f>+U21+V21-1</f>
        <v>32</v>
      </c>
      <c r="X21" s="3">
        <v>5</v>
      </c>
      <c r="Y21" s="3">
        <f>+ROUNDDOWN(W21/7,0)*7+X21</f>
        <v>33</v>
      </c>
      <c r="Z21" s="6">
        <f>+Y21+X21-1</f>
        <v>37</v>
      </c>
      <c r="AA21" s="6">
        <f>+Z21+AB21-1</f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>+AE21+AA21-1</f>
        <v>77</v>
      </c>
      <c r="AG21" s="6">
        <v>3</v>
      </c>
      <c r="AH21" s="6">
        <f>+AF21+AG21</f>
        <v>80</v>
      </c>
      <c r="AI21" s="3">
        <v>0</v>
      </c>
      <c r="AJ21" s="3">
        <f>+AI21+AH21</f>
        <v>80</v>
      </c>
      <c r="AK21" s="3" t="s">
        <v>56</v>
      </c>
      <c r="AL21" s="3">
        <v>3</v>
      </c>
      <c r="AM21" s="3">
        <f>+AJ21+AL21</f>
        <v>83</v>
      </c>
      <c r="AN21" s="3">
        <v>9</v>
      </c>
      <c r="AO21" s="3">
        <f>+AM21+AN21</f>
        <v>92</v>
      </c>
      <c r="AP21" s="3">
        <v>6</v>
      </c>
      <c r="AQ21" s="3">
        <f>+AO21+AP21</f>
        <v>98</v>
      </c>
      <c r="AR21" s="3">
        <f>+AQ21+7</f>
        <v>105</v>
      </c>
      <c r="AS21" s="3">
        <f>+AR21+7+AT21</f>
        <v>126</v>
      </c>
      <c r="AT21" s="3">
        <v>14</v>
      </c>
      <c r="AU21" s="3">
        <f>+AA21-R21</f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hidden="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>+IF(I22="SFK Freight Forwarder",L22,9)</f>
        <v>9</v>
      </c>
      <c r="N22" s="3">
        <v>14</v>
      </c>
      <c r="O22" s="3">
        <f>IF(I22="SFK Freight Forwarder",M22,M22+N22-1)</f>
        <v>22</v>
      </c>
      <c r="P22" s="3">
        <f>+IF(I22="SFK Freight Forwarder",0,5)</f>
        <v>5</v>
      </c>
      <c r="Q22" s="3">
        <f>+IF(I22="SFK Freight Forwarder",O22,O22+P22-1)</f>
        <v>26</v>
      </c>
      <c r="R22" s="3">
        <f>9+N22</f>
        <v>23</v>
      </c>
      <c r="S22" s="3">
        <v>7</v>
      </c>
      <c r="T22" s="3">
        <f>+R22+S22-1</f>
        <v>29</v>
      </c>
      <c r="U22" s="3">
        <f>+T22+1</f>
        <v>30</v>
      </c>
      <c r="V22" s="3">
        <v>3</v>
      </c>
      <c r="W22" s="3">
        <f>+U22+V22-1</f>
        <v>32</v>
      </c>
      <c r="X22" s="3">
        <v>5</v>
      </c>
      <c r="Y22" s="3">
        <f>+ROUNDDOWN(W22/7,0)*7+X22</f>
        <v>33</v>
      </c>
      <c r="Z22" s="6">
        <f>+Y22+X22-1</f>
        <v>37</v>
      </c>
      <c r="AA22" s="6">
        <f>+Z22+AB22-1</f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>+AE22+AA22-1</f>
        <v>84</v>
      </c>
      <c r="AG22" s="6">
        <v>3</v>
      </c>
      <c r="AH22" s="6">
        <f>+AF22+AG22</f>
        <v>87</v>
      </c>
      <c r="AI22" s="3">
        <v>7</v>
      </c>
      <c r="AJ22" s="3">
        <f>+AI22+AH22</f>
        <v>94</v>
      </c>
      <c r="AK22" s="3" t="s">
        <v>56</v>
      </c>
      <c r="AL22" s="3">
        <v>2</v>
      </c>
      <c r="AM22" s="3">
        <f>+AJ22+AL22</f>
        <v>96</v>
      </c>
      <c r="AN22" s="3">
        <v>2</v>
      </c>
      <c r="AO22" s="3">
        <f>+AM22+AN22</f>
        <v>98</v>
      </c>
      <c r="AP22" s="3">
        <v>0</v>
      </c>
      <c r="AQ22" s="3">
        <f>+AO22+AP22</f>
        <v>98</v>
      </c>
      <c r="AR22" s="3">
        <f>+AQ22+7</f>
        <v>105</v>
      </c>
      <c r="AS22" s="3">
        <f>+AR22+7+AT22</f>
        <v>126</v>
      </c>
      <c r="AT22" s="3">
        <v>14</v>
      </c>
      <c r="AU22" s="3">
        <f>+AA22-R22</f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hidden="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>+IF(I23="SFK Freight Forwarder",L23,9)</f>
        <v>9</v>
      </c>
      <c r="N23" s="3">
        <v>7</v>
      </c>
      <c r="O23" s="3">
        <f>IF(I23="SFK Freight Forwarder",M23,M23+N23-1)</f>
        <v>15</v>
      </c>
      <c r="P23" s="3">
        <f>+IF(I23="SFK Freight Forwarder",0,5)</f>
        <v>5</v>
      </c>
      <c r="Q23" s="3">
        <f>+IF(I23="SFK Freight Forwarder",O23,O23+P23-1)</f>
        <v>19</v>
      </c>
      <c r="R23" s="3">
        <f>9+N23</f>
        <v>16</v>
      </c>
      <c r="S23" s="3">
        <v>7</v>
      </c>
      <c r="T23" s="3">
        <f>+R23+S23-1</f>
        <v>22</v>
      </c>
      <c r="U23" s="3">
        <f>+T23+1</f>
        <v>23</v>
      </c>
      <c r="V23" s="3">
        <v>3</v>
      </c>
      <c r="W23" s="3">
        <f>+U23+V23-1</f>
        <v>25</v>
      </c>
      <c r="X23" s="3">
        <v>4</v>
      </c>
      <c r="Y23" s="3">
        <f>+ROUNDDOWN(W23/7,0)*7+X23</f>
        <v>25</v>
      </c>
      <c r="Z23" s="6">
        <v>30</v>
      </c>
      <c r="AA23" s="6">
        <f>+Z23+AB23-1</f>
        <v>32</v>
      </c>
      <c r="AB23" s="3">
        <v>3</v>
      </c>
      <c r="AC23" s="3">
        <v>7</v>
      </c>
      <c r="AD23" s="3">
        <v>7</v>
      </c>
      <c r="AE23" s="3">
        <v>21</v>
      </c>
      <c r="AF23" s="3">
        <f>+AE23+AA23-1</f>
        <v>52</v>
      </c>
      <c r="AG23" s="6">
        <v>3</v>
      </c>
      <c r="AH23" s="6">
        <f>+AF23+AG23</f>
        <v>55</v>
      </c>
      <c r="AI23" s="3">
        <v>0</v>
      </c>
      <c r="AJ23" s="3">
        <f>+AI23+AH23</f>
        <v>55</v>
      </c>
      <c r="AK23" s="3" t="s">
        <v>80</v>
      </c>
      <c r="AL23" s="3">
        <v>1</v>
      </c>
      <c r="AM23" s="3">
        <f>+AJ23+AL23</f>
        <v>56</v>
      </c>
      <c r="AN23" s="3">
        <v>8</v>
      </c>
      <c r="AO23" s="3">
        <f>+AM23+AN23</f>
        <v>64</v>
      </c>
      <c r="AP23" s="3">
        <v>6</v>
      </c>
      <c r="AQ23" s="3">
        <f>+AO23+AP23</f>
        <v>70</v>
      </c>
      <c r="AR23" s="3">
        <f>+AQ23+7</f>
        <v>77</v>
      </c>
      <c r="AS23" s="3">
        <f>+AR23+7+AT23</f>
        <v>84</v>
      </c>
      <c r="AT23" s="3">
        <v>0</v>
      </c>
      <c r="AU23" s="3">
        <f>+AA23-R23</f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hidden="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>+IF(I24="SFK Freight Forwarder",L24,9)</f>
        <v>9</v>
      </c>
      <c r="N24" s="3">
        <v>14</v>
      </c>
      <c r="O24" s="3">
        <f>IF(I24="SFK Freight Forwarder",M24,M24+N24-1)</f>
        <v>22</v>
      </c>
      <c r="P24" s="3">
        <f>+IF(I24="SFK Freight Forwarder",0,5)</f>
        <v>5</v>
      </c>
      <c r="Q24" s="3">
        <f>+IF(I24="SFK Freight Forwarder",O24,O24+P24-1)</f>
        <v>26</v>
      </c>
      <c r="R24" s="3">
        <f>9+N24</f>
        <v>23</v>
      </c>
      <c r="S24" s="3">
        <v>7</v>
      </c>
      <c r="T24" s="3">
        <f>+R24+S24-1</f>
        <v>29</v>
      </c>
      <c r="U24" s="3">
        <f>+T24+1</f>
        <v>30</v>
      </c>
      <c r="V24" s="3">
        <v>2</v>
      </c>
      <c r="W24" s="3">
        <f>+U24+V24-1</f>
        <v>31</v>
      </c>
      <c r="X24" s="3">
        <v>4</v>
      </c>
      <c r="Y24" s="3">
        <f>+ROUNDDOWN(W24/7,0)*7+X24</f>
        <v>32</v>
      </c>
      <c r="Z24" s="6">
        <v>33</v>
      </c>
      <c r="AA24" s="6">
        <f>+Z24+AB24-1</f>
        <v>35</v>
      </c>
      <c r="AB24" s="3">
        <v>3</v>
      </c>
      <c r="AC24" s="3">
        <v>7</v>
      </c>
      <c r="AD24" s="3">
        <v>7</v>
      </c>
      <c r="AE24" s="3">
        <v>40</v>
      </c>
      <c r="AF24" s="3">
        <f>+AE24+AA24-1</f>
        <v>74</v>
      </c>
      <c r="AG24" s="6">
        <v>3</v>
      </c>
      <c r="AH24" s="6">
        <f>+AF24+AG24</f>
        <v>77</v>
      </c>
      <c r="AI24" s="3">
        <v>14</v>
      </c>
      <c r="AJ24" s="3">
        <f>+AI24+AH24</f>
        <v>91</v>
      </c>
      <c r="AK24" s="3" t="s">
        <v>56</v>
      </c>
      <c r="AL24" s="3">
        <v>2</v>
      </c>
      <c r="AM24" s="3">
        <f>+AJ24+AL24</f>
        <v>93</v>
      </c>
      <c r="AN24" s="3">
        <v>2</v>
      </c>
      <c r="AO24" s="3">
        <f>+AM24+AN24</f>
        <v>95</v>
      </c>
      <c r="AP24" s="3">
        <v>3</v>
      </c>
      <c r="AQ24" s="3">
        <f>+AO24+AP24</f>
        <v>98</v>
      </c>
      <c r="AR24" s="3">
        <f>+AQ24+7</f>
        <v>105</v>
      </c>
      <c r="AS24" s="3">
        <f>+AR24+7+AT24</f>
        <v>126</v>
      </c>
      <c r="AT24" s="3">
        <v>14</v>
      </c>
      <c r="AU24" s="3">
        <f>+AA24-R24</f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hidden="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>+IF(I25="SFK Freight Forwarder",L25,9)</f>
        <v>9</v>
      </c>
      <c r="N25" s="3">
        <v>14</v>
      </c>
      <c r="O25" s="3">
        <f>IF(I25="SFK Freight Forwarder",M25,M25+N25-1)</f>
        <v>22</v>
      </c>
      <c r="P25" s="3">
        <f>+IF(I25="SFK Freight Forwarder",0,5)</f>
        <v>5</v>
      </c>
      <c r="Q25" s="3">
        <f>+IF(I25="SFK Freight Forwarder",O25,O25+P25-1)</f>
        <v>26</v>
      </c>
      <c r="R25" s="3">
        <f>9+N25</f>
        <v>23</v>
      </c>
      <c r="S25" s="3">
        <v>7</v>
      </c>
      <c r="T25" s="3">
        <f>+R25+S25-1</f>
        <v>29</v>
      </c>
      <c r="U25" s="3">
        <f>+T25+1</f>
        <v>30</v>
      </c>
      <c r="V25" s="3">
        <v>1</v>
      </c>
      <c r="W25" s="3">
        <f>+U25+V25-1</f>
        <v>30</v>
      </c>
      <c r="X25" s="3">
        <v>2</v>
      </c>
      <c r="Y25" s="3">
        <f>+ROUNDDOWN(W25/7,0)*7+X25</f>
        <v>30</v>
      </c>
      <c r="Z25" s="6">
        <v>30</v>
      </c>
      <c r="AA25" s="6">
        <f>+Z25+AB25-1</f>
        <v>32</v>
      </c>
      <c r="AB25" s="3">
        <v>3</v>
      </c>
      <c r="AC25" s="3">
        <v>9</v>
      </c>
      <c r="AD25" s="3">
        <v>9</v>
      </c>
      <c r="AE25" s="3">
        <v>46</v>
      </c>
      <c r="AF25" s="3">
        <f>+AE25+AA25-1</f>
        <v>77</v>
      </c>
      <c r="AG25" s="6">
        <v>3</v>
      </c>
      <c r="AH25" s="6">
        <f>+AF25+AG25</f>
        <v>80</v>
      </c>
      <c r="AI25" s="3">
        <v>14</v>
      </c>
      <c r="AJ25" s="3">
        <f>+AI25+AH25</f>
        <v>94</v>
      </c>
      <c r="AK25" s="3" t="s">
        <v>56</v>
      </c>
      <c r="AL25" s="3">
        <v>4</v>
      </c>
      <c r="AM25" s="3">
        <f>+AJ25+AL25</f>
        <v>98</v>
      </c>
      <c r="AN25" s="3">
        <v>3</v>
      </c>
      <c r="AO25" s="3">
        <f>+AM25+AN25</f>
        <v>101</v>
      </c>
      <c r="AP25" s="3">
        <v>4</v>
      </c>
      <c r="AQ25" s="3">
        <f>+AO25+AP25</f>
        <v>105</v>
      </c>
      <c r="AR25" s="3">
        <f>+AQ25+7</f>
        <v>112</v>
      </c>
      <c r="AS25" s="3">
        <f>+AR25+7+AT25</f>
        <v>133</v>
      </c>
      <c r="AT25" s="3">
        <v>14</v>
      </c>
      <c r="AU25" s="3">
        <f>+AA25-R25</f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hidden="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>+IF(I26="SFK Freight Forwarder",L26,9)</f>
        <v>9</v>
      </c>
      <c r="N26" s="3">
        <v>7</v>
      </c>
      <c r="O26" s="3">
        <f>IF(I26="SFK Freight Forwarder",M26,M26+N26-1)</f>
        <v>15</v>
      </c>
      <c r="P26" s="3">
        <f>+IF(I26="SFK Freight Forwarder",0,5)</f>
        <v>5</v>
      </c>
      <c r="Q26" s="3">
        <f>+IF(I26="SFK Freight Forwarder",O26,O26+P26-1)</f>
        <v>19</v>
      </c>
      <c r="R26" s="3">
        <f>9+N26</f>
        <v>16</v>
      </c>
      <c r="S26" s="3">
        <v>7</v>
      </c>
      <c r="T26" s="3">
        <f>+R26+S26-1</f>
        <v>22</v>
      </c>
      <c r="U26" s="3">
        <f>+T26+1</f>
        <v>23</v>
      </c>
      <c r="V26" s="3">
        <v>2</v>
      </c>
      <c r="W26" s="3">
        <f>+U26+V26-1</f>
        <v>24</v>
      </c>
      <c r="X26" s="3">
        <v>5</v>
      </c>
      <c r="Y26" s="3">
        <f>+ROUNDDOWN(W26/7,0)*7+X26</f>
        <v>26</v>
      </c>
      <c r="Z26" s="6">
        <v>31</v>
      </c>
      <c r="AA26" s="6">
        <f>+Z26+AB26-1</f>
        <v>33</v>
      </c>
      <c r="AB26" s="3">
        <v>3</v>
      </c>
      <c r="AC26" s="3">
        <v>9</v>
      </c>
      <c r="AD26" s="3">
        <v>9</v>
      </c>
      <c r="AE26" s="3">
        <v>21</v>
      </c>
      <c r="AF26" s="3">
        <f>+AE26+AA26-1</f>
        <v>53</v>
      </c>
      <c r="AG26" s="6">
        <v>3</v>
      </c>
      <c r="AH26" s="6">
        <f>+AF26+AG26</f>
        <v>56</v>
      </c>
      <c r="AI26" s="3">
        <v>7</v>
      </c>
      <c r="AJ26" s="3">
        <f>+AI26+AH26</f>
        <v>63</v>
      </c>
      <c r="AK26" s="3" t="s">
        <v>61</v>
      </c>
      <c r="AL26" s="3">
        <v>2</v>
      </c>
      <c r="AM26" s="3">
        <f>+AJ26+AL26</f>
        <v>65</v>
      </c>
      <c r="AN26" s="3">
        <v>2</v>
      </c>
      <c r="AO26" s="3">
        <f>+AM26+AN26</f>
        <v>67</v>
      </c>
      <c r="AP26" s="3">
        <v>3</v>
      </c>
      <c r="AQ26" s="3">
        <f>+AO26+AP26</f>
        <v>70</v>
      </c>
      <c r="AR26" s="3">
        <f>+AQ26+7</f>
        <v>77</v>
      </c>
      <c r="AS26" s="3">
        <f>+AR26+7+AT26</f>
        <v>98</v>
      </c>
      <c r="AT26" s="3">
        <v>14</v>
      </c>
      <c r="AU26" s="3">
        <f>+AA26-R26</f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hidden="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>+IF(I27="SFK Freight Forwarder",L27,9)</f>
        <v>9</v>
      </c>
      <c r="N27" s="3">
        <v>14</v>
      </c>
      <c r="O27" s="3">
        <f>IF(I27="SFK Freight Forwarder",M27,M27+N27-1)</f>
        <v>22</v>
      </c>
      <c r="P27" s="3">
        <v>5</v>
      </c>
      <c r="Q27" s="3">
        <f>+IF(I27="SFK Freight Forwarder",O27,O27+P27-1)</f>
        <v>26</v>
      </c>
      <c r="R27" s="3">
        <f>9+N27</f>
        <v>23</v>
      </c>
      <c r="S27" s="3">
        <v>7</v>
      </c>
      <c r="T27" s="3">
        <f>+R27+S27-1</f>
        <v>29</v>
      </c>
      <c r="U27" s="3">
        <f>+T27+1</f>
        <v>30</v>
      </c>
      <c r="V27" s="3">
        <v>1</v>
      </c>
      <c r="W27" s="3">
        <f>+U27+V27-1</f>
        <v>30</v>
      </c>
      <c r="X27" s="3">
        <v>2</v>
      </c>
      <c r="Y27" s="3">
        <f>+ROUNDDOWN(W27/7,0)*7+X27</f>
        <v>30</v>
      </c>
      <c r="Z27" s="6">
        <v>35</v>
      </c>
      <c r="AA27" s="6">
        <f>+Z27+AB27-1</f>
        <v>37</v>
      </c>
      <c r="AB27" s="3">
        <v>3</v>
      </c>
      <c r="AC27" s="3">
        <v>8</v>
      </c>
      <c r="AD27" s="3">
        <v>8</v>
      </c>
      <c r="AE27" s="3">
        <v>40</v>
      </c>
      <c r="AF27" s="3">
        <f>+AE27+AA27-1</f>
        <v>76</v>
      </c>
      <c r="AG27" s="6">
        <v>3</v>
      </c>
      <c r="AH27" s="6">
        <f>+AF27+AG27</f>
        <v>79</v>
      </c>
      <c r="AI27" s="3">
        <v>7</v>
      </c>
      <c r="AJ27" s="3">
        <f>+AI27+AH27</f>
        <v>86</v>
      </c>
      <c r="AK27" s="3" t="s">
        <v>56</v>
      </c>
      <c r="AL27" s="3">
        <v>3</v>
      </c>
      <c r="AM27" s="3">
        <f>+AJ27+AL27</f>
        <v>89</v>
      </c>
      <c r="AN27" s="3">
        <v>11</v>
      </c>
      <c r="AO27" s="3">
        <f>+AM27+AN27</f>
        <v>100</v>
      </c>
      <c r="AP27" s="3">
        <v>5</v>
      </c>
      <c r="AQ27" s="3">
        <f>+AO27+AP27</f>
        <v>105</v>
      </c>
      <c r="AR27" s="3">
        <f>+AQ27+7</f>
        <v>112</v>
      </c>
      <c r="AS27" s="3">
        <f>+AR27+7+AT27</f>
        <v>136</v>
      </c>
      <c r="AT27" s="3">
        <v>17</v>
      </c>
      <c r="AU27" s="3">
        <f>+AA27-R27</f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hidden="1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>+IF(I28="SFK Freight Forwarder",L28,9)</f>
        <v>9</v>
      </c>
      <c r="N28" s="3">
        <v>14</v>
      </c>
      <c r="O28" s="3">
        <f>IF(I28="SFK Freight Forwarder",M28,M28+N28-1)</f>
        <v>22</v>
      </c>
      <c r="P28" s="3">
        <f>+IF(I28="SFK Freight Forwarder",0,5)</f>
        <v>5</v>
      </c>
      <c r="Q28" s="3">
        <f>+IF(I28="SFK Freight Forwarder",O28,O28+P28-1)</f>
        <v>26</v>
      </c>
      <c r="R28" s="3">
        <f>9+N28</f>
        <v>23</v>
      </c>
      <c r="S28" s="3">
        <v>7</v>
      </c>
      <c r="T28" s="3">
        <f>+R28+S28-1</f>
        <v>29</v>
      </c>
      <c r="U28" s="3">
        <f>+T28+1</f>
        <v>30</v>
      </c>
      <c r="V28" s="3">
        <v>1</v>
      </c>
      <c r="W28" s="3">
        <f>+U28+V28-1</f>
        <v>30</v>
      </c>
      <c r="X28" s="3">
        <v>2</v>
      </c>
      <c r="Y28" s="3">
        <f>+ROUNDDOWN(W28/7,0)*7+X28</f>
        <v>30</v>
      </c>
      <c r="Z28" s="6">
        <v>33</v>
      </c>
      <c r="AA28" s="6">
        <f>+Z28+AB28-1</f>
        <v>35</v>
      </c>
      <c r="AB28" s="3">
        <v>3</v>
      </c>
      <c r="AC28" s="3">
        <v>9</v>
      </c>
      <c r="AD28" s="3">
        <v>9</v>
      </c>
      <c r="AE28" s="3">
        <v>43</v>
      </c>
      <c r="AF28" s="3">
        <f>+AE28+AA28-1</f>
        <v>77</v>
      </c>
      <c r="AG28" s="6">
        <v>3</v>
      </c>
      <c r="AH28" s="6">
        <f>+AF28+AG28</f>
        <v>80</v>
      </c>
      <c r="AI28" s="3">
        <v>7</v>
      </c>
      <c r="AJ28" s="3">
        <f>+AI28+AH28</f>
        <v>87</v>
      </c>
      <c r="AK28" s="3" t="s">
        <v>56</v>
      </c>
      <c r="AL28" s="3">
        <v>2</v>
      </c>
      <c r="AM28" s="3">
        <f>+AJ28+AL28</f>
        <v>89</v>
      </c>
      <c r="AN28" s="3">
        <v>2</v>
      </c>
      <c r="AO28" s="3">
        <f>+AM28+AN28</f>
        <v>91</v>
      </c>
      <c r="AP28" s="3">
        <v>0</v>
      </c>
      <c r="AQ28" s="3">
        <f>+AO28+AP28</f>
        <v>91</v>
      </c>
      <c r="AR28" s="3">
        <f>+AQ28+7</f>
        <v>98</v>
      </c>
      <c r="AS28" s="3">
        <f>+AR28+7+AT28</f>
        <v>122</v>
      </c>
      <c r="AT28" s="3">
        <v>17</v>
      </c>
      <c r="AU28" s="3">
        <f>+AA28-R28</f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hidden="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>+IF(I29="SFK Freight Forwarder",L29,9)</f>
        <v>9</v>
      </c>
      <c r="N29" s="3">
        <v>14</v>
      </c>
      <c r="O29" s="3">
        <f>IF(I29="SFK Freight Forwarder",M29,M29+N29-1)</f>
        <v>22</v>
      </c>
      <c r="P29" s="3">
        <f>+IF(I29="SFK Freight Forwarder",0,5)</f>
        <v>5</v>
      </c>
      <c r="Q29" s="3">
        <f>+IF(I29="SFK Freight Forwarder",O29,O29+P29-1)</f>
        <v>26</v>
      </c>
      <c r="R29" s="3">
        <f>9+N29</f>
        <v>23</v>
      </c>
      <c r="S29" s="3">
        <v>7</v>
      </c>
      <c r="T29" s="3">
        <f>+R29+S29-1</f>
        <v>29</v>
      </c>
      <c r="U29" s="3">
        <f>+T29+1</f>
        <v>30</v>
      </c>
      <c r="V29" s="3">
        <v>1</v>
      </c>
      <c r="W29" s="3">
        <f>+U29+V29-1</f>
        <v>30</v>
      </c>
      <c r="X29" s="3">
        <v>2</v>
      </c>
      <c r="Y29" s="3">
        <f>+ROUNDDOWN(W29/7,0)*7+X29</f>
        <v>30</v>
      </c>
      <c r="Z29" s="6">
        <v>35</v>
      </c>
      <c r="AA29" s="6">
        <f>+Z29+AB29-1</f>
        <v>37</v>
      </c>
      <c r="AB29" s="3">
        <v>3</v>
      </c>
      <c r="AC29" s="3">
        <v>5</v>
      </c>
      <c r="AD29" s="3">
        <v>5</v>
      </c>
      <c r="AE29" s="3">
        <v>58</v>
      </c>
      <c r="AF29" s="3">
        <f>+AE29+AA29-1</f>
        <v>94</v>
      </c>
      <c r="AG29" s="6">
        <v>3</v>
      </c>
      <c r="AH29" s="6">
        <f>+AF29+AG29</f>
        <v>97</v>
      </c>
      <c r="AI29" s="3">
        <v>7</v>
      </c>
      <c r="AJ29" s="3">
        <f>+AI29+AH29</f>
        <v>104</v>
      </c>
      <c r="AK29" s="3" t="s">
        <v>56</v>
      </c>
      <c r="AL29" s="3">
        <v>1</v>
      </c>
      <c r="AM29" s="3">
        <f>+AJ29+AL29</f>
        <v>105</v>
      </c>
      <c r="AN29" s="3">
        <v>8</v>
      </c>
      <c r="AO29" s="3">
        <f>+AM29+AN29</f>
        <v>113</v>
      </c>
      <c r="AP29" s="3">
        <v>6</v>
      </c>
      <c r="AQ29" s="3">
        <f>+AO29+AP29</f>
        <v>119</v>
      </c>
      <c r="AR29" s="3">
        <f>+AQ29+7</f>
        <v>126</v>
      </c>
      <c r="AS29" s="3">
        <f>+AR29+7+AT29</f>
        <v>147</v>
      </c>
      <c r="AT29" s="3">
        <v>14</v>
      </c>
      <c r="AU29" s="3">
        <f>+AA29-R29</f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hidden="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>+IF(I30="SFK Freight Forwarder",L30,9)</f>
        <v>7</v>
      </c>
      <c r="N30" s="3">
        <v>14</v>
      </c>
      <c r="O30" s="3">
        <f>IF(I30="SFK Freight Forwarder",M30,M30+N30-1)</f>
        <v>7</v>
      </c>
      <c r="P30" s="3">
        <f>+IF(I30="SFK Freight Forwarder",0,5)</f>
        <v>0</v>
      </c>
      <c r="Q30" s="3">
        <f>+IF(I30="SFK Freight Forwarder",O30,O30+P30-1)</f>
        <v>7</v>
      </c>
      <c r="R30" s="3">
        <f>9+N30</f>
        <v>23</v>
      </c>
      <c r="S30" s="3">
        <v>7</v>
      </c>
      <c r="T30" s="3">
        <f>+R30+S30-1</f>
        <v>29</v>
      </c>
      <c r="U30" s="3">
        <f>+T30+1</f>
        <v>30</v>
      </c>
      <c r="V30" s="3">
        <v>1</v>
      </c>
      <c r="W30" s="3">
        <f>+U30+V30-1</f>
        <v>30</v>
      </c>
      <c r="X30" s="3">
        <v>3</v>
      </c>
      <c r="Y30" s="3">
        <f>+ROUNDDOWN(W30/7,0)*7+X30</f>
        <v>31</v>
      </c>
      <c r="Z30" s="6">
        <f>+Y30+X30-1</f>
        <v>33</v>
      </c>
      <c r="AA30" s="6">
        <f>+Z30+AB30-1</f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>+AE30+AA30-1</f>
        <v>68</v>
      </c>
      <c r="AG30" s="6">
        <v>3</v>
      </c>
      <c r="AH30" s="6">
        <f>+AF30+AG30</f>
        <v>71</v>
      </c>
      <c r="AI30" s="3">
        <v>7</v>
      </c>
      <c r="AJ30" s="3">
        <f>+AI30+AH30</f>
        <v>78</v>
      </c>
      <c r="AK30" s="3" t="s">
        <v>61</v>
      </c>
      <c r="AL30" s="3">
        <v>0</v>
      </c>
      <c r="AM30" s="3">
        <f>+AJ30+AL30</f>
        <v>78</v>
      </c>
      <c r="AN30" s="3">
        <v>0</v>
      </c>
      <c r="AO30" s="3">
        <f>+AM30+AN30</f>
        <v>78</v>
      </c>
      <c r="AP30" s="3">
        <v>1</v>
      </c>
      <c r="AQ30" s="3">
        <f>+AO30+AP30</f>
        <v>79</v>
      </c>
      <c r="AR30" s="3">
        <f>+AQ30+7</f>
        <v>86</v>
      </c>
      <c r="AS30" s="3">
        <f>+AR30+7+AT30</f>
        <v>93</v>
      </c>
      <c r="AT30" s="3">
        <v>0</v>
      </c>
      <c r="AU30" s="3">
        <f>+AA30-R30</f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hidden="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>+IF(I31="SFK Freight Forwarder",L31,9)</f>
        <v>7</v>
      </c>
      <c r="N31" s="3">
        <v>14</v>
      </c>
      <c r="O31" s="3">
        <f>IF(I31="SFK Freight Forwarder",M31,M31+N31-1)</f>
        <v>7</v>
      </c>
      <c r="P31" s="3">
        <f>+IF(I31="SFK Freight Forwarder",0,5)</f>
        <v>0</v>
      </c>
      <c r="Q31" s="3">
        <f>+IF(I31="SFK Freight Forwarder",O31,O31+P31-1)</f>
        <v>7</v>
      </c>
      <c r="R31" s="3">
        <f>9+N31</f>
        <v>23</v>
      </c>
      <c r="S31" s="3">
        <v>7</v>
      </c>
      <c r="T31" s="3">
        <f>+R31+S31-1</f>
        <v>29</v>
      </c>
      <c r="U31" s="3">
        <f>+T31+1</f>
        <v>30</v>
      </c>
      <c r="V31" s="3">
        <v>1</v>
      </c>
      <c r="W31" s="3">
        <f>+U31+V31-1</f>
        <v>30</v>
      </c>
      <c r="X31" s="3">
        <v>3</v>
      </c>
      <c r="Y31" s="3">
        <f>+ROUNDDOWN(W31/7,0)*7+X31</f>
        <v>31</v>
      </c>
      <c r="Z31" s="6">
        <f>+Y31+X31-1</f>
        <v>33</v>
      </c>
      <c r="AA31" s="6">
        <f>+Z31+AB31-1</f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>+AE31+AA31-1</f>
        <v>90</v>
      </c>
      <c r="AG31" s="6">
        <v>3</v>
      </c>
      <c r="AH31" s="6">
        <f>+AF31+AG31</f>
        <v>93</v>
      </c>
      <c r="AI31" s="3">
        <v>0</v>
      </c>
      <c r="AJ31" s="3">
        <f>+AI31+AH31</f>
        <v>93</v>
      </c>
      <c r="AK31" s="3" t="s">
        <v>61</v>
      </c>
      <c r="AL31" s="3">
        <v>1</v>
      </c>
      <c r="AM31" s="3">
        <f>+AJ31+AL31</f>
        <v>94</v>
      </c>
      <c r="AN31" s="3">
        <v>4</v>
      </c>
      <c r="AO31" s="3">
        <f>+AM31+AN31</f>
        <v>98</v>
      </c>
      <c r="AP31" s="3">
        <v>2</v>
      </c>
      <c r="AQ31" s="3">
        <f>+AO31+AP31</f>
        <v>100</v>
      </c>
      <c r="AR31" s="3">
        <f>+AQ31+7</f>
        <v>107</v>
      </c>
      <c r="AS31" s="3">
        <f>+AR31+7+AT31</f>
        <v>130</v>
      </c>
      <c r="AT31" s="3">
        <v>16</v>
      </c>
      <c r="AU31" s="3">
        <f>+AA31-R31</f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hidden="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>+IF(I32="SFK Freight Forwarder",L32,9)</f>
        <v>7</v>
      </c>
      <c r="N32" s="3">
        <v>14</v>
      </c>
      <c r="O32" s="3">
        <f>IF(I32="SFK Freight Forwarder",M32,M32+N32-1)</f>
        <v>7</v>
      </c>
      <c r="P32" s="3">
        <f>+IF(I32="SFK Freight Forwarder",0,5)</f>
        <v>0</v>
      </c>
      <c r="Q32" s="3">
        <f>+IF(I32="SFK Freight Forwarder",O32,O32+P32-1)</f>
        <v>7</v>
      </c>
      <c r="R32" s="3">
        <f>9+N32</f>
        <v>23</v>
      </c>
      <c r="S32" s="3">
        <v>7</v>
      </c>
      <c r="T32" s="3">
        <f>+R32+S32-1</f>
        <v>29</v>
      </c>
      <c r="U32" s="3">
        <f>+T32+1</f>
        <v>30</v>
      </c>
      <c r="V32" s="3">
        <v>1</v>
      </c>
      <c r="W32" s="3">
        <f>+U32+V32-1</f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>+Z32+AB32-1</f>
        <v>38</v>
      </c>
      <c r="AB32" s="3">
        <v>6</v>
      </c>
      <c r="AC32" s="3">
        <v>7</v>
      </c>
      <c r="AD32" s="3">
        <v>7</v>
      </c>
      <c r="AE32" s="3">
        <v>44</v>
      </c>
      <c r="AF32" s="3">
        <f>+AE32+AA32-1</f>
        <v>81</v>
      </c>
      <c r="AG32" s="6">
        <v>3</v>
      </c>
      <c r="AH32" s="6">
        <f>+AF32+AG32</f>
        <v>84</v>
      </c>
      <c r="AI32" s="3">
        <v>7</v>
      </c>
      <c r="AJ32" s="3">
        <f>+AI32+AH32</f>
        <v>91</v>
      </c>
      <c r="AK32" s="3" t="s">
        <v>61</v>
      </c>
      <c r="AL32" s="3">
        <v>3</v>
      </c>
      <c r="AM32" s="3">
        <f>+AJ32+AL32</f>
        <v>94</v>
      </c>
      <c r="AN32" s="3">
        <v>1</v>
      </c>
      <c r="AO32" s="3">
        <f>+AM32+AN32</f>
        <v>95</v>
      </c>
      <c r="AP32" s="3">
        <v>6</v>
      </c>
      <c r="AQ32" s="3">
        <f>+AO32+AP32</f>
        <v>101</v>
      </c>
      <c r="AR32" s="3">
        <f>+AQ32+7</f>
        <v>108</v>
      </c>
      <c r="AS32" s="3">
        <f>+AR32+7+AT32</f>
        <v>132</v>
      </c>
      <c r="AT32" s="3">
        <v>17</v>
      </c>
      <c r="AU32" s="3">
        <f>+AA32-R32</f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hidden="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>+IF(I33="SFK Freight Forwarder",L33,9)</f>
        <v>7</v>
      </c>
      <c r="N33" s="3">
        <v>14</v>
      </c>
      <c r="O33" s="3">
        <f>IF(I33="SFK Freight Forwarder",M33,M33+N33-1)</f>
        <v>7</v>
      </c>
      <c r="P33" s="3">
        <f>+IF(I33="SFK Freight Forwarder",0,5)</f>
        <v>0</v>
      </c>
      <c r="Q33" s="3">
        <f>+IF(I33="SFK Freight Forwarder",O33,O33+P33-1)</f>
        <v>7</v>
      </c>
      <c r="R33" s="3">
        <f>9+N33</f>
        <v>23</v>
      </c>
      <c r="S33" s="3">
        <v>7</v>
      </c>
      <c r="T33" s="3">
        <f>+R33+S33-1</f>
        <v>29</v>
      </c>
      <c r="U33" s="3">
        <f>+T33+1</f>
        <v>30</v>
      </c>
      <c r="V33" s="3">
        <v>1</v>
      </c>
      <c r="W33" s="3">
        <f>+U33+V33-1</f>
        <v>30</v>
      </c>
      <c r="X33" s="3">
        <v>3</v>
      </c>
      <c r="Y33" s="3">
        <f>+ROUNDDOWN(W33/7,0)*7+X33</f>
        <v>31</v>
      </c>
      <c r="Z33" s="6">
        <f>+Y33+X33-1</f>
        <v>33</v>
      </c>
      <c r="AA33" s="6">
        <f>+Z33+AB33-1</f>
        <v>35</v>
      </c>
      <c r="AB33" s="3">
        <v>3</v>
      </c>
      <c r="AC33" s="3">
        <v>5</v>
      </c>
      <c r="AD33" s="3">
        <v>5</v>
      </c>
      <c r="AE33" s="3">
        <v>78</v>
      </c>
      <c r="AF33" s="3">
        <f>+AE33+AA33-1</f>
        <v>112</v>
      </c>
      <c r="AG33" s="6">
        <v>3</v>
      </c>
      <c r="AH33" s="6">
        <f>+AF33+AG33</f>
        <v>115</v>
      </c>
      <c r="AI33" s="3">
        <v>0</v>
      </c>
      <c r="AJ33" s="3">
        <f>+AI33+AH33</f>
        <v>115</v>
      </c>
      <c r="AK33" s="3" t="s">
        <v>61</v>
      </c>
      <c r="AL33" s="3">
        <v>1</v>
      </c>
      <c r="AM33" s="3">
        <f>+AJ33+AL33</f>
        <v>116</v>
      </c>
      <c r="AN33" s="3">
        <v>1</v>
      </c>
      <c r="AO33" s="3">
        <f>+AM33+AN33</f>
        <v>117</v>
      </c>
      <c r="AP33" s="3">
        <v>4</v>
      </c>
      <c r="AQ33" s="3">
        <f>+AO33+AP33</f>
        <v>121</v>
      </c>
      <c r="AR33" s="3">
        <f>+AQ33+7</f>
        <v>128</v>
      </c>
      <c r="AS33" s="3">
        <f>+AR33+7+AT33</f>
        <v>147</v>
      </c>
      <c r="AT33" s="3">
        <v>12</v>
      </c>
      <c r="AU33" s="3">
        <f>+AA33-R33</f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hidden="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>+IF(I34="SFK Freight Forwarder",L34,9)</f>
        <v>7</v>
      </c>
      <c r="N34" s="3">
        <v>14</v>
      </c>
      <c r="O34" s="3">
        <f>IF(I34="SFK Freight Forwarder",M34,M34+N34-1)</f>
        <v>7</v>
      </c>
      <c r="P34" s="3">
        <f>+IF(I34="SFK Freight Forwarder",0,5)</f>
        <v>0</v>
      </c>
      <c r="Q34" s="3">
        <f>+IF(I34="SFK Freight Forwarder",O34,O34+P34-1)</f>
        <v>7</v>
      </c>
      <c r="R34" s="3">
        <f>9+N34</f>
        <v>23</v>
      </c>
      <c r="S34" s="3">
        <v>7</v>
      </c>
      <c r="T34" s="3">
        <f>+R34+S34-1</f>
        <v>29</v>
      </c>
      <c r="U34" s="3">
        <f>+T34+1</f>
        <v>30</v>
      </c>
      <c r="V34" s="3">
        <v>1</v>
      </c>
      <c r="W34" s="3">
        <f>+U34+V34-1</f>
        <v>30</v>
      </c>
      <c r="X34" s="3">
        <v>3</v>
      </c>
      <c r="Y34" s="3">
        <f>+ROUNDDOWN(W34/7,0)*7+X34</f>
        <v>31</v>
      </c>
      <c r="Z34" s="6">
        <f>+Y34+X34-1</f>
        <v>33</v>
      </c>
      <c r="AA34" s="6">
        <f>+Z34+AB34-1</f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>+AE34+AA34-1</f>
        <v>93</v>
      </c>
      <c r="AG34" s="6">
        <v>3</v>
      </c>
      <c r="AH34" s="6">
        <f>+AF34+AG34</f>
        <v>96</v>
      </c>
      <c r="AI34" s="3">
        <v>0</v>
      </c>
      <c r="AJ34" s="3">
        <f>+AI34+AH34</f>
        <v>96</v>
      </c>
      <c r="AK34" s="3" t="s">
        <v>61</v>
      </c>
      <c r="AL34" s="3">
        <v>2</v>
      </c>
      <c r="AM34" s="3">
        <f>+AJ34+AL34</f>
        <v>98</v>
      </c>
      <c r="AN34" s="3">
        <v>2</v>
      </c>
      <c r="AO34" s="3">
        <f>+AM34+AN34</f>
        <v>100</v>
      </c>
      <c r="AP34" s="3">
        <v>0</v>
      </c>
      <c r="AQ34" s="3">
        <f>+AO34+AP34</f>
        <v>100</v>
      </c>
      <c r="AR34" s="3">
        <f>+AQ34+7</f>
        <v>107</v>
      </c>
      <c r="AS34" s="3">
        <f>+AR34+7+AT34</f>
        <v>127</v>
      </c>
      <c r="AT34" s="3">
        <v>13</v>
      </c>
      <c r="AU34" s="3">
        <f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hidden="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>+IF(I35="SFK Freight Forwarder",L35,9)</f>
        <v>7</v>
      </c>
      <c r="N35" s="3">
        <v>14</v>
      </c>
      <c r="O35" s="3">
        <f>IF(I35="SFK Freight Forwarder",M35,M35+N35-1)</f>
        <v>7</v>
      </c>
      <c r="P35" s="3">
        <f>+IF(I35="SFK Freight Forwarder",0,5)</f>
        <v>0</v>
      </c>
      <c r="Q35" s="3">
        <f>+IF(I35="SFK Freight Forwarder",O35,O35+P35-1)</f>
        <v>7</v>
      </c>
      <c r="R35" s="3">
        <f>9+N35</f>
        <v>23</v>
      </c>
      <c r="S35" s="3">
        <v>7</v>
      </c>
      <c r="T35" s="3">
        <f>+R35+S35-1</f>
        <v>29</v>
      </c>
      <c r="U35" s="3">
        <f>+T35+1</f>
        <v>30</v>
      </c>
      <c r="V35" s="3">
        <v>1</v>
      </c>
      <c r="W35" s="3">
        <f>+U35+V35-1</f>
        <v>30</v>
      </c>
      <c r="X35" s="3">
        <v>3</v>
      </c>
      <c r="Y35" s="3">
        <f>+ROUNDDOWN(W35/7,0)*7+X35</f>
        <v>31</v>
      </c>
      <c r="Z35" s="6">
        <f>+Y35+X35-1</f>
        <v>33</v>
      </c>
      <c r="AA35" s="6">
        <f>+Z35+AB35-1</f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>+AE35+AA35-1</f>
        <v>95</v>
      </c>
      <c r="AG35" s="6">
        <v>3</v>
      </c>
      <c r="AH35" s="6">
        <f>+AF35+AG35</f>
        <v>98</v>
      </c>
      <c r="AI35" s="3">
        <v>0</v>
      </c>
      <c r="AJ35" s="3">
        <f>+AI35+AH35</f>
        <v>98</v>
      </c>
      <c r="AK35" s="3" t="s">
        <v>61</v>
      </c>
      <c r="AL35" s="3">
        <v>4</v>
      </c>
      <c r="AM35" s="3">
        <f>+AJ35+AL35</f>
        <v>102</v>
      </c>
      <c r="AN35" s="3">
        <v>2</v>
      </c>
      <c r="AO35" s="3">
        <f>+AM35+AN35</f>
        <v>104</v>
      </c>
      <c r="AP35" s="3">
        <v>3</v>
      </c>
      <c r="AQ35" s="3">
        <f>+AO35+AP35</f>
        <v>107</v>
      </c>
      <c r="AR35" s="3">
        <f>+AQ35+7</f>
        <v>114</v>
      </c>
      <c r="AS35" s="3">
        <f>+AR35+7+AT35</f>
        <v>135</v>
      </c>
      <c r="AT35" s="3">
        <v>14</v>
      </c>
      <c r="AU35" s="3">
        <f>+AA35-R35</f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hidden="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>+IF(I36="SFK Freight Forwarder",L36,9)</f>
        <v>7</v>
      </c>
      <c r="N36" s="3">
        <v>14</v>
      </c>
      <c r="O36" s="3">
        <f>IF(I36="SFK Freight Forwarder",M36,M36+N36-1)</f>
        <v>7</v>
      </c>
      <c r="P36" s="3">
        <f>+IF(I36="SFK Freight Forwarder",0,5)</f>
        <v>0</v>
      </c>
      <c r="Q36" s="3">
        <f>+IF(I36="SFK Freight Forwarder",O36,O36+P36-1)</f>
        <v>7</v>
      </c>
      <c r="R36" s="3">
        <f>9+N36</f>
        <v>23</v>
      </c>
      <c r="S36" s="3">
        <v>7</v>
      </c>
      <c r="T36" s="3">
        <f>+R36+S36-1</f>
        <v>29</v>
      </c>
      <c r="U36" s="3">
        <f>+T36+1</f>
        <v>30</v>
      </c>
      <c r="V36" s="3">
        <v>1</v>
      </c>
      <c r="W36" s="3">
        <f>+U36+V36-1</f>
        <v>30</v>
      </c>
      <c r="X36" s="3">
        <v>3</v>
      </c>
      <c r="Y36" s="3">
        <f>+ROUNDDOWN(W36/7,0)*7+X36</f>
        <v>31</v>
      </c>
      <c r="Z36" s="6">
        <f>+Y36+X36-1</f>
        <v>33</v>
      </c>
      <c r="AA36" s="6">
        <f>+Z36+AB36-1</f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>+AE36+AA36-1</f>
        <v>90</v>
      </c>
      <c r="AG36" s="6">
        <v>3</v>
      </c>
      <c r="AH36" s="6">
        <f>+AF36+AG36</f>
        <v>93</v>
      </c>
      <c r="AI36" s="3">
        <v>0</v>
      </c>
      <c r="AJ36" s="3">
        <f>+AI36+AH36</f>
        <v>93</v>
      </c>
      <c r="AK36" s="3" t="s">
        <v>61</v>
      </c>
      <c r="AL36" s="3">
        <v>2</v>
      </c>
      <c r="AM36" s="3">
        <f>+AJ36+AL36</f>
        <v>95</v>
      </c>
      <c r="AN36" s="3">
        <v>2</v>
      </c>
      <c r="AO36" s="3">
        <f>+AM36+AN36</f>
        <v>97</v>
      </c>
      <c r="AP36" s="3">
        <v>3</v>
      </c>
      <c r="AQ36" s="3">
        <f>+AO36+AP36</f>
        <v>100</v>
      </c>
      <c r="AR36" s="3">
        <f>+AQ36+7</f>
        <v>107</v>
      </c>
      <c r="AS36" s="3">
        <f>+AR36+7+AT36</f>
        <v>124</v>
      </c>
      <c r="AT36" s="3">
        <v>10</v>
      </c>
      <c r="AU36" s="3">
        <f>+AA36-R36</f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hidden="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>+IF(I37="SFK Freight Forwarder",L37,9)</f>
        <v>7</v>
      </c>
      <c r="N37" s="3">
        <v>14</v>
      </c>
      <c r="O37" s="3">
        <f>IF(I37="SFK Freight Forwarder",M37,M37+N37-1)</f>
        <v>7</v>
      </c>
      <c r="P37" s="3">
        <f>+IF(I37="SFK Freight Forwarder",0,5)</f>
        <v>0</v>
      </c>
      <c r="Q37" s="3">
        <f>+IF(I37="SFK Freight Forwarder",O37,O37+P37-1)</f>
        <v>7</v>
      </c>
      <c r="R37" s="3">
        <f>9+N37</f>
        <v>23</v>
      </c>
      <c r="S37" s="3">
        <v>7</v>
      </c>
      <c r="T37" s="3">
        <f>+R37+S37-1</f>
        <v>29</v>
      </c>
      <c r="U37" s="3">
        <f>+T37+1</f>
        <v>30</v>
      </c>
      <c r="V37" s="3">
        <v>2</v>
      </c>
      <c r="W37" s="3">
        <f>+U37+V37-1</f>
        <v>31</v>
      </c>
      <c r="X37" s="3">
        <v>5</v>
      </c>
      <c r="Y37" s="3">
        <f>+ROUNDDOWN(W37/7,0)*7+X37</f>
        <v>33</v>
      </c>
      <c r="Z37" s="6">
        <f>+Y37+X37-1</f>
        <v>37</v>
      </c>
      <c r="AA37" s="6">
        <f>+Z37+AB37-1</f>
        <v>42</v>
      </c>
      <c r="AB37" s="3">
        <v>6</v>
      </c>
      <c r="AC37" s="3">
        <v>8</v>
      </c>
      <c r="AD37" s="3">
        <v>8</v>
      </c>
      <c r="AE37" s="3">
        <v>13</v>
      </c>
      <c r="AF37" s="3">
        <f>+AE37+AA37-1</f>
        <v>54</v>
      </c>
      <c r="AG37" s="6">
        <v>3</v>
      </c>
      <c r="AH37" s="6">
        <f>+AF37+AG37</f>
        <v>57</v>
      </c>
      <c r="AI37" s="3">
        <v>7</v>
      </c>
      <c r="AJ37" s="3">
        <f>+AI37+AH37</f>
        <v>64</v>
      </c>
      <c r="AK37" s="3" t="s">
        <v>61</v>
      </c>
      <c r="AL37" s="3">
        <v>0</v>
      </c>
      <c r="AM37" s="3">
        <f>+AJ37+AL37</f>
        <v>64</v>
      </c>
      <c r="AN37" s="3">
        <v>0</v>
      </c>
      <c r="AO37" s="3">
        <f>+AM37+AN37</f>
        <v>64</v>
      </c>
      <c r="AP37" s="3">
        <v>5</v>
      </c>
      <c r="AQ37" s="3">
        <f>+AO37+AP37</f>
        <v>69</v>
      </c>
      <c r="AR37" s="3">
        <f>+AQ37+7</f>
        <v>76</v>
      </c>
      <c r="AS37" s="3">
        <f>+AR37+7+AT37</f>
        <v>83</v>
      </c>
      <c r="AT37" s="3">
        <v>0</v>
      </c>
      <c r="AU37" s="3">
        <f>+AA37-R37</f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hidden="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>+IF(I38="SFK Freight Forwarder",L38,9)</f>
        <v>7</v>
      </c>
      <c r="N38" s="3">
        <v>14</v>
      </c>
      <c r="O38" s="3">
        <f>IF(I38="SFK Freight Forwarder",M38,M38+N38-1)</f>
        <v>7</v>
      </c>
      <c r="P38" s="3">
        <f>+IF(I38="SFK Freight Forwarder",0,5)</f>
        <v>0</v>
      </c>
      <c r="Q38" s="3">
        <f>+IF(I38="SFK Freight Forwarder",O38,O38+P38-1)</f>
        <v>7</v>
      </c>
      <c r="R38" s="3">
        <f>9+N38</f>
        <v>23</v>
      </c>
      <c r="S38" s="3">
        <v>7</v>
      </c>
      <c r="T38" s="3">
        <f>+R38+S38-1</f>
        <v>29</v>
      </c>
      <c r="U38" s="3">
        <f>+T38+1</f>
        <v>30</v>
      </c>
      <c r="V38" s="3">
        <v>2</v>
      </c>
      <c r="W38" s="3">
        <f>+U38+V38-1</f>
        <v>31</v>
      </c>
      <c r="X38" s="3">
        <v>5</v>
      </c>
      <c r="Y38" s="3">
        <f>+ROUNDDOWN(W38/7,0)*7+X38</f>
        <v>33</v>
      </c>
      <c r="Z38" s="6">
        <f>+Y38+X38-1</f>
        <v>37</v>
      </c>
      <c r="AA38" s="6">
        <f>+Z38+AB38-1</f>
        <v>42</v>
      </c>
      <c r="AB38" s="3">
        <v>6</v>
      </c>
      <c r="AC38" s="3">
        <v>8</v>
      </c>
      <c r="AD38" s="3">
        <v>8</v>
      </c>
      <c r="AE38" s="3">
        <v>32</v>
      </c>
      <c r="AF38" s="3">
        <f>+AE38+AA38-1</f>
        <v>73</v>
      </c>
      <c r="AG38" s="6">
        <v>3</v>
      </c>
      <c r="AH38" s="6">
        <f>+AF38+AG38</f>
        <v>76</v>
      </c>
      <c r="AI38" s="3">
        <v>7</v>
      </c>
      <c r="AJ38" s="3">
        <f>+AI38+AH38</f>
        <v>83</v>
      </c>
      <c r="AK38" s="3" t="s">
        <v>61</v>
      </c>
      <c r="AL38" s="3">
        <v>2</v>
      </c>
      <c r="AM38" s="3">
        <f>+AJ38+AL38</f>
        <v>85</v>
      </c>
      <c r="AN38" s="3">
        <v>2</v>
      </c>
      <c r="AO38" s="3">
        <f>+AM38+AN38</f>
        <v>87</v>
      </c>
      <c r="AP38" s="3">
        <v>3</v>
      </c>
      <c r="AQ38" s="3">
        <f>+AO38+AP38</f>
        <v>90</v>
      </c>
      <c r="AR38" s="3">
        <f>+AQ38+7</f>
        <v>97</v>
      </c>
      <c r="AS38" s="3">
        <f>+AR38+7+AT38</f>
        <v>104</v>
      </c>
      <c r="AT38" s="3">
        <v>0</v>
      </c>
      <c r="AU38" s="3">
        <f>+AA38-R38</f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hidden="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>+IF(I39="SFK Freight Forwarder",L39,9)</f>
        <v>7</v>
      </c>
      <c r="N39" s="3">
        <v>14</v>
      </c>
      <c r="O39" s="3">
        <f>IF(I39="SFK Freight Forwarder",M39,M39+N39-1)</f>
        <v>7</v>
      </c>
      <c r="P39" s="3">
        <f>+IF(I39="SFK Freight Forwarder",0,5)</f>
        <v>0</v>
      </c>
      <c r="Q39" s="3">
        <f>+IF(I39="SFK Freight Forwarder",O39,O39+P39-1)</f>
        <v>7</v>
      </c>
      <c r="R39" s="3">
        <f>9+N39</f>
        <v>23</v>
      </c>
      <c r="S39" s="3">
        <v>7</v>
      </c>
      <c r="T39" s="3">
        <f>+R39+S39-1</f>
        <v>29</v>
      </c>
      <c r="U39" s="3">
        <f>+T39+1</f>
        <v>30</v>
      </c>
      <c r="V39" s="3">
        <v>1</v>
      </c>
      <c r="W39" s="3">
        <f>+U39+V39-1</f>
        <v>30</v>
      </c>
      <c r="X39" s="3">
        <v>3</v>
      </c>
      <c r="Y39" s="3">
        <f>+ROUNDDOWN(W39/7,0)*7+X39</f>
        <v>31</v>
      </c>
      <c r="Z39" s="6">
        <f>+Y39+X39-1</f>
        <v>33</v>
      </c>
      <c r="AA39" s="6">
        <f>+Z39+AB39-1</f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>+AE39+AA39-1</f>
        <v>85</v>
      </c>
      <c r="AG39" s="6">
        <v>3</v>
      </c>
      <c r="AH39" s="6">
        <f>+AF39+AG39</f>
        <v>88</v>
      </c>
      <c r="AI39" s="3">
        <v>0</v>
      </c>
      <c r="AJ39" s="3">
        <f>+AI39+AH39</f>
        <v>88</v>
      </c>
      <c r="AK39" s="3" t="s">
        <v>61</v>
      </c>
      <c r="AL39" s="3">
        <v>2</v>
      </c>
      <c r="AM39" s="3">
        <f>+AJ39+AL39</f>
        <v>90</v>
      </c>
      <c r="AN39" s="3">
        <v>3</v>
      </c>
      <c r="AO39" s="3">
        <f>+AM39+AN39</f>
        <v>93</v>
      </c>
      <c r="AP39" s="3">
        <v>0</v>
      </c>
      <c r="AQ39" s="3">
        <f>+AO39+AP39</f>
        <v>93</v>
      </c>
      <c r="AR39" s="3">
        <f>+AQ39+7</f>
        <v>100</v>
      </c>
      <c r="AS39" s="3">
        <f>+AR39+7+AT39</f>
        <v>107</v>
      </c>
      <c r="AT39" s="3">
        <v>0</v>
      </c>
      <c r="AU39" s="3">
        <f>+AA39-R39</f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hidden="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>+IF(I40="SFK Freight Forwarder",L40,9)</f>
        <v>7</v>
      </c>
      <c r="N40" s="3">
        <v>14</v>
      </c>
      <c r="O40" s="3">
        <f>IF(I40="SFK Freight Forwarder",M40,M40+N40-1)</f>
        <v>7</v>
      </c>
      <c r="P40" s="3">
        <f>+IF(I40="SFK Freight Forwarder",0,5)</f>
        <v>0</v>
      </c>
      <c r="Q40" s="3">
        <f>+IF(I40="SFK Freight Forwarder",O40,O40+P40-1)</f>
        <v>7</v>
      </c>
      <c r="R40" s="3">
        <f>9+N40</f>
        <v>23</v>
      </c>
      <c r="S40" s="3">
        <v>7</v>
      </c>
      <c r="T40" s="3">
        <f>+R40+S40-1</f>
        <v>29</v>
      </c>
      <c r="U40" s="3">
        <f>+T40+1</f>
        <v>30</v>
      </c>
      <c r="V40" s="3">
        <v>2</v>
      </c>
      <c r="W40" s="3">
        <f>+U40+V40-1</f>
        <v>31</v>
      </c>
      <c r="X40" s="3">
        <v>5</v>
      </c>
      <c r="Y40" s="3">
        <f>+ROUNDDOWN(W40/7,0)*7+X40</f>
        <v>33</v>
      </c>
      <c r="Z40" s="6">
        <f>+Y40+X40-1</f>
        <v>37</v>
      </c>
      <c r="AA40" s="6">
        <f>+Z40+AB40-1</f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>+AE40+AA40-1</f>
        <v>66</v>
      </c>
      <c r="AG40" s="6">
        <v>3</v>
      </c>
      <c r="AH40" s="6">
        <f>+AF40+AG40</f>
        <v>69</v>
      </c>
      <c r="AI40" s="3">
        <v>0</v>
      </c>
      <c r="AJ40" s="3">
        <f>+AI40+AH40</f>
        <v>69</v>
      </c>
      <c r="AK40" s="3" t="s">
        <v>61</v>
      </c>
      <c r="AL40" s="3">
        <v>2</v>
      </c>
      <c r="AM40" s="3">
        <f>+AJ40+AL40</f>
        <v>71</v>
      </c>
      <c r="AN40" s="3">
        <v>2</v>
      </c>
      <c r="AO40" s="3">
        <f>+AM40+AN40</f>
        <v>73</v>
      </c>
      <c r="AP40" s="3">
        <v>1</v>
      </c>
      <c r="AQ40" s="3">
        <f>+AO40+AP40</f>
        <v>74</v>
      </c>
      <c r="AR40" s="3">
        <f>+AQ40+7</f>
        <v>81</v>
      </c>
      <c r="AS40" s="3">
        <f>+AR40+7+AT40</f>
        <v>88</v>
      </c>
      <c r="AT40" s="3">
        <v>0</v>
      </c>
      <c r="AU40" s="3">
        <f>+AA40-R40</f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hidden="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>+IF(I41="SFK Freight Forwarder",L41,9)</f>
        <v>7</v>
      </c>
      <c r="N41" s="3">
        <v>14</v>
      </c>
      <c r="O41" s="3">
        <f>IF(I41="SFK Freight Forwarder",M41,M41+N41-1)</f>
        <v>7</v>
      </c>
      <c r="P41" s="3">
        <f>+IF(I41="SFK Freight Forwarder",0,5)</f>
        <v>0</v>
      </c>
      <c r="Q41" s="3">
        <f>+IF(I41="SFK Freight Forwarder",O41,O41+P41-1)</f>
        <v>7</v>
      </c>
      <c r="R41" s="3">
        <f>9+N41</f>
        <v>23</v>
      </c>
      <c r="S41" s="3">
        <v>7</v>
      </c>
      <c r="T41" s="3">
        <f>+R41+S41-1</f>
        <v>29</v>
      </c>
      <c r="U41" s="3">
        <f>+T41+1</f>
        <v>30</v>
      </c>
      <c r="V41" s="3">
        <v>1</v>
      </c>
      <c r="W41" s="3">
        <f>+U41+V41-1</f>
        <v>30</v>
      </c>
      <c r="X41" s="3">
        <v>3</v>
      </c>
      <c r="Y41" s="3">
        <f>+ROUNDDOWN(W41/7,0)*7+X41</f>
        <v>31</v>
      </c>
      <c r="Z41" s="6">
        <f>+Y41+X41-1</f>
        <v>33</v>
      </c>
      <c r="AA41" s="6">
        <f>+Z41+AB41-1</f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>+AE41+AA41-1</f>
        <v>95</v>
      </c>
      <c r="AG41" s="6">
        <v>3</v>
      </c>
      <c r="AH41" s="6">
        <f>+AF41+AG41</f>
        <v>98</v>
      </c>
      <c r="AI41" s="3">
        <v>7</v>
      </c>
      <c r="AJ41" s="3">
        <f>+AI41+AH41</f>
        <v>105</v>
      </c>
      <c r="AK41" s="3" t="s">
        <v>61</v>
      </c>
      <c r="AL41" s="3">
        <v>3</v>
      </c>
      <c r="AM41" s="3">
        <f>+AJ41+AL41</f>
        <v>108</v>
      </c>
      <c r="AN41" s="3">
        <v>3</v>
      </c>
      <c r="AO41" s="3">
        <f>+AM41+AN41</f>
        <v>111</v>
      </c>
      <c r="AP41" s="3">
        <v>3</v>
      </c>
      <c r="AQ41" s="3">
        <f>+AO41+AP41</f>
        <v>114</v>
      </c>
      <c r="AR41" s="3">
        <f>+AQ41+7</f>
        <v>121</v>
      </c>
      <c r="AS41" s="3">
        <f>+AR41+7+AT41</f>
        <v>136</v>
      </c>
      <c r="AT41" s="3">
        <v>8</v>
      </c>
      <c r="AU41" s="3">
        <f>+AA41-R41</f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hidden="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>+IF(I42="SFK Freight Forwarder",L42,9)</f>
        <v>9</v>
      </c>
      <c r="N42" s="3">
        <v>21</v>
      </c>
      <c r="O42" s="3">
        <f>IF(I42="SFK Freight Forwarder",M42,M42+N42-1)</f>
        <v>29</v>
      </c>
      <c r="P42" s="3">
        <f>+IF(I42="SFK Freight Forwarder",0,5)</f>
        <v>5</v>
      </c>
      <c r="Q42" s="3">
        <f>+IF(I42="SFK Freight Forwarder",O42,O42+P42-1)</f>
        <v>33</v>
      </c>
      <c r="R42" s="3">
        <f>9+N42</f>
        <v>30</v>
      </c>
      <c r="S42" s="3">
        <v>7</v>
      </c>
      <c r="T42" s="3">
        <f>+R42+S42-1</f>
        <v>36</v>
      </c>
      <c r="U42" s="3">
        <f>+T42+1</f>
        <v>37</v>
      </c>
      <c r="V42" s="3">
        <v>1</v>
      </c>
      <c r="W42" s="3">
        <f>+U42+V42-1</f>
        <v>37</v>
      </c>
      <c r="X42" s="3">
        <v>2</v>
      </c>
      <c r="Y42" s="3">
        <f>+ROUNDDOWN(W42/7,0)*7+X42</f>
        <v>37</v>
      </c>
      <c r="Z42" s="6">
        <v>42</v>
      </c>
      <c r="AA42" s="6">
        <f>+Z42+AB42-1</f>
        <v>44</v>
      </c>
      <c r="AB42" s="3">
        <v>3</v>
      </c>
      <c r="AC42" s="3">
        <v>4</v>
      </c>
      <c r="AD42" s="3">
        <v>4</v>
      </c>
      <c r="AE42" s="3">
        <v>40</v>
      </c>
      <c r="AF42" s="3">
        <f>+AE42+AA42-1</f>
        <v>83</v>
      </c>
      <c r="AG42" s="6">
        <v>3</v>
      </c>
      <c r="AH42" s="6">
        <f>+AF42+AG42</f>
        <v>86</v>
      </c>
      <c r="AI42" s="3">
        <v>0</v>
      </c>
      <c r="AJ42" s="3">
        <f>+AI42+AH42</f>
        <v>86</v>
      </c>
      <c r="AK42" s="3" t="s">
        <v>56</v>
      </c>
      <c r="AL42" s="3">
        <v>2</v>
      </c>
      <c r="AM42" s="3">
        <f>+AJ42+AL42</f>
        <v>88</v>
      </c>
      <c r="AN42" s="3">
        <v>3</v>
      </c>
      <c r="AO42" s="3">
        <f>+AM42+AN42</f>
        <v>91</v>
      </c>
      <c r="AP42" s="3">
        <v>0</v>
      </c>
      <c r="AQ42" s="3">
        <f>+AO42+AP42</f>
        <v>91</v>
      </c>
      <c r="AR42" s="3">
        <f>+AQ42+7</f>
        <v>98</v>
      </c>
      <c r="AS42" s="3">
        <f>+AR42+7+AT42</f>
        <v>105</v>
      </c>
      <c r="AT42" s="3">
        <v>0</v>
      </c>
      <c r="AU42" s="3">
        <f>+AA42-R42</f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hidden="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>+IF(I43="SFK Freight Forwarder",L43,9)</f>
        <v>7</v>
      </c>
      <c r="N43" s="3">
        <v>14</v>
      </c>
      <c r="O43" s="3">
        <f>IF(I43="SFK Freight Forwarder",M43,M43+N43-1)</f>
        <v>7</v>
      </c>
      <c r="P43" s="3">
        <f>+IF(I43="SFK Freight Forwarder",0,5)</f>
        <v>0</v>
      </c>
      <c r="Q43" s="3">
        <f>+IF(I43="SFK Freight Forwarder",O43,O43+P43-1)</f>
        <v>7</v>
      </c>
      <c r="R43" s="3">
        <f>9+N43</f>
        <v>23</v>
      </c>
      <c r="S43" s="3">
        <v>7</v>
      </c>
      <c r="T43" s="3">
        <f>+R43+S43-1</f>
        <v>29</v>
      </c>
      <c r="U43" s="3">
        <f>+T43+1</f>
        <v>30</v>
      </c>
      <c r="V43" s="3">
        <v>1</v>
      </c>
      <c r="W43" s="3">
        <f>+U43+V43-1</f>
        <v>30</v>
      </c>
      <c r="X43" s="3">
        <v>3</v>
      </c>
      <c r="Y43" s="3">
        <f>+ROUNDDOWN(W43/7,0)*7+X43</f>
        <v>31</v>
      </c>
      <c r="Z43" s="6">
        <f>+Y43+X43-1</f>
        <v>33</v>
      </c>
      <c r="AA43" s="6">
        <f>+Z43+AB43-1</f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>+AE43+AA43-1</f>
        <v>68</v>
      </c>
      <c r="AG43" s="6">
        <v>3</v>
      </c>
      <c r="AH43" s="6">
        <f>+AF43+AG43</f>
        <v>71</v>
      </c>
      <c r="AI43" s="3">
        <v>0</v>
      </c>
      <c r="AJ43" s="3">
        <f>+AI43+AH43</f>
        <v>71</v>
      </c>
      <c r="AK43" s="3" t="s">
        <v>61</v>
      </c>
      <c r="AL43" s="3">
        <v>6</v>
      </c>
      <c r="AM43" s="3">
        <f>+AJ43+AL43</f>
        <v>77</v>
      </c>
      <c r="AN43" s="3">
        <v>3</v>
      </c>
      <c r="AO43" s="3">
        <f>+AM43+AN43</f>
        <v>80</v>
      </c>
      <c r="AP43" s="3">
        <v>2</v>
      </c>
      <c r="AQ43" s="3">
        <f>+AO43+AP43</f>
        <v>82</v>
      </c>
      <c r="AR43" s="3">
        <f>+AQ43+7</f>
        <v>89</v>
      </c>
      <c r="AS43" s="3">
        <f>+AR43+7+AT43</f>
        <v>96</v>
      </c>
      <c r="AT43" s="3">
        <v>0</v>
      </c>
      <c r="AU43" s="3">
        <f>+AA43-R43</f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hidden="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>+IF(I44="SFK Freight Forwarder",L44,9)</f>
        <v>9</v>
      </c>
      <c r="N44" s="3">
        <v>21</v>
      </c>
      <c r="O44" s="3">
        <f>IF(I44="SFK Freight Forwarder",M44,M44+N44-1)</f>
        <v>29</v>
      </c>
      <c r="P44" s="3">
        <f>+IF(I44="SFK Freight Forwarder",0,5)</f>
        <v>5</v>
      </c>
      <c r="Q44" s="3">
        <f>+IF(I44="SFK Freight Forwarder",O44,O44+P44-1)</f>
        <v>33</v>
      </c>
      <c r="R44" s="3">
        <f>9+N44</f>
        <v>30</v>
      </c>
      <c r="S44" s="3">
        <v>7</v>
      </c>
      <c r="T44" s="3">
        <f>+R44+S44-1</f>
        <v>36</v>
      </c>
      <c r="U44" s="3">
        <f>+T44+1</f>
        <v>37</v>
      </c>
      <c r="V44" s="3">
        <v>1</v>
      </c>
      <c r="W44" s="3">
        <f>+U44+V44-1</f>
        <v>37</v>
      </c>
      <c r="X44" s="3">
        <v>2</v>
      </c>
      <c r="Y44" s="3">
        <f>+ROUNDDOWN(W44/7,0)*7+X44</f>
        <v>37</v>
      </c>
      <c r="Z44" s="6">
        <v>37</v>
      </c>
      <c r="AA44" s="6">
        <f>+Z44+AB44-1</f>
        <v>39</v>
      </c>
      <c r="AB44" s="3">
        <v>3</v>
      </c>
      <c r="AC44" s="3">
        <v>5</v>
      </c>
      <c r="AD44" s="3">
        <v>5</v>
      </c>
      <c r="AE44" s="3">
        <v>46</v>
      </c>
      <c r="AF44" s="3">
        <f>+AE44+AA44-1</f>
        <v>84</v>
      </c>
      <c r="AG44" s="6">
        <v>3</v>
      </c>
      <c r="AH44" s="6">
        <f>+AF44+AG44</f>
        <v>87</v>
      </c>
      <c r="AI44" s="3">
        <v>7</v>
      </c>
      <c r="AJ44" s="3">
        <f>+AI44+AH44</f>
        <v>94</v>
      </c>
      <c r="AK44" s="3" t="s">
        <v>56</v>
      </c>
      <c r="AL44" s="3">
        <v>4</v>
      </c>
      <c r="AM44" s="3">
        <f>+AJ44+AL44</f>
        <v>98</v>
      </c>
      <c r="AN44" s="3">
        <v>3</v>
      </c>
      <c r="AO44" s="3">
        <f>+AM44+AN44</f>
        <v>101</v>
      </c>
      <c r="AP44" s="3">
        <v>4</v>
      </c>
      <c r="AQ44" s="3">
        <f>+AO44+AP44</f>
        <v>105</v>
      </c>
      <c r="AR44" s="3">
        <f>+AQ44+7</f>
        <v>112</v>
      </c>
      <c r="AS44" s="3">
        <f>+AR44+7+AT44</f>
        <v>119</v>
      </c>
      <c r="AT44" s="3">
        <v>0</v>
      </c>
      <c r="AU44" s="3">
        <f>+AA44-R44</f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hidden="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>+IF(I45="SFK Freight Forwarder",L45,9)</f>
        <v>9</v>
      </c>
      <c r="N45" s="3">
        <v>14</v>
      </c>
      <c r="O45" s="3">
        <f>IF(I45="SFK Freight Forwarder",M45,M45+N45-1)</f>
        <v>22</v>
      </c>
      <c r="P45" s="3">
        <f>+IF(I45="SFK Freight Forwarder",0,5)</f>
        <v>5</v>
      </c>
      <c r="Q45" s="3">
        <f>+IF(I45="SFK Freight Forwarder",O45,O45+P45-1)</f>
        <v>26</v>
      </c>
      <c r="R45" s="3">
        <f>9+N45</f>
        <v>23</v>
      </c>
      <c r="S45" s="3">
        <v>7</v>
      </c>
      <c r="T45" s="3">
        <f>+R45+S45-1</f>
        <v>29</v>
      </c>
      <c r="U45" s="3">
        <f>+T45+1</f>
        <v>30</v>
      </c>
      <c r="V45" s="3">
        <v>2</v>
      </c>
      <c r="W45" s="3">
        <f>+U45+V45-1</f>
        <v>31</v>
      </c>
      <c r="X45" s="3">
        <v>8</v>
      </c>
      <c r="Y45" s="3">
        <f>+ROUNDDOWN(W45/7,0)*7+X45</f>
        <v>36</v>
      </c>
      <c r="Z45" s="6">
        <v>39</v>
      </c>
      <c r="AA45" s="6">
        <f>+Z45+AB45-1</f>
        <v>41</v>
      </c>
      <c r="AB45" s="3">
        <v>3</v>
      </c>
      <c r="AC45" s="3">
        <v>5</v>
      </c>
      <c r="AD45" s="3">
        <v>5</v>
      </c>
      <c r="AE45" s="3">
        <v>35</v>
      </c>
      <c r="AF45" s="3">
        <f>+AE45+AA45-1</f>
        <v>75</v>
      </c>
      <c r="AG45" s="6">
        <v>3</v>
      </c>
      <c r="AH45" s="6">
        <f>+AF45+AG45</f>
        <v>78</v>
      </c>
      <c r="AI45" s="3">
        <v>0</v>
      </c>
      <c r="AJ45" s="3">
        <f>+AI45+AH45</f>
        <v>78</v>
      </c>
      <c r="AK45" s="3" t="s">
        <v>66</v>
      </c>
      <c r="AL45" s="3">
        <v>2</v>
      </c>
      <c r="AM45" s="3">
        <f>+AJ45+AL45</f>
        <v>80</v>
      </c>
      <c r="AN45" s="3">
        <v>2</v>
      </c>
      <c r="AO45" s="3">
        <f>+AM45+AN45</f>
        <v>82</v>
      </c>
      <c r="AP45" s="3">
        <v>2</v>
      </c>
      <c r="AQ45" s="3">
        <f>+AO45+AP45</f>
        <v>84</v>
      </c>
      <c r="AR45" s="3">
        <f>+AQ45+7</f>
        <v>91</v>
      </c>
      <c r="AS45" s="3">
        <f>+AR45+7+AT45</f>
        <v>98</v>
      </c>
      <c r="AT45" s="3">
        <v>0</v>
      </c>
      <c r="AU45" s="3">
        <f>+AA45-R45</f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x14ac:dyDescent="0.25">
      <c r="A46" s="5" t="s">
        <v>139</v>
      </c>
      <c r="B46" s="38" t="s">
        <v>136</v>
      </c>
      <c r="C46" s="39" t="s">
        <v>69</v>
      </c>
      <c r="D46" s="38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f>+IF(I46="SFK Freight Forwarder",L46,9)</f>
        <v>9</v>
      </c>
      <c r="N46" s="23">
        <v>2</v>
      </c>
      <c r="O46" s="3">
        <f>IF(I46="SFK Freight Forwarder",M46,M46+N46-1)</f>
        <v>10</v>
      </c>
      <c r="P46" s="3">
        <v>5</v>
      </c>
      <c r="Q46" s="3">
        <f>+IF(I46="SFK Freight Forwarder",O46,O46+P46-1)</f>
        <v>14</v>
      </c>
      <c r="R46" s="23">
        <v>9</v>
      </c>
      <c r="S46" s="23">
        <v>13</v>
      </c>
      <c r="T46" s="23">
        <f>+R46+S46-1</f>
        <v>21</v>
      </c>
      <c r="U46" s="23">
        <f>+T46+1</f>
        <v>22</v>
      </c>
      <c r="V46" s="23">
        <v>7</v>
      </c>
      <c r="W46" s="23">
        <f>+U46+V46-1</f>
        <v>28</v>
      </c>
      <c r="X46" s="23">
        <v>1</v>
      </c>
      <c r="Y46" s="3">
        <f>+ROUNDDOWN(W46/7,0)*7+X46</f>
        <v>29</v>
      </c>
      <c r="Z46" s="6">
        <f>+Y46+X46-1</f>
        <v>29</v>
      </c>
      <c r="AA46" s="6">
        <f>+Z46+AB46-1</f>
        <v>32</v>
      </c>
      <c r="AB46" s="23">
        <v>4</v>
      </c>
      <c r="AC46" s="23"/>
      <c r="AD46" s="23"/>
      <c r="AE46" s="33">
        <v>40</v>
      </c>
      <c r="AF46" s="23">
        <f>+AE46+AA46-1</f>
        <v>71</v>
      </c>
      <c r="AG46" s="23">
        <v>3</v>
      </c>
      <c r="AH46" s="23">
        <f>+AF46+AG46</f>
        <v>74</v>
      </c>
      <c r="AI46" s="23">
        <v>7</v>
      </c>
      <c r="AJ46" s="23">
        <f>+AI46+AH46</f>
        <v>81</v>
      </c>
      <c r="AK46" s="23"/>
      <c r="AL46" s="23">
        <v>3</v>
      </c>
      <c r="AM46" s="23">
        <f>+AJ46+AL46</f>
        <v>84</v>
      </c>
      <c r="AN46" s="23">
        <v>2</v>
      </c>
      <c r="AO46" s="23">
        <f>+AM46+AN46</f>
        <v>86</v>
      </c>
      <c r="AP46" s="23">
        <v>2</v>
      </c>
      <c r="AQ46" s="23">
        <f>+AO46+AP46</f>
        <v>88</v>
      </c>
      <c r="AR46" s="23">
        <f>+AQ46+7</f>
        <v>95</v>
      </c>
      <c r="AS46" s="23">
        <f>+AR46+7+AT46</f>
        <v>116</v>
      </c>
      <c r="AT46" s="23">
        <v>14</v>
      </c>
      <c r="AU46" s="3">
        <f>+AA46-R46</f>
        <v>23</v>
      </c>
      <c r="AV46" s="23" t="s">
        <v>134</v>
      </c>
      <c r="AW46" s="23" t="s">
        <v>132</v>
      </c>
      <c r="AX46" s="20" t="s">
        <v>57</v>
      </c>
      <c r="AY46" s="37">
        <v>46143</v>
      </c>
    </row>
    <row r="47" spans="1:5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>+IF(I47="SFK Freight Forwarder",L47,9)</f>
        <v>9</v>
      </c>
      <c r="N47" s="23">
        <v>2</v>
      </c>
      <c r="O47" s="3">
        <f>IF(I47="SFK Freight Forwarder",M47,M47+N47-1)</f>
        <v>10</v>
      </c>
      <c r="P47" s="3">
        <v>5</v>
      </c>
      <c r="Q47" s="3">
        <f>+IF(I47="SFK Freight Forwarder",O47,O47+P47-1)</f>
        <v>14</v>
      </c>
      <c r="R47" s="23">
        <v>9</v>
      </c>
      <c r="S47" s="23">
        <v>13</v>
      </c>
      <c r="T47" s="25">
        <f>+R47+S47-1</f>
        <v>21</v>
      </c>
      <c r="U47" s="23">
        <v>16</v>
      </c>
      <c r="V47" s="23">
        <v>7</v>
      </c>
      <c r="W47" s="23">
        <f>+U47+V47-1</f>
        <v>22</v>
      </c>
      <c r="X47" s="23">
        <v>1</v>
      </c>
      <c r="Y47" s="3">
        <f>+ROUNDDOWN(W47/7,0)*7+X47</f>
        <v>22</v>
      </c>
      <c r="Z47" s="6">
        <f>+Y47+X47-1</f>
        <v>22</v>
      </c>
      <c r="AA47" s="6">
        <f>+Z47+AB47-1</f>
        <v>25</v>
      </c>
      <c r="AB47" s="23">
        <v>4</v>
      </c>
      <c r="AC47" s="23"/>
      <c r="AD47" s="23"/>
      <c r="AE47" s="23">
        <v>39</v>
      </c>
      <c r="AF47" s="23">
        <f>+AE47+AA47-1</f>
        <v>63</v>
      </c>
      <c r="AG47" s="23">
        <v>3</v>
      </c>
      <c r="AH47" s="23">
        <f>+AF47+AG47</f>
        <v>66</v>
      </c>
      <c r="AI47" s="23">
        <v>7</v>
      </c>
      <c r="AJ47" s="23">
        <f>+AI47+AH47</f>
        <v>73</v>
      </c>
      <c r="AK47" s="23"/>
      <c r="AL47" s="23">
        <v>3</v>
      </c>
      <c r="AM47" s="23">
        <f>+AJ47+AL47</f>
        <v>76</v>
      </c>
      <c r="AN47" s="23">
        <v>2</v>
      </c>
      <c r="AO47" s="23">
        <f>+AM47+AN47</f>
        <v>78</v>
      </c>
      <c r="AP47" s="23">
        <v>2</v>
      </c>
      <c r="AQ47" s="23">
        <f>+AO47+AP47</f>
        <v>80</v>
      </c>
      <c r="AR47" s="23">
        <f>+AQ47+7</f>
        <v>87</v>
      </c>
      <c r="AS47" s="23">
        <f>+AR47+7+AT47</f>
        <v>108</v>
      </c>
      <c r="AT47" s="23">
        <v>14</v>
      </c>
      <c r="AU47" s="3">
        <f>+AA47-R47</f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>+IF(I48="SFK Freight Forwarder",L48,9)</f>
        <v>9</v>
      </c>
      <c r="N48" s="3">
        <v>14</v>
      </c>
      <c r="O48" s="3">
        <f>IF(I48="SFK Freight Forwarder",M48,M48+N48-1)</f>
        <v>22</v>
      </c>
      <c r="P48" s="3">
        <f>+IF(I48="SFK Freight Forwarder",0,5)</f>
        <v>5</v>
      </c>
      <c r="Q48" s="3">
        <f>+IF(I48="SFK Freight Forwarder",O48,O48+P48-1)</f>
        <v>26</v>
      </c>
      <c r="R48" s="3">
        <f>9+N48</f>
        <v>23</v>
      </c>
      <c r="S48" s="3">
        <v>7</v>
      </c>
      <c r="T48" s="3">
        <f>+R48+S48-1</f>
        <v>29</v>
      </c>
      <c r="U48" s="3">
        <f>+T48+1</f>
        <v>30</v>
      </c>
      <c r="V48" s="3">
        <v>2</v>
      </c>
      <c r="W48" s="3">
        <f>+U48+V48-1</f>
        <v>31</v>
      </c>
      <c r="X48" s="3">
        <v>3</v>
      </c>
      <c r="Y48" s="3">
        <f>+ROUNDDOWN(W48/7,0)*7+X48</f>
        <v>31</v>
      </c>
      <c r="Z48" s="6">
        <f>+Y48+X48-1</f>
        <v>33</v>
      </c>
      <c r="AA48" s="6">
        <f>+Z48+AB48-1</f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>+AE48+AA48-1</f>
        <v>73</v>
      </c>
      <c r="AG48" s="6">
        <v>3</v>
      </c>
      <c r="AH48" s="6">
        <f>+AF48+AG48</f>
        <v>76</v>
      </c>
      <c r="AI48" s="3">
        <v>0</v>
      </c>
      <c r="AJ48" s="3">
        <f>+AI48+AH48</f>
        <v>76</v>
      </c>
      <c r="AK48" s="3" t="s">
        <v>61</v>
      </c>
      <c r="AL48" s="3">
        <v>2</v>
      </c>
      <c r="AM48" s="3">
        <f>+AJ48+AL48</f>
        <v>78</v>
      </c>
      <c r="AN48" s="3">
        <v>2</v>
      </c>
      <c r="AO48" s="3">
        <f>+AM48+AN48</f>
        <v>80</v>
      </c>
      <c r="AP48" s="3">
        <v>6</v>
      </c>
      <c r="AQ48" s="3">
        <f>+AO48+AP48</f>
        <v>86</v>
      </c>
      <c r="AR48" s="3">
        <f>+AQ48+7</f>
        <v>93</v>
      </c>
      <c r="AS48" s="3">
        <f>+AR48+7+AT48</f>
        <v>100</v>
      </c>
      <c r="AT48" s="3">
        <v>0</v>
      </c>
      <c r="AU48" s="3">
        <f>+AA48-R48</f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>+IF(I49="SFK Freight Forwarder",L49,9)</f>
        <v>9</v>
      </c>
      <c r="N49" s="3">
        <v>14</v>
      </c>
      <c r="O49" s="3">
        <f>IF(I49="SFK Freight Forwarder",M49,M49+N49-1)</f>
        <v>22</v>
      </c>
      <c r="P49" s="3">
        <f>+IF(I49="SFK Freight Forwarder",0,5)</f>
        <v>5</v>
      </c>
      <c r="Q49" s="3">
        <f>+IF(I49="SFK Freight Forwarder",O49,O49+P49-1)</f>
        <v>26</v>
      </c>
      <c r="R49" s="3">
        <f>9+N49</f>
        <v>23</v>
      </c>
      <c r="S49" s="3">
        <v>7</v>
      </c>
      <c r="T49" s="3">
        <f>+R49+S49-1</f>
        <v>29</v>
      </c>
      <c r="U49" s="3">
        <f>+T49+1</f>
        <v>30</v>
      </c>
      <c r="V49" s="3">
        <v>2</v>
      </c>
      <c r="W49" s="3">
        <f>+U49+V49-1</f>
        <v>31</v>
      </c>
      <c r="X49" s="3">
        <v>2</v>
      </c>
      <c r="Y49" s="3">
        <f>+ROUNDDOWN(W49/7,0)*7+X49</f>
        <v>30</v>
      </c>
      <c r="Z49" s="6">
        <f>+Y49+X49-1</f>
        <v>31</v>
      </c>
      <c r="AA49" s="6">
        <f>+Z49+AB49-1</f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>+AE49+AA49-1</f>
        <v>88</v>
      </c>
      <c r="AG49" s="6">
        <v>3</v>
      </c>
      <c r="AH49" s="6">
        <f>+AF49+AG49</f>
        <v>91</v>
      </c>
      <c r="AI49" s="3">
        <v>0</v>
      </c>
      <c r="AJ49" s="3">
        <f>+AI49+AH49</f>
        <v>91</v>
      </c>
      <c r="AK49" s="3" t="s">
        <v>61</v>
      </c>
      <c r="AL49" s="3">
        <v>2</v>
      </c>
      <c r="AM49" s="3">
        <f>+AJ49+AL49</f>
        <v>93</v>
      </c>
      <c r="AN49" s="3">
        <v>7</v>
      </c>
      <c r="AO49" s="3">
        <f>+AM49+AN49</f>
        <v>100</v>
      </c>
      <c r="AP49" s="3">
        <v>5</v>
      </c>
      <c r="AQ49" s="3">
        <f>+AO49+AP49</f>
        <v>105</v>
      </c>
      <c r="AR49" s="3">
        <f>+AQ49+7</f>
        <v>112</v>
      </c>
      <c r="AS49" s="3">
        <f>+AR49+7+AT49</f>
        <v>119</v>
      </c>
      <c r="AT49" s="3">
        <v>0</v>
      </c>
      <c r="AU49" s="3">
        <f>+AA49-R49</f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86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>+IF(I50="SFK Freight Forwarder",L50,9)</f>
        <v>9</v>
      </c>
      <c r="N50" s="3">
        <v>14</v>
      </c>
      <c r="O50" s="3">
        <f>IF(I50="SFK Freight Forwarder",M50,M50+N50-1)</f>
        <v>22</v>
      </c>
      <c r="P50" s="3">
        <f>+IF(I50="SFK Freight Forwarder",0,5)</f>
        <v>5</v>
      </c>
      <c r="Q50" s="3">
        <f>+IF(I50="SFK Freight Forwarder",O50,O50+P50-1)</f>
        <v>26</v>
      </c>
      <c r="R50" s="3">
        <f>9+N50</f>
        <v>23</v>
      </c>
      <c r="S50" s="3">
        <v>7</v>
      </c>
      <c r="T50" s="3">
        <f>+R50+S50-1</f>
        <v>29</v>
      </c>
      <c r="U50" s="3">
        <f>+T50+1</f>
        <v>30</v>
      </c>
      <c r="V50" s="3">
        <v>2</v>
      </c>
      <c r="W50" s="3">
        <f>+U50+V50-1</f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>+Z50+AB50-1</f>
        <v>36</v>
      </c>
      <c r="AB50" s="3">
        <v>6</v>
      </c>
      <c r="AC50" s="3">
        <v>7</v>
      </c>
      <c r="AD50" s="3">
        <v>7</v>
      </c>
      <c r="AE50" s="3">
        <v>42</v>
      </c>
      <c r="AF50" s="3">
        <f>+AE50+AA50-1</f>
        <v>77</v>
      </c>
      <c r="AG50" s="6">
        <v>3</v>
      </c>
      <c r="AH50" s="6">
        <f>+AF50+AG50</f>
        <v>80</v>
      </c>
      <c r="AI50" s="3">
        <v>0</v>
      </c>
      <c r="AJ50" s="3">
        <f>+AI50+AH50</f>
        <v>80</v>
      </c>
      <c r="AK50" s="3" t="s">
        <v>61</v>
      </c>
      <c r="AL50" s="3">
        <v>1</v>
      </c>
      <c r="AM50" s="3">
        <f>+AJ50+AL50</f>
        <v>81</v>
      </c>
      <c r="AN50" s="3">
        <v>1</v>
      </c>
      <c r="AO50" s="3">
        <f>+AM50+AN50</f>
        <v>82</v>
      </c>
      <c r="AP50" s="3">
        <v>3</v>
      </c>
      <c r="AQ50" s="3">
        <f>+AO50+AP50</f>
        <v>85</v>
      </c>
      <c r="AR50" s="3">
        <f>+AQ50+7</f>
        <v>92</v>
      </c>
      <c r="AS50" s="3">
        <f>+AR50+7+AT50</f>
        <v>99</v>
      </c>
      <c r="AT50" s="3">
        <v>0</v>
      </c>
      <c r="AU50" s="3">
        <f>+AA50-R50</f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>+IF(I51="SFK Freight Forwarder",L51,9)</f>
        <v>9</v>
      </c>
      <c r="N51" s="3">
        <v>14</v>
      </c>
      <c r="O51" s="3">
        <f>IF(I51="SFK Freight Forwarder",M51,M51+N51-1)</f>
        <v>22</v>
      </c>
      <c r="P51" s="3">
        <f>+IF(I51="SFK Freight Forwarder",0,5)</f>
        <v>5</v>
      </c>
      <c r="Q51" s="3">
        <f>+IF(I51="SFK Freight Forwarder",O51,O51+P51-1)</f>
        <v>26</v>
      </c>
      <c r="R51" s="3">
        <f>9+N51</f>
        <v>23</v>
      </c>
      <c r="S51" s="3">
        <v>7</v>
      </c>
      <c r="T51" s="3">
        <f>+R51+S51-1</f>
        <v>29</v>
      </c>
      <c r="U51" s="3">
        <f>+T51+1</f>
        <v>30</v>
      </c>
      <c r="V51" s="3">
        <v>2</v>
      </c>
      <c r="W51" s="3">
        <f>+U51+V51-1</f>
        <v>31</v>
      </c>
      <c r="X51" s="3">
        <v>2</v>
      </c>
      <c r="Y51" s="3">
        <f>+ROUNDDOWN(W51/7,0)*7+X51</f>
        <v>30</v>
      </c>
      <c r="Z51" s="6">
        <f>+Y51+X51-1</f>
        <v>31</v>
      </c>
      <c r="AA51" s="6">
        <f>+Z51+AB51-1</f>
        <v>34</v>
      </c>
      <c r="AB51" s="3">
        <v>4</v>
      </c>
      <c r="AC51" s="3">
        <v>5</v>
      </c>
      <c r="AD51" s="3">
        <v>5</v>
      </c>
      <c r="AE51" s="3">
        <v>48</v>
      </c>
      <c r="AF51" s="3">
        <f>+AE51+AA51-1</f>
        <v>81</v>
      </c>
      <c r="AG51" s="6">
        <v>0</v>
      </c>
      <c r="AH51" s="6">
        <f>+AF51+AG51</f>
        <v>81</v>
      </c>
      <c r="AI51" s="3">
        <v>0</v>
      </c>
      <c r="AJ51" s="3">
        <f>+AI51+AH51</f>
        <v>81</v>
      </c>
      <c r="AK51" s="3" t="s">
        <v>61</v>
      </c>
      <c r="AL51" s="3">
        <v>3</v>
      </c>
      <c r="AM51" s="3">
        <f>+AJ51+AL51</f>
        <v>84</v>
      </c>
      <c r="AN51" s="3">
        <v>8</v>
      </c>
      <c r="AO51" s="3">
        <f>+AM51+AN51</f>
        <v>92</v>
      </c>
      <c r="AP51" s="3">
        <v>0</v>
      </c>
      <c r="AQ51" s="3">
        <f>+AO51+AP51</f>
        <v>92</v>
      </c>
      <c r="AR51" s="3">
        <f>+AQ51+7</f>
        <v>99</v>
      </c>
      <c r="AS51" s="3">
        <f>+AR51+7+AT51</f>
        <v>106</v>
      </c>
      <c r="AT51" s="3">
        <v>0</v>
      </c>
      <c r="AU51" s="3">
        <f>+AA51-R51</f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>+IF(I52="SFK Freight Forwarder",L52,9)</f>
        <v>9</v>
      </c>
      <c r="N52" s="3">
        <v>14</v>
      </c>
      <c r="O52" s="3">
        <f>IF(I52="SFK Freight Forwarder",M52,M52+N52-1)</f>
        <v>22</v>
      </c>
      <c r="P52" s="3">
        <f>+IF(I52="SFK Freight Forwarder",0,5)</f>
        <v>5</v>
      </c>
      <c r="Q52" s="3">
        <f>+IF(I52="SFK Freight Forwarder",O52,O52+P52-1)</f>
        <v>26</v>
      </c>
      <c r="R52" s="3">
        <f>9+N52</f>
        <v>23</v>
      </c>
      <c r="S52" s="3">
        <v>7</v>
      </c>
      <c r="T52" s="3">
        <f>+R52+S52-1</f>
        <v>29</v>
      </c>
      <c r="U52" s="3">
        <f>+T52+1</f>
        <v>30</v>
      </c>
      <c r="V52" s="3">
        <v>2</v>
      </c>
      <c r="W52" s="3">
        <f>+U52+V52-1</f>
        <v>31</v>
      </c>
      <c r="X52" s="3">
        <v>3</v>
      </c>
      <c r="Y52" s="3">
        <f>+ROUNDDOWN(W52/7,0)*7+X52</f>
        <v>31</v>
      </c>
      <c r="Z52" s="6">
        <f>+Y52+X52-1</f>
        <v>33</v>
      </c>
      <c r="AA52" s="6">
        <f>+Z52+AB52-1</f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>+AE52+AA52-1</f>
        <v>83</v>
      </c>
      <c r="AG52" s="6">
        <v>3</v>
      </c>
      <c r="AH52" s="6">
        <f>+AF52+AG52</f>
        <v>86</v>
      </c>
      <c r="AI52" s="3">
        <v>0</v>
      </c>
      <c r="AJ52" s="3">
        <f>+AI52+AH52</f>
        <v>86</v>
      </c>
      <c r="AK52" s="3" t="s">
        <v>61</v>
      </c>
      <c r="AL52" s="3">
        <v>4</v>
      </c>
      <c r="AM52" s="3">
        <f>+AJ52+AL52</f>
        <v>90</v>
      </c>
      <c r="AN52" s="3">
        <v>2</v>
      </c>
      <c r="AO52" s="3">
        <f>+AM52+AN52</f>
        <v>92</v>
      </c>
      <c r="AP52" s="3">
        <v>1</v>
      </c>
      <c r="AQ52" s="3">
        <f>+AO52+AP52</f>
        <v>93</v>
      </c>
      <c r="AR52" s="3">
        <f>+AQ52+7</f>
        <v>100</v>
      </c>
      <c r="AS52" s="3">
        <f>+AR52+7+AT52</f>
        <v>107</v>
      </c>
      <c r="AT52" s="3">
        <v>0</v>
      </c>
      <c r="AU52" s="3">
        <f>+AA52-R52</f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>+IF(I53="SFK Freight Forwarder",L53,9)</f>
        <v>9</v>
      </c>
      <c r="N53" s="3">
        <v>7</v>
      </c>
      <c r="O53" s="3">
        <f>IF(I53="SFK Freight Forwarder",M53,M53+N53-1)</f>
        <v>15</v>
      </c>
      <c r="P53" s="3">
        <f>+IF(I53="SFK Freight Forwarder",0,5)</f>
        <v>5</v>
      </c>
      <c r="Q53" s="3">
        <f>+IF(I53="SFK Freight Forwarder",O53,O53+P53-1)</f>
        <v>19</v>
      </c>
      <c r="R53" s="3">
        <f>9+N53</f>
        <v>16</v>
      </c>
      <c r="S53" s="3">
        <v>3</v>
      </c>
      <c r="T53" s="3">
        <f>+R53+S53-1</f>
        <v>18</v>
      </c>
      <c r="U53" s="3">
        <f>+T53+1</f>
        <v>19</v>
      </c>
      <c r="V53" s="3">
        <v>5</v>
      </c>
      <c r="W53" s="3">
        <f>+U53+V53-1</f>
        <v>23</v>
      </c>
      <c r="X53" s="3">
        <v>2</v>
      </c>
      <c r="Y53" s="3">
        <f>+ROUNDDOWN(W53/7,0)*7+X53</f>
        <v>23</v>
      </c>
      <c r="Z53" s="6">
        <f>+Y53+X53-1</f>
        <v>24</v>
      </c>
      <c r="AA53" s="6">
        <f>+Z53+AB53-1</f>
        <v>26</v>
      </c>
      <c r="AB53" s="3">
        <v>3</v>
      </c>
      <c r="AC53" s="3">
        <v>5</v>
      </c>
      <c r="AD53" s="3">
        <v>5</v>
      </c>
      <c r="AE53" s="3">
        <v>34</v>
      </c>
      <c r="AF53" s="3">
        <f>+AE53+AA53-1</f>
        <v>59</v>
      </c>
      <c r="AG53" s="6">
        <v>3</v>
      </c>
      <c r="AH53" s="6">
        <f>+AF53+AG53</f>
        <v>62</v>
      </c>
      <c r="AI53" s="3">
        <v>7</v>
      </c>
      <c r="AJ53" s="3">
        <f>+AI53+AH53</f>
        <v>69</v>
      </c>
      <c r="AK53" s="3">
        <v>0</v>
      </c>
      <c r="AL53" s="3">
        <v>6</v>
      </c>
      <c r="AM53" s="3">
        <f>+AJ53+AL53</f>
        <v>75</v>
      </c>
      <c r="AN53" s="3">
        <v>2</v>
      </c>
      <c r="AO53" s="3">
        <f>+AM53+AN53</f>
        <v>77</v>
      </c>
      <c r="AP53" s="3">
        <v>0</v>
      </c>
      <c r="AQ53" s="3">
        <f>+AO53+AP53</f>
        <v>77</v>
      </c>
      <c r="AR53" s="3">
        <f>+AQ53+7</f>
        <v>84</v>
      </c>
      <c r="AS53" s="3">
        <f>+AR53+7+AT53</f>
        <v>91</v>
      </c>
      <c r="AT53" s="3">
        <v>0</v>
      </c>
      <c r="AU53" s="3">
        <f>+AA53-R53</f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</sheetData>
  <sheetProtection formatCells="0" formatColumns="0" formatRows="0" sort="0" autoFilter="0"/>
  <autoFilter ref="A1:AY53" xr:uid="{869D9611-F0E3-4A7A-9239-9C1FA0F0C8DA}">
    <filterColumn colId="47">
      <filters>
        <filter val="Direct"/>
      </filters>
    </filterColumn>
    <sortState xmlns:xlrd2="http://schemas.microsoft.com/office/spreadsheetml/2017/richdata2" ref="A7:AY43">
      <sortCondition ref="A1:A53"/>
    </sortState>
  </autoFilter>
  <phoneticPr fontId="8" type="noConversion"/>
  <dataValidations count="3">
    <dataValidation type="list" allowBlank="1" showInputMessage="1" showErrorMessage="1" sqref="K16:K1048196 C16:E1048196 K2:K12 C2:E12" xr:uid="{833F6030-824F-4AAE-BA3C-131D886541AF}">
      <formula1>shippername</formula1>
    </dataValidation>
    <dataValidation type="list" allowBlank="1" showInputMessage="1" showErrorMessage="1" sqref="H54:K1048196 C2:E1048196 K2:K53 J12:J53 I2:I53 J3:J1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B6" sqref="B6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2026-04-20T09:04:52Z</dcterms:modified>
</cp:coreProperties>
</file>