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61087A30-B407-45A1-A38A-714E690EB8D1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3" i="1" l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1" i="1"/>
  <c r="O41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46" i="1"/>
  <c r="O46" i="1" s="1"/>
  <c r="Q46" i="1" s="1"/>
  <c r="M6" i="1"/>
  <c r="O6" i="1" s="1"/>
  <c r="W46" i="1"/>
  <c r="Y46" i="1" s="1"/>
  <c r="Z46" i="1" s="1"/>
  <c r="T46" i="1"/>
  <c r="AU53" i="1" l="1"/>
  <c r="AF53" i="1"/>
  <c r="AH53" i="1" s="1"/>
  <c r="AJ53" i="1" s="1"/>
  <c r="AM53" i="1" s="1"/>
  <c r="AO53" i="1" s="1"/>
  <c r="AQ53" i="1" s="1"/>
  <c r="AR53" i="1" s="1"/>
  <c r="AS53" i="1" s="1"/>
  <c r="AA46" i="1"/>
  <c r="AU46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F46" i="1"/>
  <c r="AH46" i="1" s="1"/>
  <c r="AJ46" i="1" s="1"/>
  <c r="AM46" i="1" s="1"/>
  <c r="AO46" i="1" s="1"/>
  <c r="AQ46" i="1" s="1"/>
  <c r="AR46" i="1" s="1"/>
  <c r="AS46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Z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1" i="1"/>
  <c r="T41" i="1" s="1"/>
  <c r="U41" i="1" s="1"/>
  <c r="W41" i="1" s="1"/>
  <c r="R48" i="1"/>
  <c r="T48" i="1" s="1"/>
  <c r="U48" i="1" s="1"/>
  <c r="W48" i="1" s="1"/>
  <c r="Y48" i="1" s="1"/>
  <c r="Z48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1" i="1"/>
  <c r="Q41" i="1" s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48" i="1"/>
  <c r="AA32" i="1"/>
  <c r="AA26" i="1"/>
  <c r="AA19" i="1"/>
  <c r="AA10" i="1"/>
  <c r="AA36" i="1"/>
  <c r="AA35" i="1"/>
  <c r="AA34" i="1"/>
  <c r="AA43" i="1"/>
  <c r="AA41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U41" i="1"/>
  <c r="AF41" i="1"/>
  <c r="AH41" i="1" s="1"/>
  <c r="AJ41" i="1" s="1"/>
  <c r="AM41" i="1" s="1"/>
  <c r="AO41" i="1" s="1"/>
  <c r="AQ41" i="1" s="1"/>
  <c r="AR41" i="1" s="1"/>
  <c r="AS41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<sst xmlns="http://schemas.openxmlformats.org/spreadsheetml/2006/main" count="638" uniqueCount="172">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</sst>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53"/>
  <sheetViews>
    <sheetView tabSelected="1" zoomScale="175" zoomScaleNormal="175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G9" sqref="G9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142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161</v>
      </c>
    </row>
    <row r="2" spans="1:58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149</v>
      </c>
      <c r="H2" s="2">
        <v>92000100</v>
      </c>
      <c r="I2" s="4" t="s">
        <v>150</v>
      </c>
      <c r="J2" s="2">
        <v>92000100</v>
      </c>
      <c r="K2" s="4" t="s">
        <v>150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4" si="4">9+N2</f>
        <v>16</v>
      </c>
      <c r="S2" s="3">
        <v>7</v>
      </c>
      <c r="T2" s="3">
        <f t="shared" ref="T2:T32" si="5">+R2+S2-1</f>
        <v>22</v>
      </c>
      <c r="U2" s="3">
        <f t="shared" ref="U2:U44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149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149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149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156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154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155</v>
      </c>
      <c r="F11" s="19">
        <v>90014400</v>
      </c>
      <c r="G11" s="35" t="s">
        <v>156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155</v>
      </c>
      <c r="F12" s="19">
        <v>90018600</v>
      </c>
      <c r="G12" s="4" t="s">
        <v>157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157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157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151</v>
      </c>
      <c r="F15" s="19">
        <v>90018600</v>
      </c>
      <c r="G15" s="5" t="s">
        <v>157</v>
      </c>
      <c r="H15" s="2">
        <v>92000100</v>
      </c>
      <c r="I15" s="4" t="s">
        <v>150</v>
      </c>
      <c r="J15" s="2">
        <v>92000100</v>
      </c>
      <c r="K15" s="4" t="s">
        <v>150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65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157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154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158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2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156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158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2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158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156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154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x14ac:dyDescent="0.25">
      <c r="A24" s="5">
        <v>925</v>
      </c>
      <c r="B24" s="33" t="s">
        <v>67</v>
      </c>
      <c r="C24" s="6" t="s">
        <v>170</v>
      </c>
      <c r="D24" s="6" t="s">
        <v>62</v>
      </c>
      <c r="E24" s="6" t="s">
        <v>85</v>
      </c>
      <c r="F24" s="19">
        <v>90018600</v>
      </c>
      <c r="G24" s="5" t="s">
        <v>157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156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157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158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157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4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154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2" si="20">+ROUNDDOWN(W32/7,0)*7+X32</f>
        <v>31</v>
      </c>
      <c r="Z32" s="6">
        <f t="shared" ref="Z32:Z35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171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2" si="22">IF(I33="SFK Freight Forwarder",M33,M33+N33-1)</f>
        <v>0</v>
      </c>
      <c r="P33" s="3">
        <f t="shared" si="19"/>
        <v>0</v>
      </c>
      <c r="Q33" s="3">
        <f t="shared" ref="Q33:Q52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2" si="24">+R33+S33-1</f>
        <v>29</v>
      </c>
      <c r="U33" s="3">
        <f t="shared" si="6"/>
        <v>30</v>
      </c>
      <c r="V33" s="3">
        <v>1</v>
      </c>
      <c r="W33" s="3">
        <f t="shared" ref="W33:W52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2" si="26">+AE33+AA33-1</f>
        <v>89</v>
      </c>
      <c r="AG33" s="6">
        <v>3</v>
      </c>
      <c r="AH33" s="6">
        <f t="shared" ref="AH33:AH52" si="27">+AF33+AG33</f>
        <v>92</v>
      </c>
      <c r="AI33" s="3">
        <v>0</v>
      </c>
      <c r="AJ33" s="3">
        <f t="shared" ref="AJ33:AJ52" si="28">+AI33+AH33</f>
        <v>92</v>
      </c>
      <c r="AK33" s="3" t="s">
        <v>60</v>
      </c>
      <c r="AL33" s="3">
        <v>2</v>
      </c>
      <c r="AM33" s="3">
        <f t="shared" ref="AM33:AM52" si="29">+AJ33+AL33</f>
        <v>94</v>
      </c>
      <c r="AN33" s="3">
        <v>2</v>
      </c>
      <c r="AO33" s="3">
        <f t="shared" ref="AO33:AO52" si="30">+AM33+AN33</f>
        <v>96</v>
      </c>
      <c r="AP33" s="3">
        <v>2</v>
      </c>
      <c r="AQ33" s="3">
        <f t="shared" ref="AQ33:AQ52" si="31">+AO33+AP33</f>
        <v>98</v>
      </c>
      <c r="AR33" s="3">
        <f t="shared" ref="AR33:AR52" si="32">+AQ33+7</f>
        <v>105</v>
      </c>
      <c r="AS33" s="3">
        <f t="shared" ref="AS33:AS52" si="33">+AR33+7+AT33</f>
        <v>112</v>
      </c>
      <c r="AT33" s="3">
        <v>0</v>
      </c>
      <c r="AU33" s="3">
        <f t="shared" ref="AU33:AU52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158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 t="shared" ref="M41:M52" si="35">+IF(I41="SFK Freight Forwarder",L41,9)</f>
        <v>9</v>
      </c>
      <c r="N41" s="3">
        <v>21</v>
      </c>
      <c r="O41" s="3">
        <f t="shared" si="22"/>
        <v>29</v>
      </c>
      <c r="P41" s="3">
        <f t="shared" si="19"/>
        <v>5</v>
      </c>
      <c r="Q41" s="3">
        <f t="shared" si="23"/>
        <v>33</v>
      </c>
      <c r="R41" s="3">
        <f t="shared" si="4"/>
        <v>30</v>
      </c>
      <c r="S41" s="3">
        <v>7</v>
      </c>
      <c r="T41" s="3">
        <f t="shared" si="24"/>
        <v>36</v>
      </c>
      <c r="U41" s="3">
        <f t="shared" si="6"/>
        <v>37</v>
      </c>
      <c r="V41" s="3">
        <v>1</v>
      </c>
      <c r="W41" s="3">
        <f t="shared" si="25"/>
        <v>37</v>
      </c>
      <c r="X41" s="3">
        <v>0</v>
      </c>
      <c r="Y41" s="3">
        <v>37</v>
      </c>
      <c r="Z41" s="6">
        <v>42</v>
      </c>
      <c r="AA41" s="6">
        <f t="shared" si="18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6"/>
        <v>83</v>
      </c>
      <c r="AG41" s="6">
        <v>3</v>
      </c>
      <c r="AH41" s="6">
        <f t="shared" si="27"/>
        <v>86</v>
      </c>
      <c r="AI41" s="3">
        <v>0</v>
      </c>
      <c r="AJ41" s="3">
        <f t="shared" si="28"/>
        <v>86</v>
      </c>
      <c r="AK41" s="3" t="s">
        <v>55</v>
      </c>
      <c r="AL41" s="3">
        <v>2</v>
      </c>
      <c r="AM41" s="3">
        <f t="shared" si="29"/>
        <v>88</v>
      </c>
      <c r="AN41" s="3">
        <v>3</v>
      </c>
      <c r="AO41" s="3">
        <f t="shared" si="30"/>
        <v>91</v>
      </c>
      <c r="AP41" s="3">
        <v>0</v>
      </c>
      <c r="AQ41" s="3">
        <f t="shared" si="31"/>
        <v>91</v>
      </c>
      <c r="AR41" s="3">
        <f t="shared" si="32"/>
        <v>98</v>
      </c>
      <c r="AS41" s="3">
        <f t="shared" si="33"/>
        <v>105</v>
      </c>
      <c r="AT41" s="3">
        <v>0</v>
      </c>
      <c r="AU41" s="3">
        <f t="shared" si="34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22"/>
        <v>0</v>
      </c>
      <c r="P42" s="3">
        <f t="shared" si="19"/>
        <v>0</v>
      </c>
      <c r="Q42" s="3">
        <f t="shared" si="23"/>
        <v>0</v>
      </c>
      <c r="R42" s="3">
        <f t="shared" si="4"/>
        <v>23</v>
      </c>
      <c r="S42" s="3">
        <v>7</v>
      </c>
      <c r="T42" s="3">
        <f t="shared" si="24"/>
        <v>29</v>
      </c>
      <c r="U42" s="3">
        <f t="shared" si="6"/>
        <v>30</v>
      </c>
      <c r="V42" s="3">
        <v>1</v>
      </c>
      <c r="W42" s="3">
        <f t="shared" si="25"/>
        <v>30</v>
      </c>
      <c r="X42" s="3">
        <v>0</v>
      </c>
      <c r="Y42" s="3">
        <v>31</v>
      </c>
      <c r="Z42" s="6">
        <v>33</v>
      </c>
      <c r="AA42" s="6">
        <f t="shared" si="18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6"/>
        <v>67</v>
      </c>
      <c r="AG42" s="6">
        <v>3</v>
      </c>
      <c r="AH42" s="6">
        <f t="shared" si="27"/>
        <v>70</v>
      </c>
      <c r="AI42" s="3">
        <v>0</v>
      </c>
      <c r="AJ42" s="3">
        <f t="shared" si="28"/>
        <v>70</v>
      </c>
      <c r="AK42" s="3" t="s">
        <v>60</v>
      </c>
      <c r="AL42" s="3">
        <v>4</v>
      </c>
      <c r="AM42" s="3">
        <f t="shared" si="29"/>
        <v>74</v>
      </c>
      <c r="AN42" s="3">
        <v>3</v>
      </c>
      <c r="AO42" s="3">
        <f t="shared" si="30"/>
        <v>77</v>
      </c>
      <c r="AP42" s="3">
        <v>0</v>
      </c>
      <c r="AQ42" s="3">
        <f t="shared" si="31"/>
        <v>77</v>
      </c>
      <c r="AR42" s="3">
        <f t="shared" si="32"/>
        <v>84</v>
      </c>
      <c r="AS42" s="3">
        <f t="shared" si="33"/>
        <v>91</v>
      </c>
      <c r="AT42" s="3">
        <v>0</v>
      </c>
      <c r="AU42" s="3">
        <f t="shared" si="34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156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35"/>
        <v>9</v>
      </c>
      <c r="N43" s="3">
        <v>21</v>
      </c>
      <c r="O43" s="3">
        <f t="shared" si="22"/>
        <v>29</v>
      </c>
      <c r="P43" s="3">
        <f t="shared" si="19"/>
        <v>5</v>
      </c>
      <c r="Q43" s="3">
        <f t="shared" si="23"/>
        <v>33</v>
      </c>
      <c r="R43" s="3">
        <f t="shared" si="4"/>
        <v>30</v>
      </c>
      <c r="S43" s="3">
        <v>7</v>
      </c>
      <c r="T43" s="3">
        <f t="shared" si="24"/>
        <v>36</v>
      </c>
      <c r="U43" s="3">
        <f t="shared" si="6"/>
        <v>37</v>
      </c>
      <c r="V43" s="3">
        <v>1</v>
      </c>
      <c r="W43" s="3">
        <f t="shared" si="25"/>
        <v>37</v>
      </c>
      <c r="X43" s="3">
        <v>0</v>
      </c>
      <c r="Y43" s="3">
        <v>37</v>
      </c>
      <c r="Z43" s="6">
        <v>37</v>
      </c>
      <c r="AA43" s="6">
        <f t="shared" si="1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6"/>
        <v>84</v>
      </c>
      <c r="AG43" s="6">
        <v>3</v>
      </c>
      <c r="AH43" s="6">
        <f t="shared" si="27"/>
        <v>87</v>
      </c>
      <c r="AI43" s="3">
        <v>7</v>
      </c>
      <c r="AJ43" s="3">
        <f t="shared" si="28"/>
        <v>94</v>
      </c>
      <c r="AK43" s="3" t="s">
        <v>55</v>
      </c>
      <c r="AL43" s="3">
        <v>4</v>
      </c>
      <c r="AM43" s="3">
        <f t="shared" si="29"/>
        <v>98</v>
      </c>
      <c r="AN43" s="3">
        <v>3</v>
      </c>
      <c r="AO43" s="3">
        <f t="shared" si="30"/>
        <v>101</v>
      </c>
      <c r="AP43" s="3">
        <v>4</v>
      </c>
      <c r="AQ43" s="3">
        <f t="shared" si="31"/>
        <v>105</v>
      </c>
      <c r="AR43" s="3">
        <f t="shared" si="32"/>
        <v>112</v>
      </c>
      <c r="AS43" s="3">
        <f t="shared" si="33"/>
        <v>119</v>
      </c>
      <c r="AT43" s="3">
        <v>0</v>
      </c>
      <c r="AU43" s="3">
        <f t="shared" si="34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171</v>
      </c>
      <c r="F44" s="19">
        <v>90018600</v>
      </c>
      <c r="G44" s="5" t="s">
        <v>157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 t="shared" si="35"/>
        <v>9</v>
      </c>
      <c r="N44" s="3">
        <v>14</v>
      </c>
      <c r="O44" s="3">
        <f t="shared" si="22"/>
        <v>22</v>
      </c>
      <c r="P44" s="3">
        <f t="shared" si="19"/>
        <v>5</v>
      </c>
      <c r="Q44" s="3">
        <f t="shared" si="23"/>
        <v>26</v>
      </c>
      <c r="R44" s="3">
        <f t="shared" si="4"/>
        <v>23</v>
      </c>
      <c r="S44" s="3">
        <v>7</v>
      </c>
      <c r="T44" s="3">
        <f t="shared" si="24"/>
        <v>29</v>
      </c>
      <c r="U44" s="3">
        <f t="shared" si="6"/>
        <v>30</v>
      </c>
      <c r="V44" s="3">
        <v>2</v>
      </c>
      <c r="W44" s="3">
        <f t="shared" si="25"/>
        <v>31</v>
      </c>
      <c r="X44" s="3">
        <v>0</v>
      </c>
      <c r="Y44" s="3">
        <v>36</v>
      </c>
      <c r="Z44" s="6">
        <v>39</v>
      </c>
      <c r="AA44" s="6">
        <f t="shared" si="18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6"/>
        <v>75</v>
      </c>
      <c r="AG44" s="6">
        <v>3</v>
      </c>
      <c r="AH44" s="6">
        <f t="shared" si="27"/>
        <v>78</v>
      </c>
      <c r="AI44" s="3">
        <v>0</v>
      </c>
      <c r="AJ44" s="3">
        <f t="shared" si="28"/>
        <v>78</v>
      </c>
      <c r="AK44" s="3" t="s">
        <v>65</v>
      </c>
      <c r="AL44" s="3">
        <v>2</v>
      </c>
      <c r="AM44" s="3">
        <f t="shared" si="29"/>
        <v>80</v>
      </c>
      <c r="AN44" s="3">
        <v>2</v>
      </c>
      <c r="AO44" s="3">
        <f t="shared" si="30"/>
        <v>82</v>
      </c>
      <c r="AP44" s="3">
        <v>2</v>
      </c>
      <c r="AQ44" s="3">
        <f t="shared" si="31"/>
        <v>84</v>
      </c>
      <c r="AR44" s="3">
        <f t="shared" si="32"/>
        <v>91</v>
      </c>
      <c r="AS44" s="3">
        <f t="shared" si="33"/>
        <v>98</v>
      </c>
      <c r="AT44" s="3">
        <v>0</v>
      </c>
      <c r="AU44" s="3">
        <f t="shared" si="34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x14ac:dyDescent="0.25">
      <c r="A45" s="5" t="s">
        <v>138</v>
      </c>
      <c r="B45" s="5" t="s">
        <v>135</v>
      </c>
      <c r="C45" s="5" t="s">
        <v>68</v>
      </c>
      <c r="D45" s="5" t="s">
        <v>136</v>
      </c>
      <c r="E45" s="32" t="s">
        <v>81</v>
      </c>
      <c r="F45" s="19">
        <v>90016500</v>
      </c>
      <c r="G45" s="23" t="s">
        <v>159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22"/>
        <v>8</v>
      </c>
      <c r="P45" s="3">
        <v>6</v>
      </c>
      <c r="Q45" s="3">
        <f t="shared" si="23"/>
        <v>13</v>
      </c>
      <c r="R45" s="23">
        <v>9</v>
      </c>
      <c r="S45" s="23">
        <v>12</v>
      </c>
      <c r="T45" s="23">
        <f t="shared" si="24"/>
        <v>20</v>
      </c>
      <c r="U45" s="23">
        <f>+T45+2</f>
        <v>22</v>
      </c>
      <c r="V45" s="23">
        <v>5</v>
      </c>
      <c r="W45" s="23">
        <f t="shared" si="25"/>
        <v>26</v>
      </c>
      <c r="X45" s="23">
        <v>4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6"/>
        <v>71</v>
      </c>
      <c r="AG45" s="23">
        <v>3</v>
      </c>
      <c r="AH45" s="23">
        <f t="shared" si="27"/>
        <v>74</v>
      </c>
      <c r="AI45" s="23">
        <v>7</v>
      </c>
      <c r="AJ45" s="23">
        <f t="shared" si="28"/>
        <v>81</v>
      </c>
      <c r="AK45" s="23"/>
      <c r="AL45" s="23">
        <v>3</v>
      </c>
      <c r="AM45" s="23">
        <f t="shared" si="29"/>
        <v>84</v>
      </c>
      <c r="AN45" s="23">
        <v>5</v>
      </c>
      <c r="AO45" s="23">
        <f>+AM45+AN45</f>
        <v>89</v>
      </c>
      <c r="AP45" s="23">
        <v>6</v>
      </c>
      <c r="AQ45" s="23">
        <v>92</v>
      </c>
      <c r="AR45" s="23">
        <f>+AQ45+4</f>
        <v>96</v>
      </c>
      <c r="AS45" s="23">
        <f t="shared" si="33"/>
        <v>117</v>
      </c>
      <c r="AT45" s="23">
        <v>14</v>
      </c>
      <c r="AU45" s="3">
        <f t="shared" si="34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25">
      <c r="A46" s="5" t="s">
        <v>141</v>
      </c>
      <c r="B46" s="38" t="s">
        <v>80</v>
      </c>
      <c r="C46" s="39" t="s">
        <v>68</v>
      </c>
      <c r="D46" s="38" t="s">
        <v>58</v>
      </c>
      <c r="E46" s="33" t="s">
        <v>53</v>
      </c>
      <c r="F46" s="19">
        <v>91017700</v>
      </c>
      <c r="G46" s="35" t="s">
        <v>158</v>
      </c>
      <c r="H46" s="2">
        <v>0</v>
      </c>
      <c r="I46" s="4" t="s">
        <v>139</v>
      </c>
      <c r="J46" s="2">
        <v>29159</v>
      </c>
      <c r="K46" s="23" t="s">
        <v>140</v>
      </c>
      <c r="L46" s="3">
        <v>5</v>
      </c>
      <c r="M46" s="3">
        <f t="shared" si="35"/>
        <v>9</v>
      </c>
      <c r="N46" s="23">
        <v>2</v>
      </c>
      <c r="O46" s="3">
        <f t="shared" si="22"/>
        <v>10</v>
      </c>
      <c r="P46" s="3">
        <v>5</v>
      </c>
      <c r="Q46" s="3">
        <f t="shared" si="23"/>
        <v>14</v>
      </c>
      <c r="R46" s="23">
        <v>9</v>
      </c>
      <c r="S46" s="23">
        <v>13</v>
      </c>
      <c r="T46" s="25">
        <f t="shared" si="24"/>
        <v>21</v>
      </c>
      <c r="U46" s="23">
        <v>16</v>
      </c>
      <c r="V46" s="23">
        <v>7</v>
      </c>
      <c r="W46" s="23">
        <f t="shared" si="25"/>
        <v>22</v>
      </c>
      <c r="X46" s="23">
        <v>1</v>
      </c>
      <c r="Y46" s="3">
        <f t="shared" si="20"/>
        <v>22</v>
      </c>
      <c r="Z46" s="6">
        <f t="shared" ref="Z46:Z52" si="36">+Y46+X46-1</f>
        <v>22</v>
      </c>
      <c r="AA46" s="6">
        <f t="shared" si="18"/>
        <v>25</v>
      </c>
      <c r="AB46" s="23">
        <v>4</v>
      </c>
      <c r="AC46" s="23"/>
      <c r="AD46" s="23"/>
      <c r="AE46" s="23">
        <v>39</v>
      </c>
      <c r="AF46" s="23">
        <f t="shared" si="26"/>
        <v>63</v>
      </c>
      <c r="AG46" s="23">
        <v>3</v>
      </c>
      <c r="AH46" s="23">
        <f t="shared" si="27"/>
        <v>66</v>
      </c>
      <c r="AI46" s="23">
        <v>7</v>
      </c>
      <c r="AJ46" s="23">
        <f t="shared" si="28"/>
        <v>73</v>
      </c>
      <c r="AK46" s="23"/>
      <c r="AL46" s="23">
        <v>3</v>
      </c>
      <c r="AM46" s="23">
        <f t="shared" si="29"/>
        <v>76</v>
      </c>
      <c r="AN46" s="23">
        <v>2</v>
      </c>
      <c r="AO46" s="23">
        <f t="shared" si="30"/>
        <v>78</v>
      </c>
      <c r="AP46" s="23">
        <v>2</v>
      </c>
      <c r="AQ46" s="23">
        <f t="shared" si="31"/>
        <v>80</v>
      </c>
      <c r="AR46" s="23">
        <f t="shared" si="32"/>
        <v>87</v>
      </c>
      <c r="AS46" s="23">
        <f t="shared" si="33"/>
        <v>108</v>
      </c>
      <c r="AT46" s="23">
        <v>14</v>
      </c>
      <c r="AU46" s="3">
        <f t="shared" si="34"/>
        <v>16</v>
      </c>
      <c r="AV46" s="23" t="s">
        <v>133</v>
      </c>
      <c r="AW46" s="23" t="s">
        <v>131</v>
      </c>
      <c r="AX46" s="20" t="s">
        <v>56</v>
      </c>
      <c r="AY46" s="37">
        <v>46143</v>
      </c>
    </row>
    <row r="47" spans="1:51" x14ac:dyDescent="0.25">
      <c r="A47" s="5" t="s">
        <v>144</v>
      </c>
      <c r="B47" s="39" t="s">
        <v>67</v>
      </c>
      <c r="C47" s="38" t="s">
        <v>87</v>
      </c>
      <c r="D47" s="38" t="s">
        <v>62</v>
      </c>
      <c r="E47" s="32" t="s">
        <v>59</v>
      </c>
      <c r="F47" s="19">
        <v>90018600</v>
      </c>
      <c r="G47" s="5" t="s">
        <v>157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ref="P47:P52" si="37">+IF(I47="SFK Freight Forwarder",0,5)</f>
        <v>5</v>
      </c>
      <c r="Q47" s="3">
        <f t="shared" si="23"/>
        <v>26</v>
      </c>
      <c r="R47" s="3">
        <f t="shared" ref="R47:R52" si="38">9+N47</f>
        <v>23</v>
      </c>
      <c r="S47" s="3">
        <v>7</v>
      </c>
      <c r="T47" s="3">
        <f t="shared" si="24"/>
        <v>29</v>
      </c>
      <c r="U47" s="3">
        <f t="shared" ref="U47:U52" si="39">+T47+1</f>
        <v>30</v>
      </c>
      <c r="V47" s="3">
        <v>2</v>
      </c>
      <c r="W47" s="3">
        <f t="shared" si="25"/>
        <v>31</v>
      </c>
      <c r="X47" s="3">
        <v>3</v>
      </c>
      <c r="Y47" s="3">
        <f t="shared" si="20"/>
        <v>31</v>
      </c>
      <c r="Z47" s="6">
        <f t="shared" si="36"/>
        <v>33</v>
      </c>
      <c r="AA47" s="6">
        <f t="shared" si="18"/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6"/>
        <v>73</v>
      </c>
      <c r="AG47" s="6">
        <v>3</v>
      </c>
      <c r="AH47" s="6">
        <f t="shared" si="27"/>
        <v>76</v>
      </c>
      <c r="AI47" s="3">
        <v>0</v>
      </c>
      <c r="AJ47" s="3">
        <f t="shared" si="28"/>
        <v>76</v>
      </c>
      <c r="AK47" s="3" t="s">
        <v>60</v>
      </c>
      <c r="AL47" s="3">
        <v>2</v>
      </c>
      <c r="AM47" s="3">
        <f t="shared" si="29"/>
        <v>78</v>
      </c>
      <c r="AN47" s="3">
        <v>2</v>
      </c>
      <c r="AO47" s="3">
        <f t="shared" si="30"/>
        <v>80</v>
      </c>
      <c r="AP47" s="3">
        <v>6</v>
      </c>
      <c r="AQ47" s="3">
        <f t="shared" si="31"/>
        <v>86</v>
      </c>
      <c r="AR47" s="3">
        <f t="shared" si="32"/>
        <v>93</v>
      </c>
      <c r="AS47" s="3">
        <f t="shared" si="33"/>
        <v>100</v>
      </c>
      <c r="AT47" s="3">
        <v>0</v>
      </c>
      <c r="AU47" s="3">
        <f t="shared" si="34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x14ac:dyDescent="0.25">
      <c r="A48" s="5" t="s">
        <v>145</v>
      </c>
      <c r="B48" s="39" t="s">
        <v>76</v>
      </c>
      <c r="C48" s="38" t="s">
        <v>98</v>
      </c>
      <c r="D48" s="38" t="s">
        <v>77</v>
      </c>
      <c r="E48" s="38" t="s">
        <v>85</v>
      </c>
      <c r="F48" s="19">
        <v>90012500</v>
      </c>
      <c r="G48" s="5" t="s">
        <v>154</v>
      </c>
      <c r="H48" s="2">
        <v>0</v>
      </c>
      <c r="I48" s="4" t="s">
        <v>139</v>
      </c>
      <c r="J48" s="2">
        <v>29159</v>
      </c>
      <c r="K48" s="4" t="s">
        <v>143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37"/>
        <v>5</v>
      </c>
      <c r="Q48" s="3">
        <f t="shared" si="23"/>
        <v>26</v>
      </c>
      <c r="R48" s="3">
        <f t="shared" si="38"/>
        <v>23</v>
      </c>
      <c r="S48" s="3">
        <v>7</v>
      </c>
      <c r="T48" s="3">
        <f t="shared" si="24"/>
        <v>29</v>
      </c>
      <c r="U48" s="3">
        <f t="shared" si="39"/>
        <v>30</v>
      </c>
      <c r="V48" s="3">
        <v>2</v>
      </c>
      <c r="W48" s="3">
        <f t="shared" si="25"/>
        <v>31</v>
      </c>
      <c r="X48" s="3">
        <v>2</v>
      </c>
      <c r="Y48" s="3">
        <f t="shared" si="20"/>
        <v>30</v>
      </c>
      <c r="Z48" s="6">
        <f t="shared" si="36"/>
        <v>31</v>
      </c>
      <c r="AA48" s="6">
        <f t="shared" si="18"/>
        <v>31</v>
      </c>
      <c r="AB48" s="3">
        <v>1</v>
      </c>
      <c r="AC48" s="3">
        <v>3</v>
      </c>
      <c r="AD48" s="3">
        <v>10</v>
      </c>
      <c r="AE48" s="3">
        <v>58</v>
      </c>
      <c r="AF48" s="3">
        <f t="shared" si="26"/>
        <v>88</v>
      </c>
      <c r="AG48" s="6">
        <v>3</v>
      </c>
      <c r="AH48" s="6">
        <f t="shared" si="27"/>
        <v>91</v>
      </c>
      <c r="AI48" s="3">
        <v>0</v>
      </c>
      <c r="AJ48" s="3">
        <f t="shared" si="28"/>
        <v>91</v>
      </c>
      <c r="AK48" s="3" t="s">
        <v>60</v>
      </c>
      <c r="AL48" s="3">
        <v>2</v>
      </c>
      <c r="AM48" s="3">
        <f t="shared" si="29"/>
        <v>93</v>
      </c>
      <c r="AN48" s="3">
        <v>7</v>
      </c>
      <c r="AO48" s="3">
        <f t="shared" si="30"/>
        <v>100</v>
      </c>
      <c r="AP48" s="3">
        <v>5</v>
      </c>
      <c r="AQ48" s="3">
        <f t="shared" si="31"/>
        <v>105</v>
      </c>
      <c r="AR48" s="3">
        <f t="shared" si="32"/>
        <v>112</v>
      </c>
      <c r="AS48" s="3">
        <f t="shared" si="33"/>
        <v>119</v>
      </c>
      <c r="AT48" s="3">
        <v>0</v>
      </c>
      <c r="AU48" s="3">
        <f t="shared" si="34"/>
        <v>8</v>
      </c>
      <c r="AV48" s="3" t="s">
        <v>133</v>
      </c>
      <c r="AW48" s="3" t="s">
        <v>131</v>
      </c>
      <c r="AX48" s="20" t="s">
        <v>88</v>
      </c>
      <c r="AY48" s="37">
        <v>46142</v>
      </c>
    </row>
    <row r="49" spans="1:51" x14ac:dyDescent="0.25">
      <c r="A49" s="5" t="s">
        <v>146</v>
      </c>
      <c r="B49" s="39" t="s">
        <v>80</v>
      </c>
      <c r="C49" s="38" t="s">
        <v>98</v>
      </c>
      <c r="D49" s="38" t="s">
        <v>99</v>
      </c>
      <c r="E49" s="38" t="s">
        <v>53</v>
      </c>
      <c r="F49" s="19">
        <v>91017500</v>
      </c>
      <c r="G49" s="5" t="s">
        <v>160</v>
      </c>
      <c r="H49" s="2">
        <v>0</v>
      </c>
      <c r="I49" s="4" t="s">
        <v>139</v>
      </c>
      <c r="J49" s="2">
        <v>29159</v>
      </c>
      <c r="K49" s="4" t="s">
        <v>143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37"/>
        <v>5</v>
      </c>
      <c r="Q49" s="3">
        <f t="shared" si="23"/>
        <v>26</v>
      </c>
      <c r="R49" s="3">
        <f t="shared" si="38"/>
        <v>23</v>
      </c>
      <c r="S49" s="3">
        <v>7</v>
      </c>
      <c r="T49" s="3">
        <f t="shared" si="24"/>
        <v>29</v>
      </c>
      <c r="U49" s="3">
        <f t="shared" si="39"/>
        <v>30</v>
      </c>
      <c r="V49" s="3">
        <v>2</v>
      </c>
      <c r="W49" s="3">
        <f t="shared" si="25"/>
        <v>31</v>
      </c>
      <c r="X49" s="3">
        <v>2</v>
      </c>
      <c r="Y49" s="3">
        <f t="shared" si="20"/>
        <v>30</v>
      </c>
      <c r="Z49" s="6">
        <f t="shared" si="36"/>
        <v>31</v>
      </c>
      <c r="AA49" s="6">
        <f t="shared" si="18"/>
        <v>36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6"/>
        <v>77</v>
      </c>
      <c r="AG49" s="6">
        <v>3</v>
      </c>
      <c r="AH49" s="6">
        <f t="shared" si="27"/>
        <v>80</v>
      </c>
      <c r="AI49" s="3">
        <v>0</v>
      </c>
      <c r="AJ49" s="3">
        <f t="shared" si="28"/>
        <v>80</v>
      </c>
      <c r="AK49" s="3" t="s">
        <v>60</v>
      </c>
      <c r="AL49" s="3">
        <v>1</v>
      </c>
      <c r="AM49" s="3">
        <f t="shared" si="29"/>
        <v>81</v>
      </c>
      <c r="AN49" s="3">
        <v>1</v>
      </c>
      <c r="AO49" s="3">
        <f t="shared" si="30"/>
        <v>82</v>
      </c>
      <c r="AP49" s="3">
        <v>3</v>
      </c>
      <c r="AQ49" s="3">
        <f t="shared" si="31"/>
        <v>85</v>
      </c>
      <c r="AR49" s="3">
        <f t="shared" si="32"/>
        <v>92</v>
      </c>
      <c r="AS49" s="3">
        <f t="shared" si="33"/>
        <v>99</v>
      </c>
      <c r="AT49" s="3">
        <v>0</v>
      </c>
      <c r="AU49" s="3">
        <f t="shared" si="34"/>
        <v>13</v>
      </c>
      <c r="AV49" s="3" t="s">
        <v>133</v>
      </c>
      <c r="AW49" s="3" t="s">
        <v>131</v>
      </c>
      <c r="AX49" s="20" t="s">
        <v>88</v>
      </c>
      <c r="AY49" s="37">
        <v>46142</v>
      </c>
    </row>
    <row r="50" spans="1:51" x14ac:dyDescent="0.25">
      <c r="A50" s="5" t="s">
        <v>147</v>
      </c>
      <c r="B50" s="39" t="s">
        <v>70</v>
      </c>
      <c r="C50" s="38" t="s">
        <v>98</v>
      </c>
      <c r="D50" s="38" t="s">
        <v>72</v>
      </c>
      <c r="E50" s="38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143</v>
      </c>
      <c r="L50" s="3">
        <v>7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37"/>
        <v>5</v>
      </c>
      <c r="Q50" s="3">
        <f t="shared" si="23"/>
        <v>26</v>
      </c>
      <c r="R50" s="3">
        <f t="shared" si="38"/>
        <v>23</v>
      </c>
      <c r="S50" s="3">
        <v>7</v>
      </c>
      <c r="T50" s="3">
        <f t="shared" si="24"/>
        <v>29</v>
      </c>
      <c r="U50" s="3">
        <f t="shared" si="39"/>
        <v>30</v>
      </c>
      <c r="V50" s="3">
        <v>2</v>
      </c>
      <c r="W50" s="3">
        <f t="shared" si="25"/>
        <v>31</v>
      </c>
      <c r="X50" s="3">
        <v>2</v>
      </c>
      <c r="Y50" s="3">
        <f t="shared" si="20"/>
        <v>30</v>
      </c>
      <c r="Z50" s="6">
        <f t="shared" si="36"/>
        <v>31</v>
      </c>
      <c r="AA50" s="6">
        <f t="shared" si="18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6"/>
        <v>81</v>
      </c>
      <c r="AG50" s="6">
        <v>0</v>
      </c>
      <c r="AH50" s="6">
        <f t="shared" si="27"/>
        <v>81</v>
      </c>
      <c r="AI50" s="3">
        <v>0</v>
      </c>
      <c r="AJ50" s="3">
        <f t="shared" si="28"/>
        <v>81</v>
      </c>
      <c r="AK50" s="3" t="s">
        <v>60</v>
      </c>
      <c r="AL50" s="3">
        <v>3</v>
      </c>
      <c r="AM50" s="3">
        <f t="shared" si="29"/>
        <v>84</v>
      </c>
      <c r="AN50" s="3">
        <v>8</v>
      </c>
      <c r="AO50" s="3">
        <f t="shared" si="30"/>
        <v>92</v>
      </c>
      <c r="AP50" s="3">
        <v>0</v>
      </c>
      <c r="AQ50" s="3">
        <f t="shared" si="31"/>
        <v>92</v>
      </c>
      <c r="AR50" s="3">
        <f t="shared" si="32"/>
        <v>99</v>
      </c>
      <c r="AS50" s="3">
        <f t="shared" si="33"/>
        <v>106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x14ac:dyDescent="0.25">
      <c r="A51" s="5" t="s">
        <v>148</v>
      </c>
      <c r="B51" s="39" t="s">
        <v>61</v>
      </c>
      <c r="C51" s="38" t="s">
        <v>87</v>
      </c>
      <c r="D51" s="38" t="s">
        <v>64</v>
      </c>
      <c r="E51" s="38" t="s">
        <v>59</v>
      </c>
      <c r="F51" s="19">
        <v>90014400</v>
      </c>
      <c r="G51" s="5" t="s">
        <v>156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5"/>
        <v>9</v>
      </c>
      <c r="N51" s="3">
        <v>14</v>
      </c>
      <c r="O51" s="3">
        <f t="shared" si="22"/>
        <v>22</v>
      </c>
      <c r="P51" s="3">
        <f t="shared" si="37"/>
        <v>5</v>
      </c>
      <c r="Q51" s="3">
        <f t="shared" si="23"/>
        <v>26</v>
      </c>
      <c r="R51" s="3">
        <f t="shared" si="38"/>
        <v>23</v>
      </c>
      <c r="S51" s="3">
        <v>7</v>
      </c>
      <c r="T51" s="3">
        <f t="shared" si="24"/>
        <v>29</v>
      </c>
      <c r="U51" s="3">
        <f t="shared" si="39"/>
        <v>30</v>
      </c>
      <c r="V51" s="3">
        <v>2</v>
      </c>
      <c r="W51" s="3">
        <f t="shared" si="25"/>
        <v>31</v>
      </c>
      <c r="X51" s="3">
        <v>3</v>
      </c>
      <c r="Y51" s="3">
        <f t="shared" si="20"/>
        <v>31</v>
      </c>
      <c r="Z51" s="6">
        <f t="shared" si="36"/>
        <v>33</v>
      </c>
      <c r="AA51" s="6">
        <f t="shared" si="18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6"/>
        <v>83</v>
      </c>
      <c r="AG51" s="6">
        <v>3</v>
      </c>
      <c r="AH51" s="6">
        <f t="shared" si="27"/>
        <v>86</v>
      </c>
      <c r="AI51" s="3">
        <v>0</v>
      </c>
      <c r="AJ51" s="3">
        <f t="shared" si="28"/>
        <v>86</v>
      </c>
      <c r="AK51" s="3" t="s">
        <v>60</v>
      </c>
      <c r="AL51" s="3">
        <v>4</v>
      </c>
      <c r="AM51" s="3">
        <f t="shared" si="29"/>
        <v>90</v>
      </c>
      <c r="AN51" s="3">
        <v>2</v>
      </c>
      <c r="AO51" s="3">
        <f t="shared" si="30"/>
        <v>92</v>
      </c>
      <c r="AP51" s="3">
        <v>1</v>
      </c>
      <c r="AQ51" s="3">
        <f t="shared" si="31"/>
        <v>93</v>
      </c>
      <c r="AR51" s="3">
        <f t="shared" si="32"/>
        <v>100</v>
      </c>
      <c r="AS51" s="3">
        <f t="shared" si="33"/>
        <v>107</v>
      </c>
      <c r="AT51" s="3">
        <v>0</v>
      </c>
      <c r="AU51" s="3">
        <f t="shared" si="34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s="8" customFormat="1" x14ac:dyDescent="0.25">
      <c r="A52" s="5" t="s">
        <v>153</v>
      </c>
      <c r="B52" s="38" t="s">
        <v>83</v>
      </c>
      <c r="C52" s="38" t="s">
        <v>72</v>
      </c>
      <c r="D52" s="38" t="s">
        <v>86</v>
      </c>
      <c r="E52" s="38" t="s">
        <v>63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152</v>
      </c>
      <c r="L52" s="3">
        <v>7</v>
      </c>
      <c r="M52" s="3">
        <f t="shared" si="35"/>
        <v>9</v>
      </c>
      <c r="N52" s="3">
        <v>7</v>
      </c>
      <c r="O52" s="3">
        <f t="shared" si="22"/>
        <v>15</v>
      </c>
      <c r="P52" s="3">
        <f t="shared" si="37"/>
        <v>5</v>
      </c>
      <c r="Q52" s="3">
        <f t="shared" si="23"/>
        <v>19</v>
      </c>
      <c r="R52" s="3">
        <f t="shared" si="38"/>
        <v>16</v>
      </c>
      <c r="S52" s="3">
        <v>3</v>
      </c>
      <c r="T52" s="3">
        <f t="shared" si="24"/>
        <v>18</v>
      </c>
      <c r="U52" s="3">
        <f t="shared" si="39"/>
        <v>19</v>
      </c>
      <c r="V52" s="3">
        <v>5</v>
      </c>
      <c r="W52" s="3">
        <f t="shared" si="25"/>
        <v>23</v>
      </c>
      <c r="X52" s="3">
        <v>2</v>
      </c>
      <c r="Y52" s="3">
        <f t="shared" si="20"/>
        <v>23</v>
      </c>
      <c r="Z52" s="6">
        <f t="shared" si="36"/>
        <v>24</v>
      </c>
      <c r="AA52" s="6">
        <f t="shared" si="18"/>
        <v>26</v>
      </c>
      <c r="AB52" s="3">
        <v>3</v>
      </c>
      <c r="AC52" s="3">
        <v>5</v>
      </c>
      <c r="AD52" s="3">
        <v>5</v>
      </c>
      <c r="AE52" s="3">
        <v>34</v>
      </c>
      <c r="AF52" s="3">
        <f t="shared" si="26"/>
        <v>59</v>
      </c>
      <c r="AG52" s="6">
        <v>3</v>
      </c>
      <c r="AH52" s="6">
        <f t="shared" si="27"/>
        <v>62</v>
      </c>
      <c r="AI52" s="3">
        <v>7</v>
      </c>
      <c r="AJ52" s="3">
        <f t="shared" si="28"/>
        <v>69</v>
      </c>
      <c r="AK52" s="3">
        <v>0</v>
      </c>
      <c r="AL52" s="3">
        <v>6</v>
      </c>
      <c r="AM52" s="3">
        <f t="shared" si="29"/>
        <v>75</v>
      </c>
      <c r="AN52" s="3">
        <v>2</v>
      </c>
      <c r="AO52" s="3">
        <f t="shared" si="30"/>
        <v>77</v>
      </c>
      <c r="AP52" s="3">
        <v>0</v>
      </c>
      <c r="AQ52" s="3">
        <f t="shared" si="31"/>
        <v>77</v>
      </c>
      <c r="AR52" s="3">
        <f t="shared" si="32"/>
        <v>84</v>
      </c>
      <c r="AS52" s="3">
        <f t="shared" si="33"/>
        <v>91</v>
      </c>
      <c r="AT52" s="3">
        <v>0</v>
      </c>
      <c r="AU52" s="3">
        <f t="shared" si="34"/>
        <v>10</v>
      </c>
      <c r="AV52" s="3" t="s">
        <v>133</v>
      </c>
      <c r="AW52" s="3" t="s">
        <v>134</v>
      </c>
      <c r="AX52" s="20" t="s">
        <v>56</v>
      </c>
      <c r="AY52" s="37">
        <v>46142</v>
      </c>
    </row>
    <row r="53" spans="1:51" x14ac:dyDescent="0.25">
      <c r="A53" s="5" t="s">
        <v>169</v>
      </c>
      <c r="B53" s="38" t="s">
        <v>61</v>
      </c>
      <c r="C53" s="39" t="s">
        <v>68</v>
      </c>
      <c r="D53" s="38" t="s">
        <v>64</v>
      </c>
      <c r="E53" s="33" t="s">
        <v>81</v>
      </c>
      <c r="F53" s="19">
        <v>90014400</v>
      </c>
      <c r="G53" s="5" t="s">
        <v>156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ref="M53" si="40">+IF(I53="SFK Freight Forwarder",L53,9)</f>
        <v>9</v>
      </c>
      <c r="N53" s="23">
        <v>2</v>
      </c>
      <c r="O53" s="3">
        <f t="shared" ref="O53" si="41">IF(I53="SFK Freight Forwarder",M53,M53+N53-1)</f>
        <v>10</v>
      </c>
      <c r="P53" s="3">
        <v>5</v>
      </c>
      <c r="Q53" s="3">
        <f t="shared" ref="Q53" si="42"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ref="W53" si="43">+U53+V53-1</f>
        <v>18</v>
      </c>
      <c r="X53" s="23">
        <v>1</v>
      </c>
      <c r="Y53" s="3">
        <v>18</v>
      </c>
      <c r="Z53" s="6">
        <v>19</v>
      </c>
      <c r="AA53" s="6">
        <f t="shared" ref="AA53" si="44">+Z53+AB53-1</f>
        <v>22</v>
      </c>
      <c r="AB53" s="23">
        <v>4</v>
      </c>
      <c r="AC53" s="23"/>
      <c r="AD53" s="23"/>
      <c r="AE53" s="23">
        <v>46</v>
      </c>
      <c r="AF53" s="23">
        <f t="shared" ref="AF53" si="45">+AE53+AA53-1</f>
        <v>67</v>
      </c>
      <c r="AG53" s="23">
        <v>3</v>
      </c>
      <c r="AH53" s="23">
        <f t="shared" ref="AH53" si="46">+AF53+AG53</f>
        <v>70</v>
      </c>
      <c r="AI53" s="23">
        <v>7</v>
      </c>
      <c r="AJ53" s="23">
        <f t="shared" ref="AJ53" si="47">+AI53+AH53</f>
        <v>77</v>
      </c>
      <c r="AK53" s="23"/>
      <c r="AL53" s="23">
        <v>3</v>
      </c>
      <c r="AM53" s="23">
        <f t="shared" ref="AM53" si="48">+AJ53+AL53</f>
        <v>80</v>
      </c>
      <c r="AN53" s="23">
        <v>2</v>
      </c>
      <c r="AO53" s="23">
        <f t="shared" ref="AO53" si="49">+AM53+AN53</f>
        <v>82</v>
      </c>
      <c r="AP53" s="23">
        <v>2</v>
      </c>
      <c r="AQ53" s="23">
        <f t="shared" ref="AQ53" si="50">+AO53+AP53</f>
        <v>84</v>
      </c>
      <c r="AR53" s="23">
        <f t="shared" ref="AR53" si="51">+AQ53+7</f>
        <v>91</v>
      </c>
      <c r="AS53" s="23">
        <f t="shared" ref="AS53" si="52">+AR53+7+AT53</f>
        <v>112</v>
      </c>
      <c r="AT53" s="23">
        <v>14</v>
      </c>
      <c r="AU53" s="3">
        <f t="shared" ref="AU53" si="53"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</sheetData>
  <sheetProtection formatCells="0" formatColumns="0" formatRows="0" sort="0" autoFilter="0"/>
  <autoFilter ref="A1:AY53" xr:uid="{869D9611-F0E3-4A7A-9239-9C1FA0F0C8DA}"/>
  <phoneticPr fontId="8" type="noConversion"/>
  <dataValidations count="3">
    <dataValidation type="list" allowBlank="1" showInputMessage="1" showErrorMessage="1" sqref="C2:E12 K2:K12 K16:K1048195 C16:E1048195" xr:uid="{833F6030-824F-4AAE-BA3C-131D886541AF}">
      <formula1>shippername</formula1>
    </dataValidation>
    <dataValidation type="list" allowBlank="1" showInputMessage="1" showErrorMessage="1" sqref="J3:J10 H54:K1048195 C2:E1048195 I2:I53 J12:J53 K2:K53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162</v>
      </c>
      <c r="C2" t="s">
        <v>163</v>
      </c>
      <c r="D2" t="s">
        <v>133</v>
      </c>
      <c r="E2" t="s">
        <v>164</v>
      </c>
    </row>
    <row r="3" spans="2:5" x14ac:dyDescent="0.25">
      <c r="B3" t="s">
        <v>165</v>
      </c>
      <c r="C3" t="s">
        <v>166</v>
      </c>
      <c r="D3" t="s">
        <v>133</v>
      </c>
      <c r="E3" t="s">
        <v>167</v>
      </c>
    </row>
    <row r="5" spans="2:5" x14ac:dyDescent="0.25">
      <c r="B5" t="s">
        <v>168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2026-05-12T08:59:22Z</dcterms:modified>
</cp:coreProperties>
</file>