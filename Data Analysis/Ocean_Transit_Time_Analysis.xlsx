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MEDOGALVEZJorgeLui\Python Projects\Data Analysis\"/>
    </mc:Choice>
  </mc:AlternateContent>
  <xr:revisionPtr revIDLastSave="0" documentId="13_ncr:1_{43EE8AFB-DC8E-4759-9EF6-6A6921098157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Raw Data" sheetId="1" r:id="rId1"/>
    <sheet name="All Flows" sheetId="2" r:id="rId2"/>
    <sheet name="Selected Flow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3" l="1"/>
  <c r="T4" i="3"/>
  <c r="T5" i="3"/>
  <c r="T6" i="3"/>
  <c r="T7" i="3"/>
  <c r="T8" i="3"/>
  <c r="T9" i="3"/>
  <c r="T10" i="3"/>
  <c r="T2" i="3"/>
  <c r="G10" i="3"/>
  <c r="G9" i="3"/>
  <c r="G8" i="3"/>
  <c r="G7" i="3"/>
  <c r="H7" i="3" s="1"/>
  <c r="G6" i="3"/>
  <c r="G5" i="3"/>
  <c r="G4" i="3"/>
  <c r="H4" i="3" s="1"/>
  <c r="G3" i="3"/>
  <c r="G2" i="3"/>
  <c r="S134" i="2"/>
  <c r="H134" i="2"/>
  <c r="G134" i="2"/>
  <c r="G133" i="2"/>
  <c r="S133" i="2" s="1"/>
  <c r="S132" i="2"/>
  <c r="H132" i="2"/>
  <c r="G132" i="2"/>
  <c r="G131" i="2"/>
  <c r="S131" i="2" s="1"/>
  <c r="G130" i="2"/>
  <c r="S130" i="2" s="1"/>
  <c r="G129" i="2"/>
  <c r="S129" i="2" s="1"/>
  <c r="G128" i="2"/>
  <c r="H128" i="2" s="1"/>
  <c r="G127" i="2"/>
  <c r="S127" i="2" s="1"/>
  <c r="G126" i="2"/>
  <c r="S126" i="2" s="1"/>
  <c r="S125" i="2"/>
  <c r="H125" i="2"/>
  <c r="G125" i="2"/>
  <c r="G124" i="2"/>
  <c r="S124" i="2" s="1"/>
  <c r="G123" i="2"/>
  <c r="S123" i="2" s="1"/>
  <c r="S122" i="2"/>
  <c r="G122" i="2"/>
  <c r="H122" i="2" s="1"/>
  <c r="G121" i="2"/>
  <c r="H121" i="2" s="1"/>
  <c r="G120" i="2"/>
  <c r="S120" i="2" s="1"/>
  <c r="H119" i="2"/>
  <c r="G119" i="2"/>
  <c r="S119" i="2" s="1"/>
  <c r="S118" i="2"/>
  <c r="H118" i="2"/>
  <c r="G118" i="2"/>
  <c r="G117" i="2"/>
  <c r="S117" i="2" s="1"/>
  <c r="G116" i="2"/>
  <c r="S116" i="2" s="1"/>
  <c r="S115" i="2"/>
  <c r="H115" i="2"/>
  <c r="G115" i="2"/>
  <c r="G114" i="2"/>
  <c r="H114" i="2" s="1"/>
  <c r="G113" i="2"/>
  <c r="S112" i="2"/>
  <c r="H112" i="2"/>
  <c r="G112" i="2"/>
  <c r="S111" i="2"/>
  <c r="H111" i="2"/>
  <c r="G111" i="2"/>
  <c r="G110" i="2"/>
  <c r="S110" i="2" s="1"/>
  <c r="H109" i="2"/>
  <c r="G109" i="2"/>
  <c r="S109" i="2" s="1"/>
  <c r="S108" i="2"/>
  <c r="H108" i="2"/>
  <c r="G108" i="2"/>
  <c r="S107" i="2"/>
  <c r="G107" i="2"/>
  <c r="H107" i="2" s="1"/>
  <c r="G106" i="2"/>
  <c r="S105" i="2"/>
  <c r="H105" i="2"/>
  <c r="G105" i="2"/>
  <c r="S104" i="2"/>
  <c r="H104" i="2"/>
  <c r="G104" i="2"/>
  <c r="G103" i="2"/>
  <c r="S102" i="2"/>
  <c r="H102" i="2"/>
  <c r="G102" i="2"/>
  <c r="S101" i="2"/>
  <c r="H101" i="2"/>
  <c r="G101" i="2"/>
  <c r="S100" i="2"/>
  <c r="G100" i="2"/>
  <c r="H100" i="2" s="1"/>
  <c r="G99" i="2"/>
  <c r="S98" i="2"/>
  <c r="H98" i="2"/>
  <c r="G98" i="2"/>
  <c r="S97" i="2"/>
  <c r="H97" i="2"/>
  <c r="G97" i="2"/>
  <c r="G96" i="2"/>
  <c r="S95" i="2"/>
  <c r="H95" i="2"/>
  <c r="G95" i="2"/>
  <c r="S94" i="2"/>
  <c r="H94" i="2"/>
  <c r="G94" i="2"/>
  <c r="S93" i="2"/>
  <c r="G93" i="2"/>
  <c r="H93" i="2" s="1"/>
  <c r="S92" i="2"/>
  <c r="G92" i="2"/>
  <c r="H92" i="2" s="1"/>
  <c r="S91" i="2"/>
  <c r="G91" i="2"/>
  <c r="H91" i="2" s="1"/>
  <c r="S90" i="2"/>
  <c r="H90" i="2"/>
  <c r="G90" i="2"/>
  <c r="H89" i="2"/>
  <c r="G89" i="2"/>
  <c r="G88" i="2"/>
  <c r="H88" i="2" s="1"/>
  <c r="H87" i="2"/>
  <c r="G87" i="2"/>
  <c r="S87" i="2" s="1"/>
  <c r="S86" i="2"/>
  <c r="H86" i="2"/>
  <c r="G86" i="2"/>
  <c r="G85" i="2"/>
  <c r="H85" i="2" s="1"/>
  <c r="G84" i="2"/>
  <c r="S84" i="2" s="1"/>
  <c r="S83" i="2"/>
  <c r="H83" i="2"/>
  <c r="G83" i="2"/>
  <c r="G82" i="2"/>
  <c r="S82" i="2" s="1"/>
  <c r="H81" i="2"/>
  <c r="G81" i="2"/>
  <c r="S81" i="2" s="1"/>
  <c r="S80" i="2"/>
  <c r="H80" i="2"/>
  <c r="G80" i="2"/>
  <c r="G79" i="2"/>
  <c r="G78" i="2"/>
  <c r="S78" i="2" s="1"/>
  <c r="G77" i="2"/>
  <c r="S77" i="2" s="1"/>
  <c r="S76" i="2"/>
  <c r="H76" i="2"/>
  <c r="G76" i="2"/>
  <c r="S75" i="2"/>
  <c r="H75" i="2"/>
  <c r="G75" i="2"/>
  <c r="H74" i="2"/>
  <c r="G74" i="2"/>
  <c r="S74" i="2" s="1"/>
  <c r="G73" i="2"/>
  <c r="S73" i="2" s="1"/>
  <c r="G72" i="2"/>
  <c r="H71" i="2"/>
  <c r="G71" i="2"/>
  <c r="S71" i="2" s="1"/>
  <c r="S70" i="2"/>
  <c r="G70" i="2"/>
  <c r="H70" i="2" s="1"/>
  <c r="S69" i="2"/>
  <c r="G69" i="2"/>
  <c r="S68" i="2"/>
  <c r="H68" i="2"/>
  <c r="G68" i="2"/>
  <c r="S67" i="2"/>
  <c r="H67" i="2"/>
  <c r="G67" i="2"/>
  <c r="H66" i="2"/>
  <c r="G66" i="2"/>
  <c r="S66" i="2" s="1"/>
  <c r="H65" i="2"/>
  <c r="G65" i="2"/>
  <c r="S65" i="2" s="1"/>
  <c r="S64" i="2"/>
  <c r="H64" i="2"/>
  <c r="G64" i="2"/>
  <c r="S63" i="2"/>
  <c r="H63" i="2"/>
  <c r="G63" i="2"/>
  <c r="S62" i="2"/>
  <c r="G62" i="2"/>
  <c r="S61" i="2"/>
  <c r="H61" i="2"/>
  <c r="G61" i="2"/>
  <c r="S60" i="2"/>
  <c r="H60" i="2"/>
  <c r="G60" i="2"/>
  <c r="S59" i="2"/>
  <c r="H59" i="2"/>
  <c r="G59" i="2"/>
  <c r="H58" i="2"/>
  <c r="G58" i="2"/>
  <c r="S58" i="2" s="1"/>
  <c r="G57" i="2"/>
  <c r="S56" i="2"/>
  <c r="H56" i="2"/>
  <c r="G56" i="2"/>
  <c r="S55" i="2"/>
  <c r="G55" i="2"/>
  <c r="S54" i="2"/>
  <c r="H54" i="2"/>
  <c r="G54" i="2"/>
  <c r="S53" i="2"/>
  <c r="H53" i="2"/>
  <c r="G53" i="2"/>
  <c r="S52" i="2"/>
  <c r="H52" i="2"/>
  <c r="G52" i="2"/>
  <c r="H51" i="2"/>
  <c r="G51" i="2"/>
  <c r="S51" i="2" s="1"/>
  <c r="S50" i="2"/>
  <c r="G50" i="2"/>
  <c r="S49" i="2"/>
  <c r="H49" i="2"/>
  <c r="G49" i="2"/>
  <c r="S48" i="2"/>
  <c r="G48" i="2"/>
  <c r="S47" i="2"/>
  <c r="H47" i="2"/>
  <c r="G47" i="2"/>
  <c r="S46" i="2"/>
  <c r="H46" i="2"/>
  <c r="G46" i="2"/>
  <c r="S45" i="2"/>
  <c r="H45" i="2"/>
  <c r="G45" i="2"/>
  <c r="S44" i="2"/>
  <c r="H44" i="2"/>
  <c r="G44" i="2"/>
  <c r="S43" i="2"/>
  <c r="H43" i="2"/>
  <c r="G43" i="2"/>
  <c r="S42" i="2"/>
  <c r="H42" i="2"/>
  <c r="G42" i="2"/>
  <c r="S41" i="2"/>
  <c r="H41" i="2"/>
  <c r="G41" i="2"/>
  <c r="S40" i="2"/>
  <c r="H40" i="2"/>
  <c r="G40" i="2"/>
  <c r="G39" i="2"/>
  <c r="H39" i="2" s="1"/>
  <c r="S38" i="2"/>
  <c r="H38" i="2"/>
  <c r="G38" i="2"/>
  <c r="H37" i="2"/>
  <c r="G37" i="2"/>
  <c r="S37" i="2" s="1"/>
  <c r="H36" i="2"/>
  <c r="G36" i="2"/>
  <c r="S36" i="2" s="1"/>
  <c r="S35" i="2"/>
  <c r="H35" i="2"/>
  <c r="G35" i="2"/>
  <c r="H34" i="2"/>
  <c r="G34" i="2"/>
  <c r="S34" i="2" s="1"/>
  <c r="S33" i="2"/>
  <c r="H33" i="2"/>
  <c r="G33" i="2"/>
  <c r="G32" i="2"/>
  <c r="H32" i="2" s="1"/>
  <c r="S31" i="2"/>
  <c r="H31" i="2"/>
  <c r="G31" i="2"/>
  <c r="G30" i="2"/>
  <c r="S30" i="2" s="1"/>
  <c r="H29" i="2"/>
  <c r="G29" i="2"/>
  <c r="S28" i="2"/>
  <c r="H28" i="2"/>
  <c r="G28" i="2"/>
  <c r="S27" i="2"/>
  <c r="H27" i="2"/>
  <c r="G27" i="2"/>
  <c r="S26" i="2"/>
  <c r="H26" i="2"/>
  <c r="G26" i="2"/>
  <c r="G25" i="2"/>
  <c r="S25" i="2" s="1"/>
  <c r="S24" i="2"/>
  <c r="H24" i="2"/>
  <c r="G24" i="2"/>
  <c r="G23" i="2"/>
  <c r="S23" i="2" s="1"/>
  <c r="G22" i="2"/>
  <c r="S22" i="2" s="1"/>
  <c r="S21" i="2"/>
  <c r="N21" i="2" a="1"/>
  <c r="N21" i="2" s="1"/>
  <c r="H21" i="2"/>
  <c r="G21" i="2"/>
  <c r="S20" i="2"/>
  <c r="H20" i="2"/>
  <c r="G20" i="2"/>
  <c r="H19" i="2"/>
  <c r="G19" i="2"/>
  <c r="S19" i="2" s="1"/>
  <c r="M18" i="2" a="1"/>
  <c r="M18" i="2" s="1"/>
  <c r="H18" i="2"/>
  <c r="G18" i="2"/>
  <c r="S18" i="2" s="1"/>
  <c r="G17" i="2"/>
  <c r="S16" i="2"/>
  <c r="G16" i="2"/>
  <c r="G15" i="2"/>
  <c r="S14" i="2"/>
  <c r="H14" i="2"/>
  <c r="G14" i="2"/>
  <c r="S13" i="2"/>
  <c r="H13" i="2"/>
  <c r="G13" i="2"/>
  <c r="H12" i="2"/>
  <c r="G12" i="2"/>
  <c r="S12" i="2" s="1"/>
  <c r="O11" i="2" a="1"/>
  <c r="O11" i="2" s="1"/>
  <c r="H11" i="2"/>
  <c r="G11" i="2"/>
  <c r="S11" i="2" s="1"/>
  <c r="O10" i="2" a="1"/>
  <c r="O10" i="2" s="1"/>
  <c r="G10" i="2"/>
  <c r="H10" i="2" s="1"/>
  <c r="S9" i="2"/>
  <c r="G9" i="2"/>
  <c r="G8" i="2"/>
  <c r="S7" i="2"/>
  <c r="H7" i="2"/>
  <c r="G7" i="2"/>
  <c r="S6" i="2"/>
  <c r="H6" i="2"/>
  <c r="G6" i="2"/>
  <c r="K5" i="2" a="1"/>
  <c r="K5" i="2" s="1"/>
  <c r="G5" i="2"/>
  <c r="S4" i="2"/>
  <c r="M4" i="2" a="1"/>
  <c r="M4" i="2" s="1"/>
  <c r="G4" i="2"/>
  <c r="S3" i="2"/>
  <c r="K3" i="2" a="1"/>
  <c r="K3" i="2" s="1"/>
  <c r="J3" i="2" a="1"/>
  <c r="J3" i="2" s="1"/>
  <c r="H3" i="2"/>
  <c r="G3" i="2"/>
  <c r="S2" i="2"/>
  <c r="G2" i="2"/>
  <c r="E7383" i="1"/>
  <c r="E7382" i="1"/>
  <c r="E7381" i="1"/>
  <c r="E7380" i="1"/>
  <c r="E7379" i="1"/>
  <c r="E7378" i="1"/>
  <c r="E7377" i="1"/>
  <c r="E7376" i="1"/>
  <c r="E7375" i="1"/>
  <c r="E7374" i="1"/>
  <c r="E7373" i="1"/>
  <c r="E7372" i="1"/>
  <c r="E7371" i="1"/>
  <c r="E7370" i="1"/>
  <c r="E7369" i="1"/>
  <c r="E7368" i="1"/>
  <c r="E7367" i="1"/>
  <c r="E7366" i="1"/>
  <c r="E7365" i="1"/>
  <c r="E7364" i="1"/>
  <c r="E7363" i="1"/>
  <c r="E7362" i="1"/>
  <c r="E7361" i="1"/>
  <c r="E7360" i="1"/>
  <c r="E7359" i="1"/>
  <c r="E7358" i="1"/>
  <c r="E7357" i="1"/>
  <c r="E7356" i="1"/>
  <c r="E7355" i="1"/>
  <c r="E7354" i="1"/>
  <c r="E7353" i="1"/>
  <c r="E7352" i="1"/>
  <c r="E7351" i="1"/>
  <c r="E7350" i="1"/>
  <c r="E7349" i="1"/>
  <c r="E7348" i="1"/>
  <c r="E7347" i="1"/>
  <c r="E7346" i="1"/>
  <c r="E7345" i="1"/>
  <c r="E7344" i="1"/>
  <c r="E7343" i="1"/>
  <c r="E7342" i="1"/>
  <c r="E7341" i="1"/>
  <c r="E7340" i="1"/>
  <c r="E7339" i="1"/>
  <c r="E7338" i="1"/>
  <c r="E7337" i="1"/>
  <c r="E7336" i="1"/>
  <c r="E7335" i="1"/>
  <c r="E7334" i="1"/>
  <c r="E7333" i="1"/>
  <c r="E7332" i="1"/>
  <c r="E7331" i="1"/>
  <c r="E7330" i="1"/>
  <c r="E7329" i="1"/>
  <c r="E7328" i="1"/>
  <c r="E7327" i="1"/>
  <c r="E7326" i="1"/>
  <c r="E7325" i="1"/>
  <c r="E7324" i="1"/>
  <c r="E7323" i="1"/>
  <c r="E7322" i="1"/>
  <c r="E7321" i="1"/>
  <c r="E7320" i="1"/>
  <c r="E7319" i="1"/>
  <c r="E7318" i="1"/>
  <c r="E7317" i="1"/>
  <c r="E7316" i="1"/>
  <c r="E7315" i="1"/>
  <c r="E7314" i="1"/>
  <c r="E7313" i="1"/>
  <c r="E7312" i="1"/>
  <c r="E7311" i="1"/>
  <c r="E7310" i="1"/>
  <c r="E7309" i="1"/>
  <c r="E7308" i="1"/>
  <c r="E7307" i="1"/>
  <c r="E7306" i="1"/>
  <c r="E7305" i="1"/>
  <c r="E7304" i="1"/>
  <c r="E7303" i="1"/>
  <c r="E7302" i="1"/>
  <c r="E7301" i="1"/>
  <c r="E7300" i="1"/>
  <c r="E7299" i="1"/>
  <c r="E7298" i="1"/>
  <c r="E7297" i="1"/>
  <c r="E7296" i="1"/>
  <c r="E7295" i="1"/>
  <c r="E7294" i="1"/>
  <c r="E7293" i="1"/>
  <c r="E7292" i="1"/>
  <c r="E7291" i="1"/>
  <c r="E7290" i="1"/>
  <c r="E7289" i="1"/>
  <c r="E7288" i="1"/>
  <c r="E7287" i="1"/>
  <c r="E7286" i="1"/>
  <c r="E7285" i="1"/>
  <c r="E7284" i="1"/>
  <c r="E7283" i="1"/>
  <c r="E7282" i="1"/>
  <c r="E7281" i="1"/>
  <c r="E7280" i="1"/>
  <c r="E7279" i="1"/>
  <c r="E7278" i="1"/>
  <c r="E7277" i="1"/>
  <c r="E7276" i="1"/>
  <c r="E7275" i="1"/>
  <c r="E7274" i="1"/>
  <c r="E7273" i="1"/>
  <c r="E7272" i="1"/>
  <c r="E7271" i="1"/>
  <c r="E7270" i="1"/>
  <c r="E7269" i="1"/>
  <c r="E7268" i="1"/>
  <c r="E7267" i="1"/>
  <c r="E7266" i="1"/>
  <c r="E7265" i="1"/>
  <c r="E7264" i="1"/>
  <c r="E7263" i="1"/>
  <c r="E7262" i="1"/>
  <c r="E7261" i="1"/>
  <c r="E7260" i="1"/>
  <c r="E7259" i="1"/>
  <c r="E7258" i="1"/>
  <c r="E7257" i="1"/>
  <c r="E7256" i="1"/>
  <c r="E7255" i="1"/>
  <c r="E7254" i="1"/>
  <c r="E7253" i="1"/>
  <c r="E7252" i="1"/>
  <c r="E7251" i="1"/>
  <c r="E7250" i="1"/>
  <c r="E7249" i="1"/>
  <c r="E7248" i="1"/>
  <c r="E7247" i="1"/>
  <c r="E7246" i="1"/>
  <c r="E7245" i="1"/>
  <c r="E7244" i="1"/>
  <c r="E7243" i="1"/>
  <c r="E7242" i="1"/>
  <c r="E7241" i="1"/>
  <c r="E7240" i="1"/>
  <c r="E7239" i="1"/>
  <c r="E7238" i="1"/>
  <c r="E7237" i="1"/>
  <c r="E7236" i="1"/>
  <c r="E7235" i="1"/>
  <c r="E7234" i="1"/>
  <c r="E7233" i="1"/>
  <c r="E7232" i="1"/>
  <c r="E7231" i="1"/>
  <c r="E7230" i="1"/>
  <c r="E7229" i="1"/>
  <c r="E7228" i="1"/>
  <c r="E7227" i="1"/>
  <c r="E7226" i="1"/>
  <c r="E7225" i="1"/>
  <c r="E7224" i="1"/>
  <c r="E7223" i="1"/>
  <c r="E7222" i="1"/>
  <c r="E7221" i="1"/>
  <c r="E7220" i="1"/>
  <c r="E7219" i="1"/>
  <c r="E7218" i="1"/>
  <c r="E7217" i="1"/>
  <c r="E7216" i="1"/>
  <c r="E7215" i="1"/>
  <c r="E7214" i="1"/>
  <c r="E7213" i="1"/>
  <c r="E7212" i="1"/>
  <c r="E7211" i="1"/>
  <c r="E7210" i="1"/>
  <c r="E7209" i="1"/>
  <c r="E7208" i="1"/>
  <c r="E7207" i="1"/>
  <c r="E7206" i="1"/>
  <c r="E7205" i="1"/>
  <c r="E7204" i="1"/>
  <c r="E7203" i="1"/>
  <c r="E7202" i="1"/>
  <c r="E7201" i="1"/>
  <c r="E7200" i="1"/>
  <c r="E7199" i="1"/>
  <c r="E7198" i="1"/>
  <c r="E7197" i="1"/>
  <c r="E7196" i="1"/>
  <c r="E7195" i="1"/>
  <c r="E7194" i="1"/>
  <c r="E7193" i="1"/>
  <c r="E7192" i="1"/>
  <c r="E7191" i="1"/>
  <c r="E7190" i="1"/>
  <c r="E7189" i="1"/>
  <c r="E7188" i="1"/>
  <c r="E7187" i="1"/>
  <c r="E7186" i="1"/>
  <c r="E7185" i="1"/>
  <c r="E7184" i="1"/>
  <c r="E7183" i="1"/>
  <c r="E7182" i="1"/>
  <c r="E7181" i="1"/>
  <c r="E7180" i="1"/>
  <c r="E7179" i="1"/>
  <c r="E7178" i="1"/>
  <c r="E7177" i="1"/>
  <c r="E7176" i="1"/>
  <c r="E7175" i="1"/>
  <c r="E7174" i="1"/>
  <c r="E7173" i="1"/>
  <c r="E7172" i="1"/>
  <c r="E7171" i="1"/>
  <c r="E7170" i="1"/>
  <c r="E7169" i="1"/>
  <c r="E7168" i="1"/>
  <c r="E7167" i="1"/>
  <c r="E7166" i="1"/>
  <c r="E7165" i="1"/>
  <c r="E7164" i="1"/>
  <c r="E7163" i="1"/>
  <c r="E7162" i="1"/>
  <c r="E7161" i="1"/>
  <c r="E7160" i="1"/>
  <c r="E7159" i="1"/>
  <c r="E7158" i="1"/>
  <c r="E7157" i="1"/>
  <c r="E7156" i="1"/>
  <c r="E7155" i="1"/>
  <c r="E7154" i="1"/>
  <c r="E7153" i="1"/>
  <c r="E7152" i="1"/>
  <c r="E7151" i="1"/>
  <c r="E7150" i="1"/>
  <c r="E7149" i="1"/>
  <c r="E7148" i="1"/>
  <c r="E7147" i="1"/>
  <c r="E7146" i="1"/>
  <c r="E7145" i="1"/>
  <c r="E7144" i="1"/>
  <c r="E7143" i="1"/>
  <c r="E7142" i="1"/>
  <c r="E7141" i="1"/>
  <c r="E7140" i="1"/>
  <c r="E7139" i="1"/>
  <c r="E7138" i="1"/>
  <c r="E7137" i="1"/>
  <c r="E7136" i="1"/>
  <c r="E7135" i="1"/>
  <c r="E7134" i="1"/>
  <c r="E7133" i="1"/>
  <c r="E7132" i="1"/>
  <c r="E7131" i="1"/>
  <c r="E7130" i="1"/>
  <c r="E7129" i="1"/>
  <c r="E7128" i="1"/>
  <c r="E7127" i="1"/>
  <c r="E7126" i="1"/>
  <c r="E7125" i="1"/>
  <c r="E7124" i="1"/>
  <c r="E7123" i="1"/>
  <c r="E7122" i="1"/>
  <c r="E7121" i="1"/>
  <c r="E7120" i="1"/>
  <c r="E7119" i="1"/>
  <c r="E7118" i="1"/>
  <c r="E7117" i="1"/>
  <c r="E7116" i="1"/>
  <c r="E7115" i="1"/>
  <c r="E7114" i="1"/>
  <c r="E7113" i="1"/>
  <c r="E7112" i="1"/>
  <c r="E7111" i="1"/>
  <c r="E7110" i="1"/>
  <c r="E7109" i="1"/>
  <c r="E7108" i="1"/>
  <c r="E7107" i="1"/>
  <c r="E7106" i="1"/>
  <c r="E7105" i="1"/>
  <c r="E7104" i="1"/>
  <c r="E7103" i="1"/>
  <c r="E7102" i="1"/>
  <c r="E7101" i="1"/>
  <c r="E7100" i="1"/>
  <c r="E7099" i="1"/>
  <c r="E7098" i="1"/>
  <c r="E7097" i="1"/>
  <c r="E7096" i="1"/>
  <c r="E7095" i="1"/>
  <c r="E7094" i="1"/>
  <c r="E7093" i="1"/>
  <c r="E7092" i="1"/>
  <c r="E7091" i="1"/>
  <c r="E7090" i="1"/>
  <c r="E7089" i="1"/>
  <c r="E7088" i="1"/>
  <c r="E7087" i="1"/>
  <c r="E7086" i="1"/>
  <c r="E7085" i="1"/>
  <c r="E7084" i="1"/>
  <c r="E7083" i="1"/>
  <c r="E7082" i="1"/>
  <c r="E7081" i="1"/>
  <c r="E7080" i="1"/>
  <c r="E7079" i="1"/>
  <c r="E7078" i="1"/>
  <c r="E7077" i="1"/>
  <c r="E7076" i="1"/>
  <c r="E7075" i="1"/>
  <c r="E7074" i="1"/>
  <c r="E7073" i="1"/>
  <c r="E7072" i="1"/>
  <c r="E7071" i="1"/>
  <c r="E7070" i="1"/>
  <c r="E7069" i="1"/>
  <c r="E7068" i="1"/>
  <c r="E7067" i="1"/>
  <c r="E7066" i="1"/>
  <c r="E7065" i="1"/>
  <c r="E7064" i="1"/>
  <c r="E7063" i="1"/>
  <c r="E7062" i="1"/>
  <c r="E7061" i="1"/>
  <c r="E7060" i="1"/>
  <c r="E7059" i="1"/>
  <c r="E7058" i="1"/>
  <c r="E7057" i="1"/>
  <c r="E7056" i="1"/>
  <c r="E7055" i="1"/>
  <c r="E7054" i="1"/>
  <c r="E7053" i="1"/>
  <c r="E7052" i="1"/>
  <c r="E7051" i="1"/>
  <c r="E7050" i="1"/>
  <c r="E7049" i="1"/>
  <c r="E7048" i="1"/>
  <c r="E7047" i="1"/>
  <c r="E7046" i="1"/>
  <c r="E7045" i="1"/>
  <c r="E7044" i="1"/>
  <c r="E7043" i="1"/>
  <c r="E7042" i="1"/>
  <c r="E7041" i="1"/>
  <c r="E7040" i="1"/>
  <c r="E7039" i="1"/>
  <c r="E7038" i="1"/>
  <c r="E7037" i="1"/>
  <c r="E7036" i="1"/>
  <c r="E7035" i="1"/>
  <c r="E7034" i="1"/>
  <c r="E7033" i="1"/>
  <c r="E7032" i="1"/>
  <c r="E7031" i="1"/>
  <c r="E7030" i="1"/>
  <c r="E7029" i="1"/>
  <c r="E7028" i="1"/>
  <c r="E7027" i="1"/>
  <c r="E7026" i="1"/>
  <c r="E7025" i="1"/>
  <c r="E7024" i="1"/>
  <c r="E7023" i="1"/>
  <c r="E7022" i="1"/>
  <c r="E7021" i="1"/>
  <c r="E7020" i="1"/>
  <c r="E7019" i="1"/>
  <c r="E7018" i="1"/>
  <c r="E7017" i="1"/>
  <c r="E7016" i="1"/>
  <c r="E7015" i="1"/>
  <c r="E7014" i="1"/>
  <c r="E7013" i="1"/>
  <c r="E7012" i="1"/>
  <c r="E7011" i="1"/>
  <c r="E7010" i="1"/>
  <c r="E7009" i="1"/>
  <c r="E7008" i="1"/>
  <c r="E7007" i="1"/>
  <c r="E7006" i="1"/>
  <c r="E7005" i="1"/>
  <c r="E7004" i="1"/>
  <c r="E7003" i="1"/>
  <c r="E7002" i="1"/>
  <c r="E7001" i="1"/>
  <c r="E7000" i="1"/>
  <c r="E6999" i="1"/>
  <c r="E6998" i="1"/>
  <c r="E6997" i="1"/>
  <c r="E6996" i="1"/>
  <c r="E6995" i="1"/>
  <c r="E6994" i="1"/>
  <c r="E6993" i="1"/>
  <c r="E6992" i="1"/>
  <c r="E6991" i="1"/>
  <c r="E6990" i="1"/>
  <c r="E6989" i="1"/>
  <c r="E6988" i="1"/>
  <c r="E6987" i="1"/>
  <c r="E6986" i="1"/>
  <c r="E6985" i="1"/>
  <c r="E6984" i="1"/>
  <c r="E6983" i="1"/>
  <c r="E6982" i="1"/>
  <c r="E6981" i="1"/>
  <c r="E6980" i="1"/>
  <c r="E6979" i="1"/>
  <c r="E6978" i="1"/>
  <c r="E6977" i="1"/>
  <c r="E6976" i="1"/>
  <c r="E6975" i="1"/>
  <c r="E6974" i="1"/>
  <c r="E6973" i="1"/>
  <c r="E6972" i="1"/>
  <c r="E6971" i="1"/>
  <c r="E6970" i="1"/>
  <c r="E6969" i="1"/>
  <c r="E6968" i="1"/>
  <c r="E6967" i="1"/>
  <c r="E6966" i="1"/>
  <c r="E6965" i="1"/>
  <c r="E6964" i="1"/>
  <c r="E6963" i="1"/>
  <c r="E6962" i="1"/>
  <c r="E6961" i="1"/>
  <c r="E6960" i="1"/>
  <c r="E6959" i="1"/>
  <c r="E6958" i="1"/>
  <c r="E6957" i="1"/>
  <c r="E6956" i="1"/>
  <c r="E6955" i="1"/>
  <c r="E6954" i="1"/>
  <c r="E6953" i="1"/>
  <c r="E6952" i="1"/>
  <c r="E6951" i="1"/>
  <c r="E6950" i="1"/>
  <c r="E6949" i="1"/>
  <c r="E6948" i="1"/>
  <c r="E6947" i="1"/>
  <c r="E6946" i="1"/>
  <c r="E6945" i="1"/>
  <c r="E6944" i="1"/>
  <c r="E6943" i="1"/>
  <c r="E6942" i="1"/>
  <c r="E6941" i="1"/>
  <c r="E6940" i="1"/>
  <c r="E6939" i="1"/>
  <c r="E6938" i="1"/>
  <c r="E6937" i="1"/>
  <c r="E6936" i="1"/>
  <c r="E6935" i="1"/>
  <c r="E6934" i="1"/>
  <c r="E6933" i="1"/>
  <c r="E6932" i="1"/>
  <c r="E6931" i="1"/>
  <c r="E6930" i="1"/>
  <c r="E6929" i="1"/>
  <c r="E6928" i="1"/>
  <c r="E6927" i="1"/>
  <c r="E6926" i="1"/>
  <c r="E6925" i="1"/>
  <c r="E6924" i="1"/>
  <c r="E6923" i="1"/>
  <c r="E6922" i="1"/>
  <c r="E6921" i="1"/>
  <c r="E6920" i="1"/>
  <c r="E6919" i="1"/>
  <c r="E6918" i="1"/>
  <c r="E6917" i="1"/>
  <c r="E6916" i="1"/>
  <c r="E6915" i="1"/>
  <c r="E6914" i="1"/>
  <c r="E6913" i="1"/>
  <c r="E6912" i="1"/>
  <c r="E6911" i="1"/>
  <c r="E6910" i="1"/>
  <c r="E6909" i="1"/>
  <c r="E6908" i="1"/>
  <c r="E6907" i="1"/>
  <c r="E6906" i="1"/>
  <c r="E6905" i="1"/>
  <c r="E6904" i="1"/>
  <c r="E6903" i="1"/>
  <c r="E6902" i="1"/>
  <c r="E6901" i="1"/>
  <c r="E6900" i="1"/>
  <c r="E6899" i="1"/>
  <c r="E6898" i="1"/>
  <c r="E6897" i="1"/>
  <c r="E6896" i="1"/>
  <c r="E6895" i="1"/>
  <c r="E6894" i="1"/>
  <c r="E6893" i="1"/>
  <c r="E6892" i="1"/>
  <c r="E6891" i="1"/>
  <c r="E6890" i="1"/>
  <c r="E6889" i="1"/>
  <c r="E6888" i="1"/>
  <c r="E6887" i="1"/>
  <c r="E6886" i="1"/>
  <c r="E6885" i="1"/>
  <c r="E6884" i="1"/>
  <c r="E6883" i="1"/>
  <c r="E6882" i="1"/>
  <c r="E6881" i="1"/>
  <c r="E6880" i="1"/>
  <c r="E6879" i="1"/>
  <c r="E6878" i="1"/>
  <c r="E6877" i="1"/>
  <c r="E6876" i="1"/>
  <c r="E6875" i="1"/>
  <c r="E6874" i="1"/>
  <c r="E6873" i="1"/>
  <c r="E6872" i="1"/>
  <c r="E6871" i="1"/>
  <c r="E6870" i="1"/>
  <c r="E6869" i="1"/>
  <c r="E6868" i="1"/>
  <c r="E6867" i="1"/>
  <c r="E6866" i="1"/>
  <c r="E6865" i="1"/>
  <c r="E6864" i="1"/>
  <c r="E6863" i="1"/>
  <c r="E6862" i="1"/>
  <c r="E6861" i="1"/>
  <c r="E6860" i="1"/>
  <c r="E6859" i="1"/>
  <c r="E6858" i="1"/>
  <c r="E6857" i="1"/>
  <c r="E6856" i="1"/>
  <c r="E6855" i="1"/>
  <c r="E6854" i="1"/>
  <c r="E6853" i="1"/>
  <c r="E6852" i="1"/>
  <c r="E6851" i="1"/>
  <c r="E6850" i="1"/>
  <c r="E6849" i="1"/>
  <c r="E6848" i="1"/>
  <c r="E6847" i="1"/>
  <c r="E6846" i="1"/>
  <c r="E6845" i="1"/>
  <c r="E6844" i="1"/>
  <c r="E6843" i="1"/>
  <c r="E6842" i="1"/>
  <c r="E6841" i="1"/>
  <c r="E6840" i="1"/>
  <c r="E6839" i="1"/>
  <c r="E6838" i="1"/>
  <c r="E6837" i="1"/>
  <c r="E6836" i="1"/>
  <c r="E6835" i="1"/>
  <c r="E6834" i="1"/>
  <c r="E6833" i="1"/>
  <c r="E6832" i="1"/>
  <c r="E6831" i="1"/>
  <c r="E6830" i="1"/>
  <c r="E6829" i="1"/>
  <c r="E6828" i="1"/>
  <c r="E6827" i="1"/>
  <c r="E6826" i="1"/>
  <c r="E6825" i="1"/>
  <c r="E6824" i="1"/>
  <c r="E6823" i="1"/>
  <c r="E6822" i="1"/>
  <c r="E6821" i="1"/>
  <c r="E6820" i="1"/>
  <c r="E6819" i="1"/>
  <c r="E6818" i="1"/>
  <c r="E6817" i="1"/>
  <c r="E6816" i="1"/>
  <c r="E6815" i="1"/>
  <c r="E6814" i="1"/>
  <c r="E6813" i="1"/>
  <c r="E6812" i="1"/>
  <c r="E6811" i="1"/>
  <c r="E6810" i="1"/>
  <c r="E6809" i="1"/>
  <c r="E6808" i="1"/>
  <c r="E6807" i="1"/>
  <c r="E6806" i="1"/>
  <c r="E6805" i="1"/>
  <c r="E6804" i="1"/>
  <c r="E6803" i="1"/>
  <c r="E6802" i="1"/>
  <c r="E6801" i="1"/>
  <c r="E6800" i="1"/>
  <c r="E6799" i="1"/>
  <c r="E6798" i="1"/>
  <c r="E6797" i="1"/>
  <c r="E6796" i="1"/>
  <c r="E6795" i="1"/>
  <c r="E6794" i="1"/>
  <c r="E6793" i="1"/>
  <c r="E6792" i="1"/>
  <c r="E6791" i="1"/>
  <c r="E6790" i="1"/>
  <c r="E6789" i="1"/>
  <c r="E6788" i="1"/>
  <c r="E6787" i="1"/>
  <c r="E6786" i="1"/>
  <c r="E6785" i="1"/>
  <c r="E6784" i="1"/>
  <c r="E6783" i="1"/>
  <c r="E6782" i="1"/>
  <c r="E6781" i="1"/>
  <c r="E6780" i="1"/>
  <c r="E6779" i="1"/>
  <c r="E6778" i="1"/>
  <c r="E6777" i="1"/>
  <c r="E6776" i="1"/>
  <c r="E6775" i="1"/>
  <c r="E6774" i="1"/>
  <c r="E6773" i="1"/>
  <c r="E6772" i="1"/>
  <c r="E6771" i="1"/>
  <c r="E6770" i="1"/>
  <c r="E6769" i="1"/>
  <c r="E6768" i="1"/>
  <c r="E6767" i="1"/>
  <c r="E6766" i="1"/>
  <c r="E6765" i="1"/>
  <c r="E6764" i="1"/>
  <c r="E6763" i="1"/>
  <c r="E6762" i="1"/>
  <c r="E6761" i="1"/>
  <c r="E6760" i="1"/>
  <c r="E6759" i="1"/>
  <c r="E6758" i="1"/>
  <c r="E6757" i="1"/>
  <c r="E6756" i="1"/>
  <c r="E6755" i="1"/>
  <c r="E6754" i="1"/>
  <c r="E6753" i="1"/>
  <c r="E6752" i="1"/>
  <c r="E6751" i="1"/>
  <c r="E6750" i="1"/>
  <c r="E6749" i="1"/>
  <c r="E6748" i="1"/>
  <c r="E6747" i="1"/>
  <c r="E6746" i="1"/>
  <c r="E6745" i="1"/>
  <c r="E6744" i="1"/>
  <c r="E6743" i="1"/>
  <c r="E6742" i="1"/>
  <c r="E6741" i="1"/>
  <c r="E6740" i="1"/>
  <c r="E6739" i="1"/>
  <c r="E6738" i="1"/>
  <c r="E6737" i="1"/>
  <c r="E6736" i="1"/>
  <c r="E6735" i="1"/>
  <c r="E6734" i="1"/>
  <c r="E6733" i="1"/>
  <c r="E6732" i="1"/>
  <c r="E6731" i="1"/>
  <c r="E6730" i="1"/>
  <c r="E6729" i="1"/>
  <c r="E6728" i="1"/>
  <c r="E6727" i="1"/>
  <c r="E6726" i="1"/>
  <c r="E6725" i="1"/>
  <c r="E6724" i="1"/>
  <c r="E6723" i="1"/>
  <c r="E6722" i="1"/>
  <c r="E6721" i="1"/>
  <c r="E6720" i="1"/>
  <c r="E6719" i="1"/>
  <c r="E6718" i="1"/>
  <c r="E6717" i="1"/>
  <c r="E6716" i="1"/>
  <c r="E6715" i="1"/>
  <c r="E6714" i="1"/>
  <c r="E6713" i="1"/>
  <c r="E6712" i="1"/>
  <c r="E6711" i="1"/>
  <c r="E6710" i="1"/>
  <c r="E6709" i="1"/>
  <c r="E6708" i="1"/>
  <c r="E6707" i="1"/>
  <c r="E6706" i="1"/>
  <c r="E6705" i="1"/>
  <c r="E6704" i="1"/>
  <c r="E6703" i="1"/>
  <c r="E6702" i="1"/>
  <c r="E6701" i="1"/>
  <c r="E6700" i="1"/>
  <c r="E6699" i="1"/>
  <c r="E6698" i="1"/>
  <c r="E6697" i="1"/>
  <c r="E6696" i="1"/>
  <c r="E6695" i="1"/>
  <c r="E6694" i="1"/>
  <c r="E6693" i="1"/>
  <c r="E6692" i="1"/>
  <c r="E6691" i="1"/>
  <c r="E6690" i="1"/>
  <c r="E6689" i="1"/>
  <c r="E6688" i="1"/>
  <c r="E6687" i="1"/>
  <c r="E6686" i="1"/>
  <c r="E6685" i="1"/>
  <c r="E6684" i="1"/>
  <c r="E6683" i="1"/>
  <c r="E6682" i="1"/>
  <c r="E6681" i="1"/>
  <c r="E6680" i="1"/>
  <c r="E6679" i="1"/>
  <c r="E6678" i="1"/>
  <c r="E6677" i="1"/>
  <c r="E6676" i="1"/>
  <c r="E6675" i="1"/>
  <c r="E6674" i="1"/>
  <c r="E6673" i="1"/>
  <c r="E6672" i="1"/>
  <c r="E6671" i="1"/>
  <c r="E6670" i="1"/>
  <c r="E6669" i="1"/>
  <c r="E6668" i="1"/>
  <c r="E6667" i="1"/>
  <c r="E6666" i="1"/>
  <c r="E6665" i="1"/>
  <c r="E6664" i="1"/>
  <c r="E6663" i="1"/>
  <c r="E6662" i="1"/>
  <c r="E6661" i="1"/>
  <c r="E6660" i="1"/>
  <c r="E6659" i="1"/>
  <c r="E6658" i="1"/>
  <c r="E6657" i="1"/>
  <c r="E6656" i="1"/>
  <c r="E6655" i="1"/>
  <c r="E6654" i="1"/>
  <c r="E6653" i="1"/>
  <c r="E6652" i="1"/>
  <c r="E6651" i="1"/>
  <c r="E6650" i="1"/>
  <c r="E6649" i="1"/>
  <c r="E6648" i="1"/>
  <c r="E6647" i="1"/>
  <c r="E6646" i="1"/>
  <c r="E6645" i="1"/>
  <c r="E6644" i="1"/>
  <c r="E6643" i="1"/>
  <c r="E6642" i="1"/>
  <c r="E6641" i="1"/>
  <c r="E6640" i="1"/>
  <c r="E6639" i="1"/>
  <c r="E6638" i="1"/>
  <c r="E6637" i="1"/>
  <c r="E6636" i="1"/>
  <c r="E6635" i="1"/>
  <c r="E6634" i="1"/>
  <c r="E6633" i="1"/>
  <c r="E6632" i="1"/>
  <c r="E6631" i="1"/>
  <c r="E6630" i="1"/>
  <c r="E6629" i="1"/>
  <c r="E6628" i="1"/>
  <c r="E6627" i="1"/>
  <c r="E6626" i="1"/>
  <c r="E6625" i="1"/>
  <c r="E6624" i="1"/>
  <c r="E6623" i="1"/>
  <c r="E6622" i="1"/>
  <c r="E6621" i="1"/>
  <c r="E6620" i="1"/>
  <c r="E6619" i="1"/>
  <c r="E6618" i="1"/>
  <c r="E6617" i="1"/>
  <c r="E6616" i="1"/>
  <c r="E6615" i="1"/>
  <c r="E6614" i="1"/>
  <c r="E6613" i="1"/>
  <c r="E6612" i="1"/>
  <c r="E6611" i="1"/>
  <c r="E6610" i="1"/>
  <c r="E6609" i="1"/>
  <c r="E6608" i="1"/>
  <c r="E6607" i="1"/>
  <c r="E6606" i="1"/>
  <c r="E6605" i="1"/>
  <c r="E6604" i="1"/>
  <c r="E6603" i="1"/>
  <c r="E6602" i="1"/>
  <c r="E6601" i="1"/>
  <c r="E6600" i="1"/>
  <c r="E6599" i="1"/>
  <c r="E6598" i="1"/>
  <c r="E6597" i="1"/>
  <c r="E6596" i="1"/>
  <c r="E6595" i="1"/>
  <c r="E6594" i="1"/>
  <c r="E6593" i="1"/>
  <c r="E6592" i="1"/>
  <c r="E6591" i="1"/>
  <c r="E6590" i="1"/>
  <c r="E6589" i="1"/>
  <c r="E6588" i="1"/>
  <c r="E6587" i="1"/>
  <c r="E6586" i="1"/>
  <c r="E6585" i="1"/>
  <c r="E6584" i="1"/>
  <c r="E6583" i="1"/>
  <c r="E6582" i="1"/>
  <c r="E6581" i="1"/>
  <c r="E6580" i="1"/>
  <c r="E6579" i="1"/>
  <c r="E6578" i="1"/>
  <c r="E6577" i="1"/>
  <c r="E6576" i="1"/>
  <c r="E6575" i="1"/>
  <c r="E6574" i="1"/>
  <c r="E6573" i="1"/>
  <c r="E6572" i="1"/>
  <c r="E6571" i="1"/>
  <c r="E6570" i="1"/>
  <c r="E6569" i="1"/>
  <c r="E6568" i="1"/>
  <c r="E6567" i="1"/>
  <c r="E6566" i="1"/>
  <c r="E6565" i="1"/>
  <c r="E6564" i="1"/>
  <c r="E6563" i="1"/>
  <c r="E6562" i="1"/>
  <c r="E6561" i="1"/>
  <c r="E6560" i="1"/>
  <c r="E6559" i="1"/>
  <c r="E6558" i="1"/>
  <c r="E6557" i="1"/>
  <c r="E6556" i="1"/>
  <c r="E6555" i="1"/>
  <c r="E6554" i="1"/>
  <c r="E6553" i="1"/>
  <c r="E6552" i="1"/>
  <c r="E6551" i="1"/>
  <c r="E6550" i="1"/>
  <c r="E6549" i="1"/>
  <c r="E6548" i="1"/>
  <c r="E6547" i="1"/>
  <c r="E6546" i="1"/>
  <c r="E6545" i="1"/>
  <c r="E6544" i="1"/>
  <c r="E6543" i="1"/>
  <c r="E6542" i="1"/>
  <c r="E6541" i="1"/>
  <c r="E6540" i="1"/>
  <c r="E6539" i="1"/>
  <c r="E6538" i="1"/>
  <c r="E6537" i="1"/>
  <c r="E6536" i="1"/>
  <c r="E6535" i="1"/>
  <c r="E6534" i="1"/>
  <c r="E6533" i="1"/>
  <c r="E6532" i="1"/>
  <c r="E6531" i="1"/>
  <c r="E6530" i="1"/>
  <c r="E6529" i="1"/>
  <c r="E6528" i="1"/>
  <c r="E6527" i="1"/>
  <c r="E6526" i="1"/>
  <c r="E6525" i="1"/>
  <c r="E6524" i="1"/>
  <c r="E6523" i="1"/>
  <c r="E6522" i="1"/>
  <c r="E6521" i="1"/>
  <c r="E6520" i="1"/>
  <c r="E6519" i="1"/>
  <c r="E6518" i="1"/>
  <c r="E6517" i="1"/>
  <c r="E6516" i="1"/>
  <c r="E6515" i="1"/>
  <c r="E6514" i="1"/>
  <c r="E6513" i="1"/>
  <c r="E6512" i="1"/>
  <c r="E6511" i="1"/>
  <c r="E6510" i="1"/>
  <c r="E6509" i="1"/>
  <c r="E6508" i="1"/>
  <c r="E6507" i="1"/>
  <c r="E6506" i="1"/>
  <c r="E6505" i="1"/>
  <c r="E6504" i="1"/>
  <c r="E6503" i="1"/>
  <c r="E6502" i="1"/>
  <c r="E6501" i="1"/>
  <c r="E6500" i="1"/>
  <c r="E6499" i="1"/>
  <c r="E6498" i="1"/>
  <c r="E6497" i="1"/>
  <c r="E6496" i="1"/>
  <c r="E6495" i="1"/>
  <c r="E6494" i="1"/>
  <c r="E6493" i="1"/>
  <c r="E6492" i="1"/>
  <c r="E6491" i="1"/>
  <c r="E6490" i="1"/>
  <c r="E6489" i="1"/>
  <c r="E6488" i="1"/>
  <c r="E6487" i="1"/>
  <c r="E6486" i="1"/>
  <c r="E6485" i="1"/>
  <c r="E6484" i="1"/>
  <c r="E6483" i="1"/>
  <c r="E6482" i="1"/>
  <c r="E6481" i="1"/>
  <c r="E6480" i="1"/>
  <c r="E6479" i="1"/>
  <c r="E6478" i="1"/>
  <c r="E6477" i="1"/>
  <c r="E6476" i="1"/>
  <c r="E6475" i="1"/>
  <c r="E6474" i="1"/>
  <c r="E6473" i="1"/>
  <c r="E6472" i="1"/>
  <c r="I133" i="2" s="1"/>
  <c r="E6471" i="1"/>
  <c r="E6470" i="1"/>
  <c r="E6469" i="1"/>
  <c r="E6468" i="1"/>
  <c r="E6467" i="1"/>
  <c r="E6466" i="1"/>
  <c r="E6465" i="1"/>
  <c r="E6464" i="1"/>
  <c r="E6463" i="1"/>
  <c r="E6462" i="1"/>
  <c r="E6461" i="1"/>
  <c r="E6460" i="1"/>
  <c r="E6459" i="1"/>
  <c r="E6458" i="1"/>
  <c r="E6457" i="1"/>
  <c r="E6456" i="1"/>
  <c r="E6455" i="1"/>
  <c r="E6454" i="1"/>
  <c r="E6453" i="1"/>
  <c r="E6452" i="1"/>
  <c r="E6451" i="1"/>
  <c r="E6450" i="1"/>
  <c r="E6449" i="1"/>
  <c r="E6448" i="1"/>
  <c r="E6447" i="1"/>
  <c r="E6446" i="1"/>
  <c r="E6445" i="1"/>
  <c r="E6444" i="1"/>
  <c r="E6443" i="1"/>
  <c r="E6442" i="1"/>
  <c r="E6441" i="1"/>
  <c r="E6440" i="1"/>
  <c r="E6439" i="1"/>
  <c r="E6438" i="1"/>
  <c r="E6437" i="1"/>
  <c r="E6436" i="1"/>
  <c r="E6435" i="1"/>
  <c r="E6434" i="1"/>
  <c r="E6433" i="1"/>
  <c r="E6432" i="1"/>
  <c r="E6431" i="1"/>
  <c r="E6430" i="1"/>
  <c r="E6429" i="1"/>
  <c r="E6428" i="1"/>
  <c r="E6427" i="1"/>
  <c r="E6426" i="1"/>
  <c r="E6425" i="1"/>
  <c r="E6424" i="1"/>
  <c r="E6423" i="1"/>
  <c r="E6422" i="1"/>
  <c r="E6421" i="1"/>
  <c r="E6420" i="1"/>
  <c r="E6419" i="1"/>
  <c r="E6418" i="1"/>
  <c r="E6417" i="1"/>
  <c r="E6416" i="1"/>
  <c r="E6415" i="1"/>
  <c r="E6414" i="1"/>
  <c r="E6413" i="1"/>
  <c r="E6412" i="1"/>
  <c r="E6411" i="1"/>
  <c r="E6410" i="1"/>
  <c r="E6409" i="1"/>
  <c r="E6408" i="1"/>
  <c r="E6407" i="1"/>
  <c r="E6406" i="1"/>
  <c r="E6405" i="1"/>
  <c r="E6404" i="1"/>
  <c r="E6403" i="1"/>
  <c r="E6402" i="1"/>
  <c r="E6401" i="1"/>
  <c r="E6400" i="1"/>
  <c r="E6399" i="1"/>
  <c r="E6398" i="1"/>
  <c r="E6397" i="1"/>
  <c r="E6396" i="1"/>
  <c r="E6395" i="1"/>
  <c r="E6394" i="1"/>
  <c r="E6393" i="1"/>
  <c r="E6392" i="1"/>
  <c r="E6391" i="1"/>
  <c r="E6390" i="1"/>
  <c r="E6389" i="1"/>
  <c r="E6388" i="1"/>
  <c r="E6387" i="1"/>
  <c r="E6386" i="1"/>
  <c r="E6385" i="1"/>
  <c r="E6384" i="1"/>
  <c r="E6383" i="1"/>
  <c r="E6382" i="1"/>
  <c r="E6381" i="1"/>
  <c r="E6380" i="1"/>
  <c r="E6379" i="1"/>
  <c r="E6378" i="1"/>
  <c r="E6377" i="1"/>
  <c r="E6376" i="1"/>
  <c r="E6375" i="1"/>
  <c r="E6374" i="1"/>
  <c r="E6373" i="1"/>
  <c r="E6372" i="1"/>
  <c r="E6371" i="1"/>
  <c r="E6370" i="1"/>
  <c r="E6369" i="1"/>
  <c r="E6368" i="1"/>
  <c r="E6367" i="1"/>
  <c r="E6366" i="1"/>
  <c r="E6365" i="1"/>
  <c r="E6364" i="1"/>
  <c r="E6363" i="1"/>
  <c r="E6362" i="1"/>
  <c r="E6361" i="1"/>
  <c r="E6360" i="1"/>
  <c r="E6359" i="1"/>
  <c r="E6358" i="1"/>
  <c r="E6357" i="1"/>
  <c r="E6356" i="1"/>
  <c r="E6355" i="1"/>
  <c r="E6354" i="1"/>
  <c r="E6353" i="1"/>
  <c r="E6352" i="1"/>
  <c r="E6351" i="1"/>
  <c r="E6350" i="1"/>
  <c r="E6349" i="1"/>
  <c r="E6348" i="1"/>
  <c r="E6347" i="1"/>
  <c r="E6346" i="1"/>
  <c r="E6345" i="1"/>
  <c r="E6344" i="1"/>
  <c r="E6343" i="1"/>
  <c r="E6342" i="1"/>
  <c r="E6341" i="1"/>
  <c r="E6340" i="1"/>
  <c r="E6339" i="1"/>
  <c r="E6338" i="1"/>
  <c r="E6337" i="1"/>
  <c r="E6336" i="1"/>
  <c r="E6335" i="1"/>
  <c r="E6334" i="1"/>
  <c r="E6333" i="1"/>
  <c r="E6332" i="1"/>
  <c r="E6331" i="1"/>
  <c r="E6330" i="1"/>
  <c r="E6329" i="1"/>
  <c r="E6328" i="1"/>
  <c r="E6327" i="1"/>
  <c r="E6326" i="1"/>
  <c r="E6325" i="1"/>
  <c r="E6324" i="1"/>
  <c r="E6323" i="1"/>
  <c r="E6322" i="1"/>
  <c r="E6321" i="1"/>
  <c r="E6320" i="1"/>
  <c r="E6319" i="1"/>
  <c r="E6318" i="1"/>
  <c r="E6317" i="1"/>
  <c r="E6316" i="1"/>
  <c r="E6315" i="1"/>
  <c r="E6314" i="1"/>
  <c r="E6313" i="1"/>
  <c r="E6312" i="1"/>
  <c r="E6311" i="1"/>
  <c r="E6310" i="1"/>
  <c r="E6309" i="1"/>
  <c r="E6308" i="1"/>
  <c r="E6307" i="1"/>
  <c r="E6306" i="1"/>
  <c r="E6305" i="1"/>
  <c r="E6304" i="1"/>
  <c r="E6303" i="1"/>
  <c r="E6302" i="1"/>
  <c r="E6301" i="1"/>
  <c r="E6300" i="1"/>
  <c r="E6299" i="1"/>
  <c r="E6298" i="1"/>
  <c r="E6297" i="1"/>
  <c r="E6296" i="1"/>
  <c r="E6295" i="1"/>
  <c r="E6294" i="1"/>
  <c r="E6293" i="1"/>
  <c r="E6292" i="1"/>
  <c r="E6291" i="1"/>
  <c r="E6290" i="1"/>
  <c r="E6289" i="1"/>
  <c r="E6288" i="1"/>
  <c r="E6287" i="1"/>
  <c r="E6286" i="1"/>
  <c r="E6285" i="1"/>
  <c r="E6284" i="1"/>
  <c r="E6283" i="1"/>
  <c r="E6282" i="1"/>
  <c r="E6281" i="1"/>
  <c r="E6280" i="1"/>
  <c r="E6279" i="1"/>
  <c r="E6278" i="1"/>
  <c r="E6277" i="1"/>
  <c r="E6276" i="1"/>
  <c r="E6275" i="1"/>
  <c r="E6274" i="1"/>
  <c r="E6273" i="1"/>
  <c r="E6272" i="1"/>
  <c r="E6271" i="1"/>
  <c r="E6270" i="1"/>
  <c r="E6269" i="1"/>
  <c r="E6268" i="1"/>
  <c r="E6267" i="1"/>
  <c r="E6266" i="1"/>
  <c r="E6265" i="1"/>
  <c r="E6264" i="1"/>
  <c r="E6263" i="1"/>
  <c r="E6262" i="1"/>
  <c r="E6261" i="1"/>
  <c r="E6260" i="1"/>
  <c r="E6259" i="1"/>
  <c r="E6258" i="1"/>
  <c r="E6257" i="1"/>
  <c r="E6256" i="1"/>
  <c r="E6255" i="1"/>
  <c r="E6254" i="1"/>
  <c r="E6253" i="1"/>
  <c r="E6252" i="1"/>
  <c r="E6251" i="1"/>
  <c r="E6250" i="1"/>
  <c r="E6249" i="1"/>
  <c r="E6248" i="1"/>
  <c r="E6247" i="1"/>
  <c r="E6246" i="1"/>
  <c r="E6245" i="1"/>
  <c r="E6244" i="1"/>
  <c r="E6243" i="1"/>
  <c r="E6242" i="1"/>
  <c r="E6241" i="1"/>
  <c r="E6240" i="1"/>
  <c r="E6239" i="1"/>
  <c r="E6238" i="1"/>
  <c r="E6237" i="1"/>
  <c r="E6236" i="1"/>
  <c r="E6235" i="1"/>
  <c r="E6234" i="1"/>
  <c r="E6233" i="1"/>
  <c r="E6232" i="1"/>
  <c r="E6231" i="1"/>
  <c r="E6230" i="1"/>
  <c r="E6229" i="1"/>
  <c r="E6228" i="1"/>
  <c r="E6227" i="1"/>
  <c r="E6226" i="1"/>
  <c r="E6225" i="1"/>
  <c r="E6224" i="1"/>
  <c r="E6223" i="1"/>
  <c r="E6222" i="1"/>
  <c r="E6221" i="1"/>
  <c r="E6220" i="1"/>
  <c r="E6219" i="1"/>
  <c r="E6218" i="1"/>
  <c r="E6217" i="1"/>
  <c r="E6216" i="1"/>
  <c r="E6215" i="1"/>
  <c r="E6214" i="1"/>
  <c r="E6213" i="1"/>
  <c r="E6212" i="1"/>
  <c r="E6211" i="1"/>
  <c r="E6210" i="1"/>
  <c r="E6209" i="1"/>
  <c r="E6208" i="1"/>
  <c r="E6207" i="1"/>
  <c r="E6206" i="1"/>
  <c r="E6205" i="1"/>
  <c r="E6204" i="1"/>
  <c r="E6203" i="1"/>
  <c r="E6202" i="1"/>
  <c r="E6201" i="1"/>
  <c r="E6200" i="1"/>
  <c r="E6199" i="1"/>
  <c r="E6198" i="1"/>
  <c r="E6197" i="1"/>
  <c r="E6196" i="1"/>
  <c r="E6195" i="1"/>
  <c r="E6194" i="1"/>
  <c r="E6193" i="1"/>
  <c r="E6192" i="1"/>
  <c r="E6191" i="1"/>
  <c r="E6190" i="1"/>
  <c r="E6189" i="1"/>
  <c r="E6188" i="1"/>
  <c r="E6187" i="1"/>
  <c r="E6186" i="1"/>
  <c r="E6185" i="1"/>
  <c r="E6184" i="1"/>
  <c r="E6183" i="1"/>
  <c r="E6182" i="1"/>
  <c r="E6181" i="1"/>
  <c r="E6180" i="1"/>
  <c r="E6179" i="1"/>
  <c r="E6178" i="1"/>
  <c r="E6177" i="1"/>
  <c r="E6176" i="1"/>
  <c r="E6175" i="1"/>
  <c r="E6174" i="1"/>
  <c r="E6173" i="1"/>
  <c r="E6172" i="1"/>
  <c r="E6171" i="1"/>
  <c r="E6170" i="1"/>
  <c r="E6169" i="1"/>
  <c r="E6168" i="1"/>
  <c r="E6167" i="1"/>
  <c r="E6166" i="1"/>
  <c r="E6165" i="1"/>
  <c r="E6164" i="1"/>
  <c r="E6163" i="1"/>
  <c r="E6162" i="1"/>
  <c r="E6161" i="1"/>
  <c r="E6160" i="1"/>
  <c r="E6159" i="1"/>
  <c r="E6158" i="1"/>
  <c r="E6157" i="1"/>
  <c r="E6156" i="1"/>
  <c r="E6155" i="1"/>
  <c r="E6154" i="1"/>
  <c r="E6153" i="1"/>
  <c r="E6152" i="1"/>
  <c r="E6151" i="1"/>
  <c r="E6150" i="1"/>
  <c r="E6149" i="1"/>
  <c r="E6148" i="1"/>
  <c r="E6147" i="1"/>
  <c r="E6146" i="1"/>
  <c r="E6145" i="1"/>
  <c r="E6144" i="1"/>
  <c r="E6143" i="1"/>
  <c r="E6142" i="1"/>
  <c r="E6141" i="1"/>
  <c r="E6140" i="1"/>
  <c r="E6139" i="1"/>
  <c r="E6138" i="1"/>
  <c r="E6137" i="1"/>
  <c r="E6136" i="1"/>
  <c r="E6135" i="1"/>
  <c r="E6134" i="1"/>
  <c r="E6133" i="1"/>
  <c r="E6132" i="1"/>
  <c r="E6131" i="1"/>
  <c r="E6130" i="1"/>
  <c r="E6129" i="1"/>
  <c r="E6128" i="1"/>
  <c r="E6127" i="1"/>
  <c r="E6126" i="1"/>
  <c r="E6125" i="1"/>
  <c r="E6124" i="1"/>
  <c r="E6123" i="1"/>
  <c r="E6122" i="1"/>
  <c r="E6121" i="1"/>
  <c r="E6120" i="1"/>
  <c r="E6119" i="1"/>
  <c r="E6118" i="1"/>
  <c r="E6117" i="1"/>
  <c r="E6116" i="1"/>
  <c r="E6115" i="1"/>
  <c r="E6114" i="1"/>
  <c r="E6113" i="1"/>
  <c r="E6112" i="1"/>
  <c r="E6111" i="1"/>
  <c r="E6110" i="1"/>
  <c r="E6109" i="1"/>
  <c r="E6108" i="1"/>
  <c r="E6107" i="1"/>
  <c r="E6106" i="1"/>
  <c r="E6105" i="1"/>
  <c r="E6104" i="1"/>
  <c r="E6103" i="1"/>
  <c r="E6102" i="1"/>
  <c r="E6101" i="1"/>
  <c r="E6100" i="1"/>
  <c r="E6099" i="1"/>
  <c r="E6098" i="1"/>
  <c r="E6097" i="1"/>
  <c r="E6096" i="1"/>
  <c r="E6095" i="1"/>
  <c r="E6094" i="1"/>
  <c r="E6093" i="1"/>
  <c r="E6092" i="1"/>
  <c r="E6091" i="1"/>
  <c r="E6090" i="1"/>
  <c r="E6089" i="1"/>
  <c r="E6088" i="1"/>
  <c r="E6087" i="1"/>
  <c r="E6086" i="1"/>
  <c r="E6085" i="1"/>
  <c r="E6084" i="1"/>
  <c r="E6083" i="1"/>
  <c r="E6082" i="1"/>
  <c r="E6081" i="1"/>
  <c r="E6080" i="1"/>
  <c r="E6079" i="1"/>
  <c r="E6078" i="1"/>
  <c r="E6077" i="1"/>
  <c r="E6076" i="1"/>
  <c r="E6075" i="1"/>
  <c r="E6074" i="1"/>
  <c r="E6073" i="1"/>
  <c r="E6072" i="1"/>
  <c r="E6071" i="1"/>
  <c r="E6070" i="1"/>
  <c r="E6069" i="1"/>
  <c r="E6068" i="1"/>
  <c r="E6067" i="1"/>
  <c r="E6066" i="1"/>
  <c r="E6065" i="1"/>
  <c r="E6064" i="1"/>
  <c r="E6063" i="1"/>
  <c r="E6062" i="1"/>
  <c r="E6061" i="1"/>
  <c r="E6060" i="1"/>
  <c r="E6059" i="1"/>
  <c r="E6058" i="1"/>
  <c r="E6057" i="1"/>
  <c r="E6056" i="1"/>
  <c r="E6055" i="1"/>
  <c r="E6054" i="1"/>
  <c r="E6053" i="1"/>
  <c r="E6052" i="1"/>
  <c r="E6051" i="1"/>
  <c r="E6050" i="1"/>
  <c r="E6049" i="1"/>
  <c r="E6048" i="1"/>
  <c r="E6047" i="1"/>
  <c r="E6046" i="1"/>
  <c r="E6045" i="1"/>
  <c r="E6044" i="1"/>
  <c r="E6043" i="1"/>
  <c r="E6042" i="1"/>
  <c r="E6041" i="1"/>
  <c r="E6040" i="1"/>
  <c r="E6039" i="1"/>
  <c r="E6038" i="1"/>
  <c r="E6037" i="1"/>
  <c r="E6036" i="1"/>
  <c r="E6035" i="1"/>
  <c r="E6034" i="1"/>
  <c r="E6033" i="1"/>
  <c r="E6032" i="1"/>
  <c r="E6031" i="1"/>
  <c r="E6030" i="1"/>
  <c r="E6029" i="1"/>
  <c r="E6028" i="1"/>
  <c r="E6027" i="1"/>
  <c r="E6026" i="1"/>
  <c r="E6025" i="1"/>
  <c r="E6024" i="1"/>
  <c r="E6023" i="1"/>
  <c r="E6022" i="1"/>
  <c r="E6021" i="1"/>
  <c r="E6020" i="1"/>
  <c r="E6019" i="1"/>
  <c r="E6018" i="1"/>
  <c r="E6017" i="1"/>
  <c r="E6016" i="1"/>
  <c r="E6015" i="1"/>
  <c r="E6014" i="1"/>
  <c r="E6013" i="1"/>
  <c r="E6012" i="1"/>
  <c r="E6011" i="1"/>
  <c r="E6010" i="1"/>
  <c r="E6009" i="1"/>
  <c r="E6008" i="1"/>
  <c r="E6007" i="1"/>
  <c r="E6006" i="1"/>
  <c r="E6005" i="1"/>
  <c r="E6004" i="1"/>
  <c r="E6003" i="1"/>
  <c r="E6002" i="1"/>
  <c r="E6001" i="1"/>
  <c r="E6000" i="1"/>
  <c r="E5999" i="1"/>
  <c r="E5998" i="1"/>
  <c r="E5997" i="1"/>
  <c r="E5996" i="1"/>
  <c r="E5995" i="1"/>
  <c r="E5994" i="1"/>
  <c r="E5993" i="1"/>
  <c r="E5992" i="1"/>
  <c r="E5991" i="1"/>
  <c r="E5990" i="1"/>
  <c r="E5989" i="1"/>
  <c r="E5988" i="1"/>
  <c r="E5987" i="1"/>
  <c r="E5986" i="1"/>
  <c r="E5985" i="1"/>
  <c r="E5984" i="1"/>
  <c r="E5983" i="1"/>
  <c r="E5982" i="1"/>
  <c r="E5981" i="1"/>
  <c r="E5980" i="1"/>
  <c r="E5979" i="1"/>
  <c r="E5978" i="1"/>
  <c r="E5977" i="1"/>
  <c r="E5976" i="1"/>
  <c r="E5975" i="1"/>
  <c r="E5974" i="1"/>
  <c r="E5973" i="1"/>
  <c r="E5972" i="1"/>
  <c r="E5971" i="1"/>
  <c r="E5970" i="1"/>
  <c r="E5969" i="1"/>
  <c r="E5968" i="1"/>
  <c r="E5967" i="1"/>
  <c r="E5966" i="1"/>
  <c r="E5965" i="1"/>
  <c r="E5964" i="1"/>
  <c r="E5963" i="1"/>
  <c r="E5962" i="1"/>
  <c r="E5961" i="1"/>
  <c r="E5960" i="1"/>
  <c r="E5959" i="1"/>
  <c r="E5958" i="1"/>
  <c r="E5957" i="1"/>
  <c r="E5956" i="1"/>
  <c r="E5955" i="1"/>
  <c r="E5954" i="1"/>
  <c r="E5953" i="1"/>
  <c r="E5952" i="1"/>
  <c r="E5951" i="1"/>
  <c r="E5950" i="1"/>
  <c r="E5949" i="1"/>
  <c r="E5948" i="1"/>
  <c r="E5947" i="1"/>
  <c r="E5946" i="1"/>
  <c r="E5945" i="1"/>
  <c r="E5944" i="1"/>
  <c r="E5943" i="1"/>
  <c r="E5942" i="1"/>
  <c r="E5941" i="1"/>
  <c r="E5940" i="1"/>
  <c r="E5939" i="1"/>
  <c r="E5938" i="1"/>
  <c r="E5937" i="1"/>
  <c r="E5936" i="1"/>
  <c r="E5935" i="1"/>
  <c r="E5934" i="1"/>
  <c r="E5933" i="1"/>
  <c r="E5932" i="1"/>
  <c r="E5931" i="1"/>
  <c r="E5930" i="1"/>
  <c r="E5929" i="1"/>
  <c r="E5928" i="1"/>
  <c r="E5927" i="1"/>
  <c r="E5926" i="1"/>
  <c r="E5925" i="1"/>
  <c r="E5924" i="1"/>
  <c r="E5923" i="1"/>
  <c r="E5922" i="1"/>
  <c r="E5921" i="1"/>
  <c r="E5920" i="1"/>
  <c r="E5919" i="1"/>
  <c r="E5918" i="1"/>
  <c r="E5917" i="1"/>
  <c r="E5916" i="1"/>
  <c r="E5915" i="1"/>
  <c r="E5914" i="1"/>
  <c r="E5913" i="1"/>
  <c r="E5912" i="1"/>
  <c r="E5911" i="1"/>
  <c r="E5910" i="1"/>
  <c r="E5909" i="1"/>
  <c r="E5908" i="1"/>
  <c r="E5907" i="1"/>
  <c r="E5906" i="1"/>
  <c r="E5905" i="1"/>
  <c r="E5904" i="1"/>
  <c r="E5903" i="1"/>
  <c r="E5902" i="1"/>
  <c r="E5901" i="1"/>
  <c r="E5900" i="1"/>
  <c r="E5899" i="1"/>
  <c r="E5898" i="1"/>
  <c r="E5897" i="1"/>
  <c r="E5896" i="1"/>
  <c r="E5895" i="1"/>
  <c r="E5894" i="1"/>
  <c r="E5893" i="1"/>
  <c r="E5892" i="1"/>
  <c r="E5891" i="1"/>
  <c r="E5890" i="1"/>
  <c r="E5889" i="1"/>
  <c r="E5888" i="1"/>
  <c r="E5887" i="1"/>
  <c r="E5886" i="1"/>
  <c r="E5885" i="1"/>
  <c r="E5884" i="1"/>
  <c r="E5883" i="1"/>
  <c r="E5882" i="1"/>
  <c r="E5881" i="1"/>
  <c r="E5880" i="1"/>
  <c r="E5879" i="1"/>
  <c r="E5878" i="1"/>
  <c r="E5877" i="1"/>
  <c r="E5876" i="1"/>
  <c r="E5875" i="1"/>
  <c r="E5874" i="1"/>
  <c r="E5873" i="1"/>
  <c r="E5872" i="1"/>
  <c r="E5871" i="1"/>
  <c r="E5870" i="1"/>
  <c r="E5869" i="1"/>
  <c r="E5868" i="1"/>
  <c r="E5867" i="1"/>
  <c r="E5866" i="1"/>
  <c r="E5865" i="1"/>
  <c r="E5864" i="1"/>
  <c r="E5863" i="1"/>
  <c r="E5862" i="1"/>
  <c r="E5861" i="1"/>
  <c r="E5860" i="1"/>
  <c r="E5859" i="1"/>
  <c r="E5858" i="1"/>
  <c r="E5857" i="1"/>
  <c r="E5856" i="1"/>
  <c r="E5855" i="1"/>
  <c r="E5854" i="1"/>
  <c r="E5853" i="1"/>
  <c r="E5852" i="1"/>
  <c r="E5851" i="1"/>
  <c r="E5850" i="1"/>
  <c r="E5849" i="1"/>
  <c r="E5848" i="1"/>
  <c r="E5847" i="1"/>
  <c r="E5846" i="1"/>
  <c r="E5845" i="1"/>
  <c r="E5844" i="1"/>
  <c r="E5843" i="1"/>
  <c r="E5842" i="1"/>
  <c r="E5841" i="1"/>
  <c r="E5840" i="1"/>
  <c r="E5839" i="1"/>
  <c r="E5838" i="1"/>
  <c r="E5837" i="1"/>
  <c r="E5836" i="1"/>
  <c r="E5835" i="1"/>
  <c r="E5834" i="1"/>
  <c r="E5833" i="1"/>
  <c r="E5832" i="1"/>
  <c r="E5831" i="1"/>
  <c r="E5830" i="1"/>
  <c r="E5829" i="1"/>
  <c r="E5828" i="1"/>
  <c r="E5827" i="1"/>
  <c r="E5826" i="1"/>
  <c r="E5825" i="1"/>
  <c r="E5824" i="1"/>
  <c r="E5823" i="1"/>
  <c r="E5822" i="1"/>
  <c r="E5821" i="1"/>
  <c r="E5820" i="1"/>
  <c r="E5819" i="1"/>
  <c r="E5818" i="1"/>
  <c r="E5817" i="1"/>
  <c r="E5816" i="1"/>
  <c r="E5815" i="1"/>
  <c r="E5814" i="1"/>
  <c r="E5813" i="1"/>
  <c r="E5812" i="1"/>
  <c r="E5811" i="1"/>
  <c r="E5810" i="1"/>
  <c r="E5809" i="1"/>
  <c r="E5808" i="1"/>
  <c r="E5807" i="1"/>
  <c r="E5806" i="1"/>
  <c r="E5805" i="1"/>
  <c r="E5804" i="1"/>
  <c r="E5803" i="1"/>
  <c r="E5802" i="1"/>
  <c r="E5801" i="1"/>
  <c r="E5800" i="1"/>
  <c r="E5799" i="1"/>
  <c r="E5798" i="1"/>
  <c r="E5797" i="1"/>
  <c r="E5796" i="1"/>
  <c r="E5795" i="1"/>
  <c r="E5794" i="1"/>
  <c r="E5793" i="1"/>
  <c r="E5792" i="1"/>
  <c r="E5791" i="1"/>
  <c r="E5790" i="1"/>
  <c r="E5789" i="1"/>
  <c r="E5788" i="1"/>
  <c r="E5787" i="1"/>
  <c r="E5786" i="1"/>
  <c r="E5785" i="1"/>
  <c r="E5784" i="1"/>
  <c r="E5783" i="1"/>
  <c r="E5782" i="1"/>
  <c r="E5781" i="1"/>
  <c r="E5780" i="1"/>
  <c r="E5779" i="1"/>
  <c r="E5778" i="1"/>
  <c r="E5777" i="1"/>
  <c r="E5776" i="1"/>
  <c r="E5775" i="1"/>
  <c r="E5774" i="1"/>
  <c r="E5773" i="1"/>
  <c r="E5772" i="1"/>
  <c r="E5771" i="1"/>
  <c r="E5770" i="1"/>
  <c r="E5769" i="1"/>
  <c r="E5768" i="1"/>
  <c r="E5767" i="1"/>
  <c r="E5766" i="1"/>
  <c r="E5765" i="1"/>
  <c r="E5764" i="1"/>
  <c r="E5763" i="1"/>
  <c r="E5762" i="1"/>
  <c r="E5761" i="1"/>
  <c r="E5760" i="1"/>
  <c r="E5759" i="1"/>
  <c r="E5758" i="1"/>
  <c r="E5757" i="1"/>
  <c r="E5756" i="1"/>
  <c r="E5755" i="1"/>
  <c r="E5754" i="1"/>
  <c r="E5753" i="1"/>
  <c r="E5752" i="1"/>
  <c r="E5751" i="1"/>
  <c r="E5750" i="1"/>
  <c r="E5749" i="1"/>
  <c r="E5748" i="1"/>
  <c r="E5747" i="1"/>
  <c r="E5746" i="1"/>
  <c r="E5745" i="1"/>
  <c r="E5744" i="1"/>
  <c r="E5743" i="1"/>
  <c r="E5742" i="1"/>
  <c r="E5741" i="1"/>
  <c r="E5740" i="1"/>
  <c r="E5739" i="1"/>
  <c r="E5738" i="1"/>
  <c r="E5737" i="1"/>
  <c r="E5736" i="1"/>
  <c r="E5735" i="1"/>
  <c r="E5734" i="1"/>
  <c r="E5733" i="1"/>
  <c r="E5732" i="1"/>
  <c r="E5731" i="1"/>
  <c r="E5730" i="1"/>
  <c r="E5729" i="1"/>
  <c r="E5728" i="1"/>
  <c r="E5727" i="1"/>
  <c r="E5726" i="1"/>
  <c r="E5725" i="1"/>
  <c r="E5724" i="1"/>
  <c r="E5723" i="1"/>
  <c r="E5722" i="1"/>
  <c r="E5721" i="1"/>
  <c r="E5720" i="1"/>
  <c r="E5719" i="1"/>
  <c r="E5718" i="1"/>
  <c r="E5717" i="1"/>
  <c r="E5716" i="1"/>
  <c r="E5715" i="1"/>
  <c r="E5714" i="1"/>
  <c r="E5713" i="1"/>
  <c r="E5712" i="1"/>
  <c r="E5711" i="1"/>
  <c r="E5710" i="1"/>
  <c r="E5709" i="1"/>
  <c r="E5708" i="1"/>
  <c r="E5707" i="1"/>
  <c r="E5706" i="1"/>
  <c r="E5705" i="1"/>
  <c r="E5704" i="1"/>
  <c r="E5703" i="1"/>
  <c r="E5702" i="1"/>
  <c r="E5701" i="1"/>
  <c r="E5700" i="1"/>
  <c r="E5699" i="1"/>
  <c r="E5698" i="1"/>
  <c r="E5697" i="1"/>
  <c r="E5696" i="1"/>
  <c r="E5695" i="1"/>
  <c r="E5694" i="1"/>
  <c r="E5693" i="1"/>
  <c r="E5692" i="1"/>
  <c r="E5691" i="1"/>
  <c r="E5690" i="1"/>
  <c r="E5689" i="1"/>
  <c r="E5688" i="1"/>
  <c r="E5687" i="1"/>
  <c r="E5686" i="1"/>
  <c r="E5685" i="1"/>
  <c r="E5684" i="1"/>
  <c r="E5683" i="1"/>
  <c r="E5682" i="1"/>
  <c r="E5681" i="1"/>
  <c r="E5680" i="1"/>
  <c r="E5679" i="1"/>
  <c r="E5678" i="1"/>
  <c r="E5677" i="1"/>
  <c r="E5676" i="1"/>
  <c r="E5675" i="1"/>
  <c r="E5674" i="1"/>
  <c r="E5673" i="1"/>
  <c r="E5672" i="1"/>
  <c r="E5671" i="1"/>
  <c r="E5670" i="1"/>
  <c r="E5669" i="1"/>
  <c r="E5668" i="1"/>
  <c r="E5667" i="1"/>
  <c r="E5666" i="1"/>
  <c r="E5665" i="1"/>
  <c r="E5664" i="1"/>
  <c r="E5663" i="1"/>
  <c r="E5662" i="1"/>
  <c r="E5661" i="1"/>
  <c r="E5660" i="1"/>
  <c r="E5659" i="1"/>
  <c r="E5658" i="1"/>
  <c r="E5657" i="1"/>
  <c r="E5656" i="1"/>
  <c r="E5655" i="1"/>
  <c r="E5654" i="1"/>
  <c r="E5653" i="1"/>
  <c r="E5652" i="1"/>
  <c r="E5651" i="1"/>
  <c r="E5650" i="1"/>
  <c r="E5649" i="1"/>
  <c r="E5648" i="1"/>
  <c r="E5647" i="1"/>
  <c r="E5646" i="1"/>
  <c r="E5645" i="1"/>
  <c r="E5644" i="1"/>
  <c r="E5643" i="1"/>
  <c r="E5642" i="1"/>
  <c r="E5641" i="1"/>
  <c r="E5640" i="1"/>
  <c r="E5639" i="1"/>
  <c r="E5638" i="1"/>
  <c r="E5637" i="1"/>
  <c r="E5636" i="1"/>
  <c r="E5635" i="1"/>
  <c r="E5634" i="1"/>
  <c r="E5633" i="1"/>
  <c r="E5632" i="1"/>
  <c r="E5631" i="1"/>
  <c r="E5630" i="1"/>
  <c r="E5629" i="1"/>
  <c r="E5628" i="1"/>
  <c r="E5627" i="1"/>
  <c r="E5626" i="1"/>
  <c r="E5625" i="1"/>
  <c r="E5624" i="1"/>
  <c r="E5623" i="1"/>
  <c r="E5622" i="1"/>
  <c r="E5621" i="1"/>
  <c r="E5620" i="1"/>
  <c r="E5619" i="1"/>
  <c r="E5618" i="1"/>
  <c r="E5617" i="1"/>
  <c r="E5616" i="1"/>
  <c r="E5615" i="1"/>
  <c r="E5614" i="1"/>
  <c r="E5613" i="1"/>
  <c r="E5612" i="1"/>
  <c r="E5611" i="1"/>
  <c r="E5610" i="1"/>
  <c r="E5609" i="1"/>
  <c r="E5608" i="1"/>
  <c r="E5607" i="1"/>
  <c r="E5606" i="1"/>
  <c r="E5605" i="1"/>
  <c r="E5604" i="1"/>
  <c r="E5603" i="1"/>
  <c r="E5602" i="1"/>
  <c r="E5601" i="1"/>
  <c r="E5600" i="1"/>
  <c r="E5599" i="1"/>
  <c r="E5598" i="1"/>
  <c r="E5597" i="1"/>
  <c r="E5596" i="1"/>
  <c r="E5595" i="1"/>
  <c r="E5594" i="1"/>
  <c r="E5593" i="1"/>
  <c r="E5592" i="1"/>
  <c r="E5591" i="1"/>
  <c r="E5590" i="1"/>
  <c r="E5589" i="1"/>
  <c r="E5588" i="1"/>
  <c r="E5587" i="1"/>
  <c r="E5586" i="1"/>
  <c r="E5585" i="1"/>
  <c r="E5584" i="1"/>
  <c r="E5583" i="1"/>
  <c r="E5582" i="1"/>
  <c r="E5581" i="1"/>
  <c r="E5580" i="1"/>
  <c r="E5579" i="1"/>
  <c r="E5578" i="1"/>
  <c r="E5577" i="1"/>
  <c r="E5576" i="1"/>
  <c r="E5575" i="1"/>
  <c r="E5574" i="1"/>
  <c r="E5573" i="1"/>
  <c r="E5572" i="1"/>
  <c r="E5571" i="1"/>
  <c r="E5570" i="1"/>
  <c r="E5569" i="1"/>
  <c r="E5568" i="1"/>
  <c r="E5567" i="1"/>
  <c r="E5566" i="1"/>
  <c r="E5565" i="1"/>
  <c r="E5564" i="1"/>
  <c r="E5563" i="1"/>
  <c r="E5562" i="1"/>
  <c r="E5561" i="1"/>
  <c r="E5560" i="1"/>
  <c r="E5559" i="1"/>
  <c r="E5558" i="1"/>
  <c r="E5557" i="1"/>
  <c r="E5556" i="1"/>
  <c r="E5555" i="1"/>
  <c r="E5554" i="1"/>
  <c r="E5553" i="1"/>
  <c r="E5552" i="1"/>
  <c r="E5551" i="1"/>
  <c r="E5550" i="1"/>
  <c r="E5549" i="1"/>
  <c r="E5548" i="1"/>
  <c r="E5547" i="1"/>
  <c r="E5546" i="1"/>
  <c r="E5545" i="1"/>
  <c r="E5544" i="1"/>
  <c r="E5543" i="1"/>
  <c r="E5542" i="1"/>
  <c r="E5541" i="1"/>
  <c r="E5540" i="1"/>
  <c r="E5539" i="1"/>
  <c r="E5538" i="1"/>
  <c r="E5537" i="1"/>
  <c r="E5536" i="1"/>
  <c r="E5535" i="1"/>
  <c r="E5534" i="1"/>
  <c r="E5533" i="1"/>
  <c r="E5532" i="1"/>
  <c r="E5531" i="1"/>
  <c r="E5530" i="1"/>
  <c r="E5529" i="1"/>
  <c r="E5528" i="1"/>
  <c r="E5527" i="1"/>
  <c r="E5526" i="1"/>
  <c r="E5525" i="1"/>
  <c r="E5524" i="1"/>
  <c r="E5523" i="1"/>
  <c r="E5522" i="1"/>
  <c r="E5521" i="1"/>
  <c r="E5520" i="1"/>
  <c r="E5519" i="1"/>
  <c r="E5518" i="1"/>
  <c r="E5517" i="1"/>
  <c r="E5516" i="1"/>
  <c r="E5515" i="1"/>
  <c r="E5514" i="1"/>
  <c r="E5513" i="1"/>
  <c r="E5512" i="1"/>
  <c r="E5511" i="1"/>
  <c r="E5510" i="1"/>
  <c r="E5509" i="1"/>
  <c r="E5508" i="1"/>
  <c r="E5507" i="1"/>
  <c r="E5506" i="1"/>
  <c r="E5505" i="1"/>
  <c r="E5504" i="1"/>
  <c r="E5503" i="1"/>
  <c r="E5502" i="1"/>
  <c r="E5501" i="1"/>
  <c r="E5500" i="1"/>
  <c r="E5499" i="1"/>
  <c r="E5498" i="1"/>
  <c r="E5497" i="1"/>
  <c r="E5496" i="1"/>
  <c r="E5495" i="1"/>
  <c r="E5494" i="1"/>
  <c r="E5493" i="1"/>
  <c r="E5492" i="1"/>
  <c r="E5491" i="1"/>
  <c r="E5490" i="1"/>
  <c r="E5489" i="1"/>
  <c r="E5488" i="1"/>
  <c r="E5487" i="1"/>
  <c r="E5486" i="1"/>
  <c r="E5485" i="1"/>
  <c r="E5484" i="1"/>
  <c r="E5483" i="1"/>
  <c r="E5482" i="1"/>
  <c r="E5481" i="1"/>
  <c r="E5480" i="1"/>
  <c r="E5479" i="1"/>
  <c r="E5478" i="1"/>
  <c r="E5477" i="1"/>
  <c r="E5476" i="1"/>
  <c r="E5475" i="1"/>
  <c r="E5474" i="1"/>
  <c r="E5473" i="1"/>
  <c r="E5472" i="1"/>
  <c r="E5471" i="1"/>
  <c r="E5470" i="1"/>
  <c r="E5469" i="1"/>
  <c r="E5468" i="1"/>
  <c r="E5467" i="1"/>
  <c r="E5466" i="1"/>
  <c r="E5465" i="1"/>
  <c r="E5464" i="1"/>
  <c r="E5463" i="1"/>
  <c r="E5462" i="1"/>
  <c r="E5461" i="1"/>
  <c r="E5460" i="1"/>
  <c r="E5459" i="1"/>
  <c r="E5458" i="1"/>
  <c r="E5457" i="1"/>
  <c r="E5456" i="1"/>
  <c r="E5455" i="1"/>
  <c r="E5454" i="1"/>
  <c r="E5453" i="1"/>
  <c r="E5452" i="1"/>
  <c r="E5451" i="1"/>
  <c r="E5450" i="1"/>
  <c r="E5449" i="1"/>
  <c r="E5448" i="1"/>
  <c r="E5447" i="1"/>
  <c r="E5446" i="1"/>
  <c r="E5445" i="1"/>
  <c r="E5444" i="1"/>
  <c r="E5443" i="1"/>
  <c r="E5442" i="1"/>
  <c r="E5441" i="1"/>
  <c r="E5440" i="1"/>
  <c r="E5439" i="1"/>
  <c r="E5438" i="1"/>
  <c r="E5437" i="1"/>
  <c r="E5436" i="1"/>
  <c r="E5435" i="1"/>
  <c r="E5434" i="1"/>
  <c r="E5433" i="1"/>
  <c r="E5432" i="1"/>
  <c r="E5431" i="1"/>
  <c r="E5430" i="1"/>
  <c r="E5429" i="1"/>
  <c r="E5428" i="1"/>
  <c r="E5427" i="1"/>
  <c r="E5426" i="1"/>
  <c r="E5425" i="1"/>
  <c r="E5424" i="1"/>
  <c r="E5423" i="1"/>
  <c r="E5422" i="1"/>
  <c r="E5421" i="1"/>
  <c r="E5420" i="1"/>
  <c r="E5419" i="1"/>
  <c r="E5418" i="1"/>
  <c r="E5417" i="1"/>
  <c r="E5416" i="1"/>
  <c r="E5415" i="1"/>
  <c r="E5414" i="1"/>
  <c r="E5413" i="1"/>
  <c r="E5412" i="1"/>
  <c r="E5411" i="1"/>
  <c r="E5410" i="1"/>
  <c r="E5409" i="1"/>
  <c r="E5408" i="1"/>
  <c r="E5407" i="1"/>
  <c r="E5406" i="1"/>
  <c r="E5405" i="1"/>
  <c r="E5404" i="1"/>
  <c r="E5403" i="1"/>
  <c r="E5402" i="1"/>
  <c r="E5401" i="1"/>
  <c r="E5400" i="1"/>
  <c r="E5399" i="1"/>
  <c r="E5398" i="1"/>
  <c r="E5397" i="1"/>
  <c r="E5396" i="1"/>
  <c r="E5395" i="1"/>
  <c r="E5394" i="1"/>
  <c r="E5393" i="1"/>
  <c r="E5392" i="1"/>
  <c r="E5391" i="1"/>
  <c r="E5390" i="1"/>
  <c r="E5389" i="1"/>
  <c r="E5388" i="1"/>
  <c r="E5387" i="1"/>
  <c r="E5386" i="1"/>
  <c r="E5385" i="1"/>
  <c r="E5384" i="1"/>
  <c r="E5383" i="1"/>
  <c r="E5382" i="1"/>
  <c r="E5381" i="1"/>
  <c r="E5380" i="1"/>
  <c r="E5379" i="1"/>
  <c r="E5378" i="1"/>
  <c r="E5377" i="1"/>
  <c r="E5376" i="1"/>
  <c r="E5375" i="1"/>
  <c r="E5374" i="1"/>
  <c r="E5373" i="1"/>
  <c r="E5372" i="1"/>
  <c r="E5371" i="1"/>
  <c r="E5370" i="1"/>
  <c r="E5369" i="1"/>
  <c r="E5368" i="1"/>
  <c r="E5367" i="1"/>
  <c r="E5366" i="1"/>
  <c r="E5365" i="1"/>
  <c r="E5364" i="1"/>
  <c r="E5363" i="1"/>
  <c r="E5362" i="1"/>
  <c r="E5361" i="1"/>
  <c r="E5360" i="1"/>
  <c r="E5359" i="1"/>
  <c r="E5358" i="1"/>
  <c r="E5357" i="1"/>
  <c r="E5356" i="1"/>
  <c r="E5355" i="1"/>
  <c r="E5354" i="1"/>
  <c r="E5353" i="1"/>
  <c r="E5352" i="1"/>
  <c r="E5351" i="1"/>
  <c r="E5350" i="1"/>
  <c r="E5349" i="1"/>
  <c r="E5348" i="1"/>
  <c r="E5347" i="1"/>
  <c r="E5346" i="1"/>
  <c r="E5345" i="1"/>
  <c r="E5344" i="1"/>
  <c r="E5343" i="1"/>
  <c r="E5342" i="1"/>
  <c r="E5341" i="1"/>
  <c r="E5340" i="1"/>
  <c r="E5339" i="1"/>
  <c r="E5338" i="1"/>
  <c r="E5337" i="1"/>
  <c r="E5336" i="1"/>
  <c r="E5335" i="1"/>
  <c r="E5334" i="1"/>
  <c r="E5333" i="1"/>
  <c r="E5332" i="1"/>
  <c r="E5331" i="1"/>
  <c r="E5330" i="1"/>
  <c r="E5329" i="1"/>
  <c r="E5328" i="1"/>
  <c r="E5327" i="1"/>
  <c r="E5326" i="1"/>
  <c r="E5325" i="1"/>
  <c r="E5324" i="1"/>
  <c r="E5323" i="1"/>
  <c r="E5322" i="1"/>
  <c r="E5321" i="1"/>
  <c r="E5320" i="1"/>
  <c r="E5319" i="1"/>
  <c r="E5318" i="1"/>
  <c r="E5317" i="1"/>
  <c r="E5316" i="1"/>
  <c r="E5315" i="1"/>
  <c r="E5314" i="1"/>
  <c r="E5313" i="1"/>
  <c r="E5312" i="1"/>
  <c r="E5311" i="1"/>
  <c r="E5310" i="1"/>
  <c r="E5309" i="1"/>
  <c r="E5308" i="1"/>
  <c r="E5307" i="1"/>
  <c r="E5306" i="1"/>
  <c r="E5305" i="1"/>
  <c r="E5304" i="1"/>
  <c r="E5303" i="1"/>
  <c r="E5302" i="1"/>
  <c r="E5301" i="1"/>
  <c r="E5300" i="1"/>
  <c r="E5299" i="1"/>
  <c r="E5298" i="1"/>
  <c r="E5297" i="1"/>
  <c r="E5296" i="1"/>
  <c r="E5295" i="1"/>
  <c r="E5294" i="1"/>
  <c r="E5293" i="1"/>
  <c r="E5292" i="1"/>
  <c r="E5291" i="1"/>
  <c r="E5290" i="1"/>
  <c r="E5289" i="1"/>
  <c r="E5288" i="1"/>
  <c r="E5287" i="1"/>
  <c r="E5286" i="1"/>
  <c r="E5285" i="1"/>
  <c r="E5284" i="1"/>
  <c r="E5283" i="1"/>
  <c r="E5282" i="1"/>
  <c r="E5281" i="1"/>
  <c r="E5280" i="1"/>
  <c r="E5279" i="1"/>
  <c r="E5278" i="1"/>
  <c r="E5277" i="1"/>
  <c r="E5276" i="1"/>
  <c r="E5275" i="1"/>
  <c r="E5274" i="1"/>
  <c r="E5273" i="1"/>
  <c r="E5272" i="1"/>
  <c r="E5271" i="1"/>
  <c r="E5270" i="1"/>
  <c r="E5269" i="1"/>
  <c r="E5268" i="1"/>
  <c r="E5267" i="1"/>
  <c r="E5266" i="1"/>
  <c r="E5265" i="1"/>
  <c r="E5264" i="1"/>
  <c r="E5263" i="1"/>
  <c r="E5262" i="1"/>
  <c r="E5261" i="1"/>
  <c r="E5260" i="1"/>
  <c r="E5259" i="1"/>
  <c r="E5258" i="1"/>
  <c r="E5257" i="1"/>
  <c r="E5256" i="1"/>
  <c r="E5255" i="1"/>
  <c r="E5254" i="1"/>
  <c r="E5253" i="1"/>
  <c r="E5252" i="1"/>
  <c r="E5251" i="1"/>
  <c r="E5250" i="1"/>
  <c r="E5249" i="1"/>
  <c r="E5248" i="1"/>
  <c r="E5247" i="1"/>
  <c r="E5246" i="1"/>
  <c r="E5245" i="1"/>
  <c r="E5244" i="1"/>
  <c r="E5243" i="1"/>
  <c r="E5242" i="1"/>
  <c r="E5241" i="1"/>
  <c r="E5240" i="1"/>
  <c r="E5239" i="1"/>
  <c r="E5238" i="1"/>
  <c r="E5237" i="1"/>
  <c r="E5236" i="1"/>
  <c r="E5235" i="1"/>
  <c r="E5234" i="1"/>
  <c r="E5233" i="1"/>
  <c r="E5232" i="1"/>
  <c r="E5231" i="1"/>
  <c r="E5230" i="1"/>
  <c r="E5229" i="1"/>
  <c r="E5228" i="1"/>
  <c r="E5227" i="1"/>
  <c r="E5226" i="1"/>
  <c r="E5225" i="1"/>
  <c r="E5224" i="1"/>
  <c r="E5223" i="1"/>
  <c r="E5222" i="1"/>
  <c r="E5221" i="1"/>
  <c r="E5220" i="1"/>
  <c r="E5219" i="1"/>
  <c r="E5218" i="1"/>
  <c r="E5217" i="1"/>
  <c r="E5216" i="1"/>
  <c r="E5215" i="1"/>
  <c r="E5214" i="1"/>
  <c r="E5213" i="1"/>
  <c r="E5212" i="1"/>
  <c r="E5211" i="1"/>
  <c r="E5210" i="1"/>
  <c r="E5209" i="1"/>
  <c r="E5208" i="1"/>
  <c r="E5207" i="1"/>
  <c r="E5206" i="1"/>
  <c r="E5205" i="1"/>
  <c r="E5204" i="1"/>
  <c r="E5203" i="1"/>
  <c r="E5202" i="1"/>
  <c r="E5201" i="1"/>
  <c r="E5200" i="1"/>
  <c r="E5199" i="1"/>
  <c r="E5198" i="1"/>
  <c r="E5197" i="1"/>
  <c r="E5196" i="1"/>
  <c r="E5195" i="1"/>
  <c r="E5194" i="1"/>
  <c r="E5193" i="1"/>
  <c r="E5192" i="1"/>
  <c r="E5191" i="1"/>
  <c r="E5190" i="1"/>
  <c r="E5189" i="1"/>
  <c r="E5188" i="1"/>
  <c r="E5187" i="1"/>
  <c r="E5186" i="1"/>
  <c r="E5185" i="1"/>
  <c r="E5184" i="1"/>
  <c r="E5183" i="1"/>
  <c r="E5182" i="1"/>
  <c r="E5181" i="1"/>
  <c r="E5180" i="1"/>
  <c r="E5179" i="1"/>
  <c r="E5178" i="1"/>
  <c r="E5177" i="1"/>
  <c r="E5176" i="1"/>
  <c r="E5175" i="1"/>
  <c r="E5174" i="1"/>
  <c r="E5173" i="1"/>
  <c r="E5172" i="1"/>
  <c r="E5171" i="1"/>
  <c r="E5170" i="1"/>
  <c r="E5169" i="1"/>
  <c r="E5168" i="1"/>
  <c r="E5167" i="1"/>
  <c r="E5166" i="1"/>
  <c r="E5165" i="1"/>
  <c r="E5164" i="1"/>
  <c r="E5163" i="1"/>
  <c r="E5162" i="1"/>
  <c r="E5161" i="1"/>
  <c r="E5160" i="1"/>
  <c r="E5159" i="1"/>
  <c r="E5158" i="1"/>
  <c r="E5157" i="1"/>
  <c r="E5156" i="1"/>
  <c r="E5155" i="1"/>
  <c r="E5154" i="1"/>
  <c r="E5153" i="1"/>
  <c r="E5152" i="1"/>
  <c r="E5151" i="1"/>
  <c r="E5150" i="1"/>
  <c r="E5149" i="1"/>
  <c r="E5148" i="1"/>
  <c r="E5147" i="1"/>
  <c r="E5146" i="1"/>
  <c r="E5145" i="1"/>
  <c r="E5144" i="1"/>
  <c r="E5143" i="1"/>
  <c r="E5142" i="1"/>
  <c r="E5141" i="1"/>
  <c r="E5140" i="1"/>
  <c r="E5139" i="1"/>
  <c r="E5138" i="1"/>
  <c r="E5137" i="1"/>
  <c r="E5136" i="1"/>
  <c r="E5135" i="1"/>
  <c r="E5134" i="1"/>
  <c r="E5133" i="1"/>
  <c r="E5132" i="1"/>
  <c r="E5131" i="1"/>
  <c r="E5130" i="1"/>
  <c r="E5129" i="1"/>
  <c r="E5128" i="1"/>
  <c r="E5127" i="1"/>
  <c r="E5126" i="1"/>
  <c r="E5125" i="1"/>
  <c r="E5124" i="1"/>
  <c r="E5123" i="1"/>
  <c r="E5122" i="1"/>
  <c r="E5121" i="1"/>
  <c r="E5120" i="1"/>
  <c r="E5119" i="1"/>
  <c r="E5118" i="1"/>
  <c r="E5117" i="1"/>
  <c r="E5116" i="1"/>
  <c r="E5115" i="1"/>
  <c r="E5114" i="1"/>
  <c r="E5113" i="1"/>
  <c r="E5112" i="1"/>
  <c r="E5111" i="1"/>
  <c r="E5110" i="1"/>
  <c r="E5109" i="1"/>
  <c r="E5108" i="1"/>
  <c r="E5107" i="1"/>
  <c r="E5106" i="1"/>
  <c r="E5105" i="1"/>
  <c r="E5104" i="1"/>
  <c r="E5103" i="1"/>
  <c r="E5102" i="1"/>
  <c r="E5101" i="1"/>
  <c r="E5100" i="1"/>
  <c r="E5099" i="1"/>
  <c r="E5098" i="1"/>
  <c r="E5097" i="1"/>
  <c r="E5096" i="1"/>
  <c r="E5095" i="1"/>
  <c r="E5094" i="1"/>
  <c r="E5093" i="1"/>
  <c r="E5092" i="1"/>
  <c r="E5091" i="1"/>
  <c r="E5090" i="1"/>
  <c r="E5089" i="1"/>
  <c r="E5088" i="1"/>
  <c r="E5087" i="1"/>
  <c r="E5086" i="1"/>
  <c r="E5085" i="1"/>
  <c r="E5084" i="1"/>
  <c r="E5083" i="1"/>
  <c r="E5082" i="1"/>
  <c r="E5081" i="1"/>
  <c r="E5080" i="1"/>
  <c r="E5079" i="1"/>
  <c r="E5078" i="1"/>
  <c r="E5077" i="1"/>
  <c r="E5076" i="1"/>
  <c r="E5075" i="1"/>
  <c r="E5074" i="1"/>
  <c r="E5073" i="1"/>
  <c r="I128" i="2" s="1"/>
  <c r="E5072" i="1"/>
  <c r="E5071" i="1"/>
  <c r="E5070" i="1"/>
  <c r="E5069" i="1"/>
  <c r="E5068" i="1"/>
  <c r="E5067" i="1"/>
  <c r="E5066" i="1"/>
  <c r="E5065" i="1"/>
  <c r="E5064" i="1"/>
  <c r="E5063" i="1"/>
  <c r="E5062" i="1"/>
  <c r="E5061" i="1"/>
  <c r="E5060" i="1"/>
  <c r="E5059" i="1"/>
  <c r="E5058" i="1"/>
  <c r="E5057" i="1"/>
  <c r="E5056" i="1"/>
  <c r="E5055" i="1"/>
  <c r="E5054" i="1"/>
  <c r="E5053" i="1"/>
  <c r="E5052" i="1"/>
  <c r="E5051" i="1"/>
  <c r="E5050" i="1"/>
  <c r="E5049" i="1"/>
  <c r="E5048" i="1"/>
  <c r="E5047" i="1"/>
  <c r="E5046" i="1"/>
  <c r="E5045" i="1"/>
  <c r="E5044" i="1"/>
  <c r="E5043" i="1"/>
  <c r="E5042" i="1"/>
  <c r="E5041" i="1"/>
  <c r="E5040" i="1"/>
  <c r="E5039" i="1"/>
  <c r="E5038" i="1"/>
  <c r="E5037" i="1"/>
  <c r="E5036" i="1"/>
  <c r="E5035" i="1"/>
  <c r="E5034" i="1"/>
  <c r="E5033" i="1"/>
  <c r="E5032" i="1"/>
  <c r="E5031" i="1"/>
  <c r="E5030" i="1"/>
  <c r="E5029" i="1"/>
  <c r="E5028" i="1"/>
  <c r="E5027" i="1"/>
  <c r="E5026" i="1"/>
  <c r="E5025" i="1"/>
  <c r="E5024" i="1"/>
  <c r="E5023" i="1"/>
  <c r="E5022" i="1"/>
  <c r="E5021" i="1"/>
  <c r="E5020" i="1"/>
  <c r="E5019" i="1"/>
  <c r="E5018" i="1"/>
  <c r="E5017" i="1"/>
  <c r="E5016" i="1"/>
  <c r="E5015" i="1"/>
  <c r="E5014" i="1"/>
  <c r="E5013" i="1"/>
  <c r="E5012" i="1"/>
  <c r="E5011" i="1"/>
  <c r="E5010" i="1"/>
  <c r="E5009" i="1"/>
  <c r="E5008" i="1"/>
  <c r="E5007" i="1"/>
  <c r="E5006" i="1"/>
  <c r="E5005" i="1"/>
  <c r="E5004" i="1"/>
  <c r="E5003" i="1"/>
  <c r="E5002" i="1"/>
  <c r="E5001" i="1"/>
  <c r="E5000" i="1"/>
  <c r="E4999" i="1"/>
  <c r="E4998" i="1"/>
  <c r="E4997" i="1"/>
  <c r="E4996" i="1"/>
  <c r="E4995" i="1"/>
  <c r="E4994" i="1"/>
  <c r="E4993" i="1"/>
  <c r="E4992" i="1"/>
  <c r="E4991" i="1"/>
  <c r="E4990" i="1"/>
  <c r="E4989" i="1"/>
  <c r="E4988" i="1"/>
  <c r="E4987" i="1"/>
  <c r="E4986" i="1"/>
  <c r="E4985" i="1"/>
  <c r="E4984" i="1"/>
  <c r="E4983" i="1"/>
  <c r="E4982" i="1"/>
  <c r="E4981" i="1"/>
  <c r="E4980" i="1"/>
  <c r="E4979" i="1"/>
  <c r="E4978" i="1"/>
  <c r="E4977" i="1"/>
  <c r="E4976" i="1"/>
  <c r="E4975" i="1"/>
  <c r="E4974" i="1"/>
  <c r="E4973" i="1"/>
  <c r="E4972" i="1"/>
  <c r="E4971" i="1"/>
  <c r="E4970" i="1"/>
  <c r="E4969" i="1"/>
  <c r="E4968" i="1"/>
  <c r="E4967" i="1"/>
  <c r="E4966" i="1"/>
  <c r="E4965" i="1"/>
  <c r="E4964" i="1"/>
  <c r="E4963" i="1"/>
  <c r="E4962" i="1"/>
  <c r="E4961" i="1"/>
  <c r="E4960" i="1"/>
  <c r="E4959" i="1"/>
  <c r="E4958" i="1"/>
  <c r="E4957" i="1"/>
  <c r="E4956" i="1"/>
  <c r="E4955" i="1"/>
  <c r="E4954" i="1"/>
  <c r="E4953" i="1"/>
  <c r="I125" i="2" s="1"/>
  <c r="E4952" i="1"/>
  <c r="E4951" i="1"/>
  <c r="E4950" i="1"/>
  <c r="E4949" i="1"/>
  <c r="E4948" i="1"/>
  <c r="E4947" i="1"/>
  <c r="E4946" i="1"/>
  <c r="E4945" i="1"/>
  <c r="E4944" i="1"/>
  <c r="E4943" i="1"/>
  <c r="E4942" i="1"/>
  <c r="E4941" i="1"/>
  <c r="E4940" i="1"/>
  <c r="E4939" i="1"/>
  <c r="E4938" i="1"/>
  <c r="E4937" i="1"/>
  <c r="E4936" i="1"/>
  <c r="E4935" i="1"/>
  <c r="E4934" i="1"/>
  <c r="E4933" i="1"/>
  <c r="E4932" i="1"/>
  <c r="E4931" i="1"/>
  <c r="E4930" i="1"/>
  <c r="E4929" i="1"/>
  <c r="E4928" i="1"/>
  <c r="E4927" i="1"/>
  <c r="E4926" i="1"/>
  <c r="E4925" i="1"/>
  <c r="E4924" i="1"/>
  <c r="E4923" i="1"/>
  <c r="E4922" i="1"/>
  <c r="E4921" i="1"/>
  <c r="E4920" i="1"/>
  <c r="E4919" i="1"/>
  <c r="E4918" i="1"/>
  <c r="E4917" i="1"/>
  <c r="E4916" i="1"/>
  <c r="E4915" i="1"/>
  <c r="E4914" i="1"/>
  <c r="E4913" i="1"/>
  <c r="E4912" i="1"/>
  <c r="E4911" i="1"/>
  <c r="E4910" i="1"/>
  <c r="E4909" i="1"/>
  <c r="E4908" i="1"/>
  <c r="E4907" i="1"/>
  <c r="E4906" i="1"/>
  <c r="E4905" i="1"/>
  <c r="E4904" i="1"/>
  <c r="E4903" i="1"/>
  <c r="E4902" i="1"/>
  <c r="E4901" i="1"/>
  <c r="E4900" i="1"/>
  <c r="E4899" i="1"/>
  <c r="E4898" i="1"/>
  <c r="E4897" i="1"/>
  <c r="E4896" i="1"/>
  <c r="E4895" i="1"/>
  <c r="E4894" i="1"/>
  <c r="E4893" i="1"/>
  <c r="E4892" i="1"/>
  <c r="E4891" i="1"/>
  <c r="E4890" i="1"/>
  <c r="E4889" i="1"/>
  <c r="E4888" i="1"/>
  <c r="E4887" i="1"/>
  <c r="E4886" i="1"/>
  <c r="E4885" i="1"/>
  <c r="E4884" i="1"/>
  <c r="E4883" i="1"/>
  <c r="E4882" i="1"/>
  <c r="E4881" i="1"/>
  <c r="E4880" i="1"/>
  <c r="E4879" i="1"/>
  <c r="E4878" i="1"/>
  <c r="E4877" i="1"/>
  <c r="E4876" i="1"/>
  <c r="E4875" i="1"/>
  <c r="E4874" i="1"/>
  <c r="E4873" i="1"/>
  <c r="E4872" i="1"/>
  <c r="E4871" i="1"/>
  <c r="E4870" i="1"/>
  <c r="E4869" i="1"/>
  <c r="E4868" i="1"/>
  <c r="E4867" i="1"/>
  <c r="E4866" i="1"/>
  <c r="E4865" i="1"/>
  <c r="E4864" i="1"/>
  <c r="E4863" i="1"/>
  <c r="E4862" i="1"/>
  <c r="E4861" i="1"/>
  <c r="E4860" i="1"/>
  <c r="E4859" i="1"/>
  <c r="E4858" i="1"/>
  <c r="E4857" i="1"/>
  <c r="E4856" i="1"/>
  <c r="E4855" i="1"/>
  <c r="E4854" i="1"/>
  <c r="E4853" i="1"/>
  <c r="E4852" i="1"/>
  <c r="E4851" i="1"/>
  <c r="E4850" i="1"/>
  <c r="E4849" i="1"/>
  <c r="E4848" i="1"/>
  <c r="E4847" i="1"/>
  <c r="E4846" i="1"/>
  <c r="E4845" i="1"/>
  <c r="E4844" i="1"/>
  <c r="E4843" i="1"/>
  <c r="E4842" i="1"/>
  <c r="E4841" i="1"/>
  <c r="E4840" i="1"/>
  <c r="E4839" i="1"/>
  <c r="E4838" i="1"/>
  <c r="E4837" i="1"/>
  <c r="E4836" i="1"/>
  <c r="E4835" i="1"/>
  <c r="E4834" i="1"/>
  <c r="E4833" i="1"/>
  <c r="E4832" i="1"/>
  <c r="E4831" i="1"/>
  <c r="E4830" i="1"/>
  <c r="E4829" i="1"/>
  <c r="E4828" i="1"/>
  <c r="E4827" i="1"/>
  <c r="E4826" i="1"/>
  <c r="E4825" i="1"/>
  <c r="E4824" i="1"/>
  <c r="E4823" i="1"/>
  <c r="E4822" i="1"/>
  <c r="E4821" i="1"/>
  <c r="E4820" i="1"/>
  <c r="E4819" i="1"/>
  <c r="E4818" i="1"/>
  <c r="E4817" i="1"/>
  <c r="E4816" i="1"/>
  <c r="E4815" i="1"/>
  <c r="E4814" i="1"/>
  <c r="E4813" i="1"/>
  <c r="E4812" i="1"/>
  <c r="E4811" i="1"/>
  <c r="E4810" i="1"/>
  <c r="E4809" i="1"/>
  <c r="E4808" i="1"/>
  <c r="E4807" i="1"/>
  <c r="E4806" i="1"/>
  <c r="E4805" i="1"/>
  <c r="E4804" i="1"/>
  <c r="E4803" i="1"/>
  <c r="E4802" i="1"/>
  <c r="E4801" i="1"/>
  <c r="E4800" i="1"/>
  <c r="E4799" i="1"/>
  <c r="E4798" i="1"/>
  <c r="E4797" i="1"/>
  <c r="E4796" i="1"/>
  <c r="E4795" i="1"/>
  <c r="E4794" i="1"/>
  <c r="E4793" i="1"/>
  <c r="E4792" i="1"/>
  <c r="E4791" i="1"/>
  <c r="E4790" i="1"/>
  <c r="E4789" i="1"/>
  <c r="E4788" i="1"/>
  <c r="E4787" i="1"/>
  <c r="E4786" i="1"/>
  <c r="E4785" i="1"/>
  <c r="E4784" i="1"/>
  <c r="E4783" i="1"/>
  <c r="E4782" i="1"/>
  <c r="E4781" i="1"/>
  <c r="E4780" i="1"/>
  <c r="E4779" i="1"/>
  <c r="E4778" i="1"/>
  <c r="E4777" i="1"/>
  <c r="E4776" i="1"/>
  <c r="E4775" i="1"/>
  <c r="E4774" i="1"/>
  <c r="E4773" i="1"/>
  <c r="E4772" i="1"/>
  <c r="E4771" i="1"/>
  <c r="E4770" i="1"/>
  <c r="E4769" i="1"/>
  <c r="E4768" i="1"/>
  <c r="E4767" i="1"/>
  <c r="E4766" i="1"/>
  <c r="E4765" i="1"/>
  <c r="E4764" i="1"/>
  <c r="E4763" i="1"/>
  <c r="E4762" i="1"/>
  <c r="E4761" i="1"/>
  <c r="E4760" i="1"/>
  <c r="E4759" i="1"/>
  <c r="E4758" i="1"/>
  <c r="E4757" i="1"/>
  <c r="E4756" i="1"/>
  <c r="E4755" i="1"/>
  <c r="E4754" i="1"/>
  <c r="E4753" i="1"/>
  <c r="E4752" i="1"/>
  <c r="E4751" i="1"/>
  <c r="E4750" i="1"/>
  <c r="E4749" i="1"/>
  <c r="E4748" i="1"/>
  <c r="E4747" i="1"/>
  <c r="E4746" i="1"/>
  <c r="E4745" i="1"/>
  <c r="E4744" i="1"/>
  <c r="E4743" i="1"/>
  <c r="E4742" i="1"/>
  <c r="E4741" i="1"/>
  <c r="E4740" i="1"/>
  <c r="E4739" i="1"/>
  <c r="E4738" i="1"/>
  <c r="E4737" i="1"/>
  <c r="E4736" i="1"/>
  <c r="E4735" i="1"/>
  <c r="E4734" i="1"/>
  <c r="E4733" i="1"/>
  <c r="E4732" i="1"/>
  <c r="E4731" i="1"/>
  <c r="E4730" i="1"/>
  <c r="E4729" i="1"/>
  <c r="E4728" i="1"/>
  <c r="E4727" i="1"/>
  <c r="E4726" i="1"/>
  <c r="E4725" i="1"/>
  <c r="E4724" i="1"/>
  <c r="E4723" i="1"/>
  <c r="E4722" i="1"/>
  <c r="E4721" i="1"/>
  <c r="E4720" i="1"/>
  <c r="E4719" i="1"/>
  <c r="E4718" i="1"/>
  <c r="E4717" i="1"/>
  <c r="E4716" i="1"/>
  <c r="E4715" i="1"/>
  <c r="E4714" i="1"/>
  <c r="E4713" i="1"/>
  <c r="E4712" i="1"/>
  <c r="E4711" i="1"/>
  <c r="E4710" i="1"/>
  <c r="E4709" i="1"/>
  <c r="E4708" i="1"/>
  <c r="E4707" i="1"/>
  <c r="E4706" i="1"/>
  <c r="E4705" i="1"/>
  <c r="E4704" i="1"/>
  <c r="E4703" i="1"/>
  <c r="E4702" i="1"/>
  <c r="E4701" i="1"/>
  <c r="E4700" i="1"/>
  <c r="E4699" i="1"/>
  <c r="E4698" i="1"/>
  <c r="E4697" i="1"/>
  <c r="E4696" i="1"/>
  <c r="E4695" i="1"/>
  <c r="E4694" i="1"/>
  <c r="E4693" i="1"/>
  <c r="E4692" i="1"/>
  <c r="E4691" i="1"/>
  <c r="E4690" i="1"/>
  <c r="E4689" i="1"/>
  <c r="E4688" i="1"/>
  <c r="E4687" i="1"/>
  <c r="E4686" i="1"/>
  <c r="E4685" i="1"/>
  <c r="E4684" i="1"/>
  <c r="E4683" i="1"/>
  <c r="E4682" i="1"/>
  <c r="E4681" i="1"/>
  <c r="E4680" i="1"/>
  <c r="E4679" i="1"/>
  <c r="E4678" i="1"/>
  <c r="E4677" i="1"/>
  <c r="E4676" i="1"/>
  <c r="E4675" i="1"/>
  <c r="E4674" i="1"/>
  <c r="E4673" i="1"/>
  <c r="E4672" i="1"/>
  <c r="E4671" i="1"/>
  <c r="E4670" i="1"/>
  <c r="E4669" i="1"/>
  <c r="E4668" i="1"/>
  <c r="E4667" i="1"/>
  <c r="E4666" i="1"/>
  <c r="E4665" i="1"/>
  <c r="E4664" i="1"/>
  <c r="E4663" i="1"/>
  <c r="E4662" i="1"/>
  <c r="E4661" i="1"/>
  <c r="E4660" i="1"/>
  <c r="E4659" i="1"/>
  <c r="E4658" i="1"/>
  <c r="E4657" i="1"/>
  <c r="E4656" i="1"/>
  <c r="E4655" i="1"/>
  <c r="E4654" i="1"/>
  <c r="E4653" i="1"/>
  <c r="E4652" i="1"/>
  <c r="E4651" i="1"/>
  <c r="E4650" i="1"/>
  <c r="E4649" i="1"/>
  <c r="E4648" i="1"/>
  <c r="E4647" i="1"/>
  <c r="E4646" i="1"/>
  <c r="E4645" i="1"/>
  <c r="E4644" i="1"/>
  <c r="E4643" i="1"/>
  <c r="E4642" i="1"/>
  <c r="E4641" i="1"/>
  <c r="E4640" i="1"/>
  <c r="E4639" i="1"/>
  <c r="E4638" i="1"/>
  <c r="E4637" i="1"/>
  <c r="E4636" i="1"/>
  <c r="E4635" i="1"/>
  <c r="E4634" i="1"/>
  <c r="E4633" i="1"/>
  <c r="E4632" i="1"/>
  <c r="E4631" i="1"/>
  <c r="E4630" i="1"/>
  <c r="E4629" i="1"/>
  <c r="E4628" i="1"/>
  <c r="E4627" i="1"/>
  <c r="E4626" i="1"/>
  <c r="E4625" i="1"/>
  <c r="E4624" i="1"/>
  <c r="E4623" i="1"/>
  <c r="E4622" i="1"/>
  <c r="E4621" i="1"/>
  <c r="E4620" i="1"/>
  <c r="E4619" i="1"/>
  <c r="E4618" i="1"/>
  <c r="E4617" i="1"/>
  <c r="E4616" i="1"/>
  <c r="E4615" i="1"/>
  <c r="E4614" i="1"/>
  <c r="E4613" i="1"/>
  <c r="E4612" i="1"/>
  <c r="E4611" i="1"/>
  <c r="E4610" i="1"/>
  <c r="E4609" i="1"/>
  <c r="E4608" i="1"/>
  <c r="E4607" i="1"/>
  <c r="E4606" i="1"/>
  <c r="E4605" i="1"/>
  <c r="E4604" i="1"/>
  <c r="E4603" i="1"/>
  <c r="E4602" i="1"/>
  <c r="E4601" i="1"/>
  <c r="E4600" i="1"/>
  <c r="E4599" i="1"/>
  <c r="E4598" i="1"/>
  <c r="E4597" i="1"/>
  <c r="E4596" i="1"/>
  <c r="E4595" i="1"/>
  <c r="E4594" i="1"/>
  <c r="E4593" i="1"/>
  <c r="E4592" i="1"/>
  <c r="E4591" i="1"/>
  <c r="E4590" i="1"/>
  <c r="E4589" i="1"/>
  <c r="E4588" i="1"/>
  <c r="E4587" i="1"/>
  <c r="E4586" i="1"/>
  <c r="E4585" i="1"/>
  <c r="E4584" i="1"/>
  <c r="E4583" i="1"/>
  <c r="E4582" i="1"/>
  <c r="E4581" i="1"/>
  <c r="E4580" i="1"/>
  <c r="E4579" i="1"/>
  <c r="E4578" i="1"/>
  <c r="E4577" i="1"/>
  <c r="E4576" i="1"/>
  <c r="E4575" i="1"/>
  <c r="E4574" i="1"/>
  <c r="E4573" i="1"/>
  <c r="E4572" i="1"/>
  <c r="E4571" i="1"/>
  <c r="E4570" i="1"/>
  <c r="E4569" i="1"/>
  <c r="E4568" i="1"/>
  <c r="E4567" i="1"/>
  <c r="E4566" i="1"/>
  <c r="E4565" i="1"/>
  <c r="E4564" i="1"/>
  <c r="E4563" i="1"/>
  <c r="E4562" i="1"/>
  <c r="E4561" i="1"/>
  <c r="E4560" i="1"/>
  <c r="E4559" i="1"/>
  <c r="E4558" i="1"/>
  <c r="E4557" i="1"/>
  <c r="E4556" i="1"/>
  <c r="E4555" i="1"/>
  <c r="E4554" i="1"/>
  <c r="E4553" i="1"/>
  <c r="E4552" i="1"/>
  <c r="E4551" i="1"/>
  <c r="E4550" i="1"/>
  <c r="E4549" i="1"/>
  <c r="E4548" i="1"/>
  <c r="E4547" i="1"/>
  <c r="E4546" i="1"/>
  <c r="E4545" i="1"/>
  <c r="E4544" i="1"/>
  <c r="E4543" i="1"/>
  <c r="E4542" i="1"/>
  <c r="E4541" i="1"/>
  <c r="E4540" i="1"/>
  <c r="E4539" i="1"/>
  <c r="E4538" i="1"/>
  <c r="E4537" i="1"/>
  <c r="E4536" i="1"/>
  <c r="E4535" i="1"/>
  <c r="E4534" i="1"/>
  <c r="E4533" i="1"/>
  <c r="E4532" i="1"/>
  <c r="E4531" i="1"/>
  <c r="E4530" i="1"/>
  <c r="E4529" i="1"/>
  <c r="E4528" i="1"/>
  <c r="E4527" i="1"/>
  <c r="E4526" i="1"/>
  <c r="E4525" i="1"/>
  <c r="E4524" i="1"/>
  <c r="E4523" i="1"/>
  <c r="E4522" i="1"/>
  <c r="E4521" i="1"/>
  <c r="E4520" i="1"/>
  <c r="E4519" i="1"/>
  <c r="E4518" i="1"/>
  <c r="E4517" i="1"/>
  <c r="E4516" i="1"/>
  <c r="E4515" i="1"/>
  <c r="E4514" i="1"/>
  <c r="E4513" i="1"/>
  <c r="E4512" i="1"/>
  <c r="E4511" i="1"/>
  <c r="E4510" i="1"/>
  <c r="E4509" i="1"/>
  <c r="E4508" i="1"/>
  <c r="E4507" i="1"/>
  <c r="E4506" i="1"/>
  <c r="E4505" i="1"/>
  <c r="E4504" i="1"/>
  <c r="E4503" i="1"/>
  <c r="E4502" i="1"/>
  <c r="E4501" i="1"/>
  <c r="E4500" i="1"/>
  <c r="E4499" i="1"/>
  <c r="E4498" i="1"/>
  <c r="E4497" i="1"/>
  <c r="E4496" i="1"/>
  <c r="E4495" i="1"/>
  <c r="E4494" i="1"/>
  <c r="E4493" i="1"/>
  <c r="E4492" i="1"/>
  <c r="E4491" i="1"/>
  <c r="E4490" i="1"/>
  <c r="E4489" i="1"/>
  <c r="E4488" i="1"/>
  <c r="E4487" i="1"/>
  <c r="E4486" i="1"/>
  <c r="E4485" i="1"/>
  <c r="E4484" i="1"/>
  <c r="E4483" i="1"/>
  <c r="E4482" i="1"/>
  <c r="E4481" i="1"/>
  <c r="E4480" i="1"/>
  <c r="E4479" i="1"/>
  <c r="E4478" i="1"/>
  <c r="E4477" i="1"/>
  <c r="E4476" i="1"/>
  <c r="E4475" i="1"/>
  <c r="E4474" i="1"/>
  <c r="E4473" i="1"/>
  <c r="E4472" i="1"/>
  <c r="E4471" i="1"/>
  <c r="E4470" i="1"/>
  <c r="E4469" i="1"/>
  <c r="E4468" i="1"/>
  <c r="E4467" i="1"/>
  <c r="E4466" i="1"/>
  <c r="E4465" i="1"/>
  <c r="E4464" i="1"/>
  <c r="E4463" i="1"/>
  <c r="E4462" i="1"/>
  <c r="E4461" i="1"/>
  <c r="E4460" i="1"/>
  <c r="E4459" i="1"/>
  <c r="E4458" i="1"/>
  <c r="E4457" i="1"/>
  <c r="E4456" i="1"/>
  <c r="E4455" i="1"/>
  <c r="E4454" i="1"/>
  <c r="E4453" i="1"/>
  <c r="E4452" i="1"/>
  <c r="E4451" i="1"/>
  <c r="E4450" i="1"/>
  <c r="E4449" i="1"/>
  <c r="E4448" i="1"/>
  <c r="E4447" i="1"/>
  <c r="E4446" i="1"/>
  <c r="E4445" i="1"/>
  <c r="E4444" i="1"/>
  <c r="E4443" i="1"/>
  <c r="E4442" i="1"/>
  <c r="E4441" i="1"/>
  <c r="E4440" i="1"/>
  <c r="E4439" i="1"/>
  <c r="E4438" i="1"/>
  <c r="E4437" i="1"/>
  <c r="E4436" i="1"/>
  <c r="E4435" i="1"/>
  <c r="E4434" i="1"/>
  <c r="E4433" i="1"/>
  <c r="E4432" i="1"/>
  <c r="E4431" i="1"/>
  <c r="E4430" i="1"/>
  <c r="E4429" i="1"/>
  <c r="E4428" i="1"/>
  <c r="E4427" i="1"/>
  <c r="E4426" i="1"/>
  <c r="E4425" i="1"/>
  <c r="E4424" i="1"/>
  <c r="E4423" i="1"/>
  <c r="E4422" i="1"/>
  <c r="E4421" i="1"/>
  <c r="E4420" i="1"/>
  <c r="E4419" i="1"/>
  <c r="E4418" i="1"/>
  <c r="E4417" i="1"/>
  <c r="E4416" i="1"/>
  <c r="E4415" i="1"/>
  <c r="E4414" i="1"/>
  <c r="E4413" i="1"/>
  <c r="E4412" i="1"/>
  <c r="E4411" i="1"/>
  <c r="E4410" i="1"/>
  <c r="E4409" i="1"/>
  <c r="E4408" i="1"/>
  <c r="E4407" i="1"/>
  <c r="E4406" i="1"/>
  <c r="E4405" i="1"/>
  <c r="E4404" i="1"/>
  <c r="E4403" i="1"/>
  <c r="E4402" i="1"/>
  <c r="E4401" i="1"/>
  <c r="E4400" i="1"/>
  <c r="E4399" i="1"/>
  <c r="E4398" i="1"/>
  <c r="E4397" i="1"/>
  <c r="E4396" i="1"/>
  <c r="E4395" i="1"/>
  <c r="E4394" i="1"/>
  <c r="E4393" i="1"/>
  <c r="E4392" i="1"/>
  <c r="E4391" i="1"/>
  <c r="E4390" i="1"/>
  <c r="E4389" i="1"/>
  <c r="E4388" i="1"/>
  <c r="E4387" i="1"/>
  <c r="E4386" i="1"/>
  <c r="E4385" i="1"/>
  <c r="E4384" i="1"/>
  <c r="E4383" i="1"/>
  <c r="E4382" i="1"/>
  <c r="E4381" i="1"/>
  <c r="E4380" i="1"/>
  <c r="E4379" i="1"/>
  <c r="E4378" i="1"/>
  <c r="E4377" i="1"/>
  <c r="E4376" i="1"/>
  <c r="E4375" i="1"/>
  <c r="E4374" i="1"/>
  <c r="E4373" i="1"/>
  <c r="E4372" i="1"/>
  <c r="E4371" i="1"/>
  <c r="E4370" i="1"/>
  <c r="E4369" i="1"/>
  <c r="E4368" i="1"/>
  <c r="E4367" i="1"/>
  <c r="E4366" i="1"/>
  <c r="E4365" i="1"/>
  <c r="E4364" i="1"/>
  <c r="E4363" i="1"/>
  <c r="E4362" i="1"/>
  <c r="E4361" i="1"/>
  <c r="E4360" i="1"/>
  <c r="E4359" i="1"/>
  <c r="E4358" i="1"/>
  <c r="E4357" i="1"/>
  <c r="E4356" i="1"/>
  <c r="E4355" i="1"/>
  <c r="E4354" i="1"/>
  <c r="E4353" i="1"/>
  <c r="E4352" i="1"/>
  <c r="E4351" i="1"/>
  <c r="E4350" i="1"/>
  <c r="E4349" i="1"/>
  <c r="E4348" i="1"/>
  <c r="E4347" i="1"/>
  <c r="E4346" i="1"/>
  <c r="E4345" i="1"/>
  <c r="E4344" i="1"/>
  <c r="E4343" i="1"/>
  <c r="E4342" i="1"/>
  <c r="E4341" i="1"/>
  <c r="E4340" i="1"/>
  <c r="E4339" i="1"/>
  <c r="E4338" i="1"/>
  <c r="E4337" i="1"/>
  <c r="E4336" i="1"/>
  <c r="E4335" i="1"/>
  <c r="E4334" i="1"/>
  <c r="E4333" i="1"/>
  <c r="E4332" i="1"/>
  <c r="E4331" i="1"/>
  <c r="E4330" i="1"/>
  <c r="E4329" i="1"/>
  <c r="E4328" i="1"/>
  <c r="E4327" i="1"/>
  <c r="E4326" i="1"/>
  <c r="E4325" i="1"/>
  <c r="E4324" i="1"/>
  <c r="E4323" i="1"/>
  <c r="E4322" i="1"/>
  <c r="E4321" i="1"/>
  <c r="E4320" i="1"/>
  <c r="E4319" i="1"/>
  <c r="E4318" i="1"/>
  <c r="E4317" i="1"/>
  <c r="E4316" i="1"/>
  <c r="E4315" i="1"/>
  <c r="E4314" i="1"/>
  <c r="E4313" i="1"/>
  <c r="E4312" i="1"/>
  <c r="E4311" i="1"/>
  <c r="E4310" i="1"/>
  <c r="E4309" i="1"/>
  <c r="E4308" i="1"/>
  <c r="E4307" i="1"/>
  <c r="E4306" i="1"/>
  <c r="E4305" i="1"/>
  <c r="E4304" i="1"/>
  <c r="E4303" i="1"/>
  <c r="E4302" i="1"/>
  <c r="E4301" i="1"/>
  <c r="E4300" i="1"/>
  <c r="E4299" i="1"/>
  <c r="E4298" i="1"/>
  <c r="E4297" i="1"/>
  <c r="E4296" i="1"/>
  <c r="E4295" i="1"/>
  <c r="E4294" i="1"/>
  <c r="E4293" i="1"/>
  <c r="E4292" i="1"/>
  <c r="E4291" i="1"/>
  <c r="E4290" i="1"/>
  <c r="E4289" i="1"/>
  <c r="E4288" i="1"/>
  <c r="E4287" i="1"/>
  <c r="E4286" i="1"/>
  <c r="E4285" i="1"/>
  <c r="E4284" i="1"/>
  <c r="E4283" i="1"/>
  <c r="E4282" i="1"/>
  <c r="E4281" i="1"/>
  <c r="E4280" i="1"/>
  <c r="E4279" i="1"/>
  <c r="E4278" i="1"/>
  <c r="E4277" i="1"/>
  <c r="E4276" i="1"/>
  <c r="E4275" i="1"/>
  <c r="E4274" i="1"/>
  <c r="E4273" i="1"/>
  <c r="E4272" i="1"/>
  <c r="E4271" i="1"/>
  <c r="E4270" i="1"/>
  <c r="E4269" i="1"/>
  <c r="E4268" i="1"/>
  <c r="E4267" i="1"/>
  <c r="E4266" i="1"/>
  <c r="E4265" i="1"/>
  <c r="E4264" i="1"/>
  <c r="E4263" i="1"/>
  <c r="E4262" i="1"/>
  <c r="E4261" i="1"/>
  <c r="E4260" i="1"/>
  <c r="E4259" i="1"/>
  <c r="E4258" i="1"/>
  <c r="E4257" i="1"/>
  <c r="E4256" i="1"/>
  <c r="E4255" i="1"/>
  <c r="E4254" i="1"/>
  <c r="E4253" i="1"/>
  <c r="E4252" i="1"/>
  <c r="E4251" i="1"/>
  <c r="E4250" i="1"/>
  <c r="E4249" i="1"/>
  <c r="E4248" i="1"/>
  <c r="E4247" i="1"/>
  <c r="E4246" i="1"/>
  <c r="E4245" i="1"/>
  <c r="E4244" i="1"/>
  <c r="E4243" i="1"/>
  <c r="E4242" i="1"/>
  <c r="E4241" i="1"/>
  <c r="E4240" i="1"/>
  <c r="E4239" i="1"/>
  <c r="E4238" i="1"/>
  <c r="E4237" i="1"/>
  <c r="E4236" i="1"/>
  <c r="E4235" i="1"/>
  <c r="E4234" i="1"/>
  <c r="E4233" i="1"/>
  <c r="E4232" i="1"/>
  <c r="E4231" i="1"/>
  <c r="E4230" i="1"/>
  <c r="E4229" i="1"/>
  <c r="E4228" i="1"/>
  <c r="E4227" i="1"/>
  <c r="E4226" i="1"/>
  <c r="E4225" i="1"/>
  <c r="E4224" i="1"/>
  <c r="E4223" i="1"/>
  <c r="E4222" i="1"/>
  <c r="E4221" i="1"/>
  <c r="E4220" i="1"/>
  <c r="E4219" i="1"/>
  <c r="E4218" i="1"/>
  <c r="E4217" i="1"/>
  <c r="E4216" i="1"/>
  <c r="E4215" i="1"/>
  <c r="E4214" i="1"/>
  <c r="E4213" i="1"/>
  <c r="E4212" i="1"/>
  <c r="E4211" i="1"/>
  <c r="E4210" i="1"/>
  <c r="E4209" i="1"/>
  <c r="E4208" i="1"/>
  <c r="E4207" i="1"/>
  <c r="E4206" i="1"/>
  <c r="E4205" i="1"/>
  <c r="E4204" i="1"/>
  <c r="E4203" i="1"/>
  <c r="E4202" i="1"/>
  <c r="E4201" i="1"/>
  <c r="E4200" i="1"/>
  <c r="E4199" i="1"/>
  <c r="E4198" i="1"/>
  <c r="E4197" i="1"/>
  <c r="E4196" i="1"/>
  <c r="E4195" i="1"/>
  <c r="E4194" i="1"/>
  <c r="E4193" i="1"/>
  <c r="E4192" i="1"/>
  <c r="E4191" i="1"/>
  <c r="E4190" i="1"/>
  <c r="E4189" i="1"/>
  <c r="E4188" i="1"/>
  <c r="E4187" i="1"/>
  <c r="E4186" i="1"/>
  <c r="E4185" i="1"/>
  <c r="E4184" i="1"/>
  <c r="E4183" i="1"/>
  <c r="E4182" i="1"/>
  <c r="E4181" i="1"/>
  <c r="E4180" i="1"/>
  <c r="E4179" i="1"/>
  <c r="E4178" i="1"/>
  <c r="E4177" i="1"/>
  <c r="E4176" i="1"/>
  <c r="E4175" i="1"/>
  <c r="E4174" i="1"/>
  <c r="E4173" i="1"/>
  <c r="E4172" i="1"/>
  <c r="E4171" i="1"/>
  <c r="E4170" i="1"/>
  <c r="E4169" i="1"/>
  <c r="E4168" i="1"/>
  <c r="E4167" i="1"/>
  <c r="E4166" i="1"/>
  <c r="E4165" i="1"/>
  <c r="E4164" i="1"/>
  <c r="E4163" i="1"/>
  <c r="E4162" i="1"/>
  <c r="E4161" i="1"/>
  <c r="E4160" i="1"/>
  <c r="E4159" i="1"/>
  <c r="E4158" i="1"/>
  <c r="E4157" i="1"/>
  <c r="E4156" i="1"/>
  <c r="E4155" i="1"/>
  <c r="E4154" i="1"/>
  <c r="E4153" i="1"/>
  <c r="E4152" i="1"/>
  <c r="E4151" i="1"/>
  <c r="E4150" i="1"/>
  <c r="E4149" i="1"/>
  <c r="E4148" i="1"/>
  <c r="E4147" i="1"/>
  <c r="E4146" i="1"/>
  <c r="E4145" i="1"/>
  <c r="E4144" i="1"/>
  <c r="E4143" i="1"/>
  <c r="E4142" i="1"/>
  <c r="E4141" i="1"/>
  <c r="E4140" i="1"/>
  <c r="E4139" i="1"/>
  <c r="E4138" i="1"/>
  <c r="E4137" i="1"/>
  <c r="E4136" i="1"/>
  <c r="E4135" i="1"/>
  <c r="E4134" i="1"/>
  <c r="E4133" i="1"/>
  <c r="E4132" i="1"/>
  <c r="E4131" i="1"/>
  <c r="E4130" i="1"/>
  <c r="E4129" i="1"/>
  <c r="E4128" i="1"/>
  <c r="E4127" i="1"/>
  <c r="E4126" i="1"/>
  <c r="E4125" i="1"/>
  <c r="E4124" i="1"/>
  <c r="E4123" i="1"/>
  <c r="E4122" i="1"/>
  <c r="E4121" i="1"/>
  <c r="E4120" i="1"/>
  <c r="E4119" i="1"/>
  <c r="E4118" i="1"/>
  <c r="E4117" i="1"/>
  <c r="E4116" i="1"/>
  <c r="E4115" i="1"/>
  <c r="E4114" i="1"/>
  <c r="E4113" i="1"/>
  <c r="E4112" i="1"/>
  <c r="E4111" i="1"/>
  <c r="E4110" i="1"/>
  <c r="E4109" i="1"/>
  <c r="E4108" i="1"/>
  <c r="E4107" i="1"/>
  <c r="E4106" i="1"/>
  <c r="E4105" i="1"/>
  <c r="E4104" i="1"/>
  <c r="E4103" i="1"/>
  <c r="E4102" i="1"/>
  <c r="E4101" i="1"/>
  <c r="E4100" i="1"/>
  <c r="E4099" i="1"/>
  <c r="E4098" i="1"/>
  <c r="E4097" i="1"/>
  <c r="E4096" i="1"/>
  <c r="E4095" i="1"/>
  <c r="E4094" i="1"/>
  <c r="E4093" i="1"/>
  <c r="E4092" i="1"/>
  <c r="E4091" i="1"/>
  <c r="E4090" i="1"/>
  <c r="E4089" i="1"/>
  <c r="E4088" i="1"/>
  <c r="E4087" i="1"/>
  <c r="E4086" i="1"/>
  <c r="E4085" i="1"/>
  <c r="E4084" i="1"/>
  <c r="E4083" i="1"/>
  <c r="E4082" i="1"/>
  <c r="E4081" i="1"/>
  <c r="E4080" i="1"/>
  <c r="E4079" i="1"/>
  <c r="E4078" i="1"/>
  <c r="I114" i="2" s="1"/>
  <c r="E4077" i="1"/>
  <c r="E4076" i="1"/>
  <c r="E4075" i="1"/>
  <c r="E4074" i="1"/>
  <c r="E4073" i="1"/>
  <c r="E4072" i="1"/>
  <c r="E4071" i="1"/>
  <c r="E4070" i="1"/>
  <c r="E4069" i="1"/>
  <c r="E4068" i="1"/>
  <c r="E4067" i="1"/>
  <c r="E4066" i="1"/>
  <c r="E4065" i="1"/>
  <c r="E4064" i="1"/>
  <c r="E4063" i="1"/>
  <c r="E4062" i="1"/>
  <c r="E4061" i="1"/>
  <c r="E4060" i="1"/>
  <c r="E4059" i="1"/>
  <c r="E4058" i="1"/>
  <c r="E4057" i="1"/>
  <c r="E4056" i="1"/>
  <c r="E4055" i="1"/>
  <c r="E4054" i="1"/>
  <c r="E4053" i="1"/>
  <c r="E4052" i="1"/>
  <c r="E4051" i="1"/>
  <c r="E4050" i="1"/>
  <c r="E4049" i="1"/>
  <c r="E4048" i="1"/>
  <c r="E4047" i="1"/>
  <c r="E4046" i="1"/>
  <c r="E4045" i="1"/>
  <c r="E4044" i="1"/>
  <c r="E4043" i="1"/>
  <c r="E4042" i="1"/>
  <c r="E4041" i="1"/>
  <c r="E4040" i="1"/>
  <c r="E4039" i="1"/>
  <c r="E4038" i="1"/>
  <c r="E4037" i="1"/>
  <c r="E4036" i="1"/>
  <c r="E4035" i="1"/>
  <c r="E4034" i="1"/>
  <c r="E4033" i="1"/>
  <c r="E4032" i="1"/>
  <c r="E4031" i="1"/>
  <c r="E4030" i="1"/>
  <c r="E4029" i="1"/>
  <c r="E4028" i="1"/>
  <c r="E4027" i="1"/>
  <c r="E4026" i="1"/>
  <c r="E4025" i="1"/>
  <c r="E4024" i="1"/>
  <c r="E4023" i="1"/>
  <c r="E4022" i="1"/>
  <c r="E4021" i="1"/>
  <c r="E4020" i="1"/>
  <c r="E4019" i="1"/>
  <c r="E4018" i="1"/>
  <c r="E4017" i="1"/>
  <c r="E4016" i="1"/>
  <c r="E4015" i="1"/>
  <c r="E4014" i="1"/>
  <c r="E4013" i="1"/>
  <c r="E4012" i="1"/>
  <c r="E4011" i="1"/>
  <c r="E4010" i="1"/>
  <c r="E4009" i="1"/>
  <c r="E4008" i="1"/>
  <c r="E4007" i="1"/>
  <c r="E4006" i="1"/>
  <c r="E4005" i="1"/>
  <c r="E4004" i="1"/>
  <c r="E4003" i="1"/>
  <c r="E4002" i="1"/>
  <c r="E4001" i="1"/>
  <c r="E4000" i="1"/>
  <c r="E3999" i="1"/>
  <c r="E3998" i="1"/>
  <c r="E3997" i="1"/>
  <c r="E3996" i="1"/>
  <c r="E3995" i="1"/>
  <c r="E3994" i="1"/>
  <c r="E3993" i="1"/>
  <c r="E3992" i="1"/>
  <c r="E3991" i="1"/>
  <c r="E3990" i="1"/>
  <c r="E3989" i="1"/>
  <c r="E3988" i="1"/>
  <c r="E3987" i="1"/>
  <c r="E3986" i="1"/>
  <c r="E3985" i="1"/>
  <c r="E3984" i="1"/>
  <c r="E3983" i="1"/>
  <c r="E3982" i="1"/>
  <c r="E3981" i="1"/>
  <c r="E3980" i="1"/>
  <c r="E3979" i="1"/>
  <c r="E3978" i="1"/>
  <c r="E3977" i="1"/>
  <c r="E3976" i="1"/>
  <c r="E3975" i="1"/>
  <c r="E3974" i="1"/>
  <c r="E3973" i="1"/>
  <c r="E3972" i="1"/>
  <c r="E3971" i="1"/>
  <c r="E3970" i="1"/>
  <c r="E3969" i="1"/>
  <c r="E3968" i="1"/>
  <c r="E3967" i="1"/>
  <c r="E3966" i="1"/>
  <c r="E3965" i="1"/>
  <c r="E3964" i="1"/>
  <c r="E3963" i="1"/>
  <c r="E3962" i="1"/>
  <c r="E3961" i="1"/>
  <c r="E3960" i="1"/>
  <c r="E3959" i="1"/>
  <c r="E3958" i="1"/>
  <c r="E3957" i="1"/>
  <c r="E3956" i="1"/>
  <c r="E3955" i="1"/>
  <c r="E3954" i="1"/>
  <c r="E3953" i="1"/>
  <c r="E3952" i="1"/>
  <c r="E3951" i="1"/>
  <c r="E3950" i="1"/>
  <c r="E3949" i="1"/>
  <c r="E3948" i="1"/>
  <c r="E3947" i="1"/>
  <c r="E3946" i="1"/>
  <c r="E3945" i="1"/>
  <c r="E3944" i="1"/>
  <c r="E3943" i="1"/>
  <c r="E3942" i="1"/>
  <c r="E3941" i="1"/>
  <c r="E3940" i="1"/>
  <c r="E3939" i="1"/>
  <c r="E3938" i="1"/>
  <c r="E3937" i="1"/>
  <c r="E3936" i="1"/>
  <c r="E3935" i="1"/>
  <c r="E3934" i="1"/>
  <c r="E3933" i="1"/>
  <c r="E3932" i="1"/>
  <c r="E3931" i="1"/>
  <c r="E3930" i="1"/>
  <c r="E3929" i="1"/>
  <c r="E3928" i="1"/>
  <c r="E3927" i="1"/>
  <c r="E3926" i="1"/>
  <c r="E3925" i="1"/>
  <c r="E3924" i="1"/>
  <c r="E3923" i="1"/>
  <c r="E3922" i="1"/>
  <c r="E3921" i="1"/>
  <c r="E3920" i="1"/>
  <c r="E3919" i="1"/>
  <c r="E3918" i="1"/>
  <c r="E3917" i="1"/>
  <c r="E3916" i="1"/>
  <c r="E3915" i="1"/>
  <c r="E3914" i="1"/>
  <c r="E3913" i="1"/>
  <c r="E3912" i="1"/>
  <c r="E3911" i="1"/>
  <c r="E3910" i="1"/>
  <c r="E3909" i="1"/>
  <c r="E3908" i="1"/>
  <c r="E3907" i="1"/>
  <c r="E3906" i="1"/>
  <c r="E3905" i="1"/>
  <c r="E3904" i="1"/>
  <c r="E3903" i="1"/>
  <c r="E3902" i="1"/>
  <c r="E3901" i="1"/>
  <c r="E3900" i="1"/>
  <c r="E3899" i="1"/>
  <c r="E3898" i="1"/>
  <c r="E3897" i="1"/>
  <c r="E3896" i="1"/>
  <c r="E3895" i="1"/>
  <c r="E3894" i="1"/>
  <c r="E3893" i="1"/>
  <c r="E3892" i="1"/>
  <c r="E3891" i="1"/>
  <c r="E3890" i="1"/>
  <c r="E3889" i="1"/>
  <c r="E3888" i="1"/>
  <c r="E3887" i="1"/>
  <c r="E3886" i="1"/>
  <c r="E3885" i="1"/>
  <c r="E3884" i="1"/>
  <c r="E3883" i="1"/>
  <c r="E3882" i="1"/>
  <c r="E3881" i="1"/>
  <c r="E3880" i="1"/>
  <c r="E3879" i="1"/>
  <c r="E3878" i="1"/>
  <c r="E3877" i="1"/>
  <c r="E3876" i="1"/>
  <c r="E3875" i="1"/>
  <c r="E3874" i="1"/>
  <c r="E3873" i="1"/>
  <c r="E3872" i="1"/>
  <c r="E3871" i="1"/>
  <c r="E3870" i="1"/>
  <c r="E3869" i="1"/>
  <c r="E3868" i="1"/>
  <c r="E3867" i="1"/>
  <c r="E3866" i="1"/>
  <c r="E3865" i="1"/>
  <c r="E3864" i="1"/>
  <c r="E3863" i="1"/>
  <c r="E3862" i="1"/>
  <c r="E3861" i="1"/>
  <c r="E3860" i="1"/>
  <c r="E3859" i="1"/>
  <c r="E3858" i="1"/>
  <c r="E3857" i="1"/>
  <c r="E3856" i="1"/>
  <c r="E3855" i="1"/>
  <c r="E3854" i="1"/>
  <c r="E3853" i="1"/>
  <c r="E3852" i="1"/>
  <c r="E3851" i="1"/>
  <c r="E3850" i="1"/>
  <c r="E3849" i="1"/>
  <c r="E3848" i="1"/>
  <c r="E3847" i="1"/>
  <c r="E3846" i="1"/>
  <c r="E3845" i="1"/>
  <c r="E3844" i="1"/>
  <c r="E3843" i="1"/>
  <c r="E3842" i="1"/>
  <c r="E3841" i="1"/>
  <c r="E3840" i="1"/>
  <c r="E3839" i="1"/>
  <c r="E3838" i="1"/>
  <c r="E3837" i="1"/>
  <c r="E3836" i="1"/>
  <c r="E3835" i="1"/>
  <c r="E3834" i="1"/>
  <c r="E3833" i="1"/>
  <c r="E3832" i="1"/>
  <c r="E3831" i="1"/>
  <c r="E3830" i="1"/>
  <c r="E3829" i="1"/>
  <c r="E3828" i="1"/>
  <c r="E3827" i="1"/>
  <c r="E3826" i="1"/>
  <c r="E3825" i="1"/>
  <c r="E3824" i="1"/>
  <c r="E3823" i="1"/>
  <c r="E3822" i="1"/>
  <c r="E3821" i="1"/>
  <c r="E3820" i="1"/>
  <c r="E3819" i="1"/>
  <c r="E3818" i="1"/>
  <c r="E3817" i="1"/>
  <c r="E3816" i="1"/>
  <c r="E3815" i="1"/>
  <c r="E3814" i="1"/>
  <c r="E3813" i="1"/>
  <c r="E3812" i="1"/>
  <c r="E3811" i="1"/>
  <c r="E3810" i="1"/>
  <c r="E3809" i="1"/>
  <c r="E3808" i="1"/>
  <c r="E3807" i="1"/>
  <c r="E3806" i="1"/>
  <c r="E3805" i="1"/>
  <c r="E3804" i="1"/>
  <c r="E3803" i="1"/>
  <c r="E3802" i="1"/>
  <c r="E3801" i="1"/>
  <c r="E3800" i="1"/>
  <c r="E3799" i="1"/>
  <c r="E3798" i="1"/>
  <c r="E3797" i="1"/>
  <c r="I132" i="2" s="1"/>
  <c r="E3796" i="1"/>
  <c r="E3795" i="1"/>
  <c r="E3794" i="1"/>
  <c r="E3793" i="1"/>
  <c r="E3792" i="1"/>
  <c r="E3791" i="1"/>
  <c r="E3790" i="1"/>
  <c r="E3789" i="1"/>
  <c r="E3788" i="1"/>
  <c r="E3787" i="1"/>
  <c r="E3786" i="1"/>
  <c r="E3785" i="1"/>
  <c r="E3784" i="1"/>
  <c r="E3783" i="1"/>
  <c r="E3782" i="1"/>
  <c r="E3781" i="1"/>
  <c r="E3780" i="1"/>
  <c r="E3779" i="1"/>
  <c r="E3778" i="1"/>
  <c r="E3777" i="1"/>
  <c r="E3776" i="1"/>
  <c r="E3775" i="1"/>
  <c r="E3774" i="1"/>
  <c r="E3773" i="1"/>
  <c r="E3772" i="1"/>
  <c r="E3771" i="1"/>
  <c r="E3770" i="1"/>
  <c r="E3769" i="1"/>
  <c r="E3768" i="1"/>
  <c r="E3767" i="1"/>
  <c r="E3766" i="1"/>
  <c r="E3765" i="1"/>
  <c r="E3764" i="1"/>
  <c r="E3763" i="1"/>
  <c r="E3762" i="1"/>
  <c r="E3761" i="1"/>
  <c r="E3760" i="1"/>
  <c r="E3759" i="1"/>
  <c r="E3758" i="1"/>
  <c r="E3757" i="1"/>
  <c r="E3756" i="1"/>
  <c r="E3755" i="1"/>
  <c r="E3754" i="1"/>
  <c r="E3753" i="1"/>
  <c r="E3752" i="1"/>
  <c r="E3751" i="1"/>
  <c r="E3750" i="1"/>
  <c r="E3749" i="1"/>
  <c r="E3748" i="1"/>
  <c r="E3747" i="1"/>
  <c r="E3746" i="1"/>
  <c r="E3745" i="1"/>
  <c r="E3744" i="1"/>
  <c r="E3743" i="1"/>
  <c r="E3742" i="1"/>
  <c r="E3741" i="1"/>
  <c r="E3740" i="1"/>
  <c r="E3739" i="1"/>
  <c r="E3738" i="1"/>
  <c r="E3737" i="1"/>
  <c r="E3736" i="1"/>
  <c r="E3735" i="1"/>
  <c r="E3734" i="1"/>
  <c r="E3733" i="1"/>
  <c r="E3732" i="1"/>
  <c r="E3731" i="1"/>
  <c r="E3730" i="1"/>
  <c r="E3729" i="1"/>
  <c r="E3728" i="1"/>
  <c r="E3727" i="1"/>
  <c r="E3726" i="1"/>
  <c r="E3725" i="1"/>
  <c r="E3724" i="1"/>
  <c r="E3723" i="1"/>
  <c r="E3722" i="1"/>
  <c r="E3721" i="1"/>
  <c r="E3720" i="1"/>
  <c r="E3719" i="1"/>
  <c r="E3718" i="1"/>
  <c r="E3717" i="1"/>
  <c r="E3716" i="1"/>
  <c r="E3715" i="1"/>
  <c r="E3714" i="1"/>
  <c r="E3713" i="1"/>
  <c r="E3712" i="1"/>
  <c r="E3711" i="1"/>
  <c r="E3710" i="1"/>
  <c r="E3709" i="1"/>
  <c r="E3708" i="1"/>
  <c r="E3707" i="1"/>
  <c r="E3706" i="1"/>
  <c r="E3705" i="1"/>
  <c r="E3704" i="1"/>
  <c r="E3703" i="1"/>
  <c r="E3702" i="1"/>
  <c r="E3701" i="1"/>
  <c r="E3700" i="1"/>
  <c r="E3699" i="1"/>
  <c r="E3698" i="1"/>
  <c r="E3697" i="1"/>
  <c r="E3696" i="1"/>
  <c r="E3695" i="1"/>
  <c r="E3694" i="1"/>
  <c r="E3693" i="1"/>
  <c r="E3692" i="1"/>
  <c r="E3691" i="1"/>
  <c r="E3690" i="1"/>
  <c r="E3689" i="1"/>
  <c r="E3688" i="1"/>
  <c r="E3687" i="1"/>
  <c r="E3686" i="1"/>
  <c r="E3685" i="1"/>
  <c r="E3684" i="1"/>
  <c r="E3683" i="1"/>
  <c r="E3682" i="1"/>
  <c r="E3681" i="1"/>
  <c r="E3680" i="1"/>
  <c r="E3679" i="1"/>
  <c r="E3678" i="1"/>
  <c r="E3677" i="1"/>
  <c r="E3676" i="1"/>
  <c r="E3675" i="1"/>
  <c r="E3674" i="1"/>
  <c r="E3673" i="1"/>
  <c r="E3672" i="1"/>
  <c r="E3671" i="1"/>
  <c r="E3670" i="1"/>
  <c r="E3669" i="1"/>
  <c r="E3668" i="1"/>
  <c r="E3667" i="1"/>
  <c r="E3666" i="1"/>
  <c r="E3665" i="1"/>
  <c r="E3664" i="1"/>
  <c r="E3663" i="1"/>
  <c r="E3662" i="1"/>
  <c r="E3661" i="1"/>
  <c r="E3660" i="1"/>
  <c r="E3659" i="1"/>
  <c r="E3658" i="1"/>
  <c r="E3657" i="1"/>
  <c r="E3656" i="1"/>
  <c r="E3655" i="1"/>
  <c r="E3654" i="1"/>
  <c r="E3653" i="1"/>
  <c r="E3652" i="1"/>
  <c r="E3651" i="1"/>
  <c r="E3650" i="1"/>
  <c r="E3649" i="1"/>
  <c r="E3648" i="1"/>
  <c r="E3647" i="1"/>
  <c r="E3646" i="1"/>
  <c r="E3645" i="1"/>
  <c r="E3644" i="1"/>
  <c r="E3643" i="1"/>
  <c r="E3642" i="1"/>
  <c r="E3641" i="1"/>
  <c r="E3640" i="1"/>
  <c r="E3639" i="1"/>
  <c r="E3638" i="1"/>
  <c r="E3637" i="1"/>
  <c r="E3636" i="1"/>
  <c r="E3635" i="1"/>
  <c r="E3634" i="1"/>
  <c r="E3633" i="1"/>
  <c r="E3632" i="1"/>
  <c r="E3631" i="1"/>
  <c r="E3630" i="1"/>
  <c r="E3629" i="1"/>
  <c r="E3628" i="1"/>
  <c r="E3627" i="1"/>
  <c r="E3626" i="1"/>
  <c r="E3625" i="1"/>
  <c r="E3624" i="1"/>
  <c r="E3623" i="1"/>
  <c r="I113" i="2" s="1"/>
  <c r="E3622" i="1"/>
  <c r="E3621" i="1"/>
  <c r="E3620" i="1"/>
  <c r="E3619" i="1"/>
  <c r="E3618" i="1"/>
  <c r="E3617" i="1"/>
  <c r="E3616" i="1"/>
  <c r="E3615" i="1"/>
  <c r="E3614" i="1"/>
  <c r="E3613" i="1"/>
  <c r="E3612" i="1"/>
  <c r="E3611" i="1"/>
  <c r="E3610" i="1"/>
  <c r="E3609" i="1"/>
  <c r="E3608" i="1"/>
  <c r="E3607" i="1"/>
  <c r="E3606" i="1"/>
  <c r="E3605" i="1"/>
  <c r="E3604" i="1"/>
  <c r="E3603" i="1"/>
  <c r="E3602" i="1"/>
  <c r="E3601" i="1"/>
  <c r="E3600" i="1"/>
  <c r="E3599" i="1"/>
  <c r="E3598" i="1"/>
  <c r="E3597" i="1"/>
  <c r="E3596" i="1"/>
  <c r="E3595" i="1"/>
  <c r="E3594" i="1"/>
  <c r="E3593" i="1"/>
  <c r="E3592" i="1"/>
  <c r="E3591" i="1"/>
  <c r="E3590" i="1"/>
  <c r="E3589" i="1"/>
  <c r="E3588" i="1"/>
  <c r="E3587" i="1"/>
  <c r="E3586" i="1"/>
  <c r="E3585" i="1"/>
  <c r="E3584" i="1"/>
  <c r="E3583" i="1"/>
  <c r="E3582" i="1"/>
  <c r="E3581" i="1"/>
  <c r="E3580" i="1"/>
  <c r="E3579" i="1"/>
  <c r="E3578" i="1"/>
  <c r="E3577" i="1"/>
  <c r="E3576" i="1"/>
  <c r="E3575" i="1"/>
  <c r="E3574" i="1"/>
  <c r="E3573" i="1"/>
  <c r="E3572" i="1"/>
  <c r="E3571" i="1"/>
  <c r="E3570" i="1"/>
  <c r="E3569" i="1"/>
  <c r="E3568" i="1"/>
  <c r="E3567" i="1"/>
  <c r="E3566" i="1"/>
  <c r="E3565" i="1"/>
  <c r="E3564" i="1"/>
  <c r="E3563" i="1"/>
  <c r="E3562" i="1"/>
  <c r="E3561" i="1"/>
  <c r="E3560" i="1"/>
  <c r="E3559" i="1"/>
  <c r="E3558" i="1"/>
  <c r="E3557" i="1"/>
  <c r="E3556" i="1"/>
  <c r="E3555" i="1"/>
  <c r="E3554" i="1"/>
  <c r="E3553" i="1"/>
  <c r="E3552" i="1"/>
  <c r="E3551" i="1"/>
  <c r="E3550" i="1"/>
  <c r="E3549" i="1"/>
  <c r="E3548" i="1"/>
  <c r="E3547" i="1"/>
  <c r="E3546" i="1"/>
  <c r="E3545" i="1"/>
  <c r="E3544" i="1"/>
  <c r="E3543" i="1"/>
  <c r="E3542" i="1"/>
  <c r="E3541" i="1"/>
  <c r="E3540" i="1"/>
  <c r="E3539" i="1"/>
  <c r="E3538" i="1"/>
  <c r="E3537" i="1"/>
  <c r="E3536" i="1"/>
  <c r="E3535" i="1"/>
  <c r="E3534" i="1"/>
  <c r="E3533" i="1"/>
  <c r="E3532" i="1"/>
  <c r="E3531" i="1"/>
  <c r="E3530" i="1"/>
  <c r="E3529" i="1"/>
  <c r="E3528" i="1"/>
  <c r="E3527" i="1"/>
  <c r="E3526" i="1"/>
  <c r="E3525" i="1"/>
  <c r="E3524" i="1"/>
  <c r="E3523" i="1"/>
  <c r="E3522" i="1"/>
  <c r="E3521" i="1"/>
  <c r="E3520" i="1"/>
  <c r="E3519" i="1"/>
  <c r="E3518" i="1"/>
  <c r="E3517" i="1"/>
  <c r="E3516" i="1"/>
  <c r="E3515" i="1"/>
  <c r="E3514" i="1"/>
  <c r="E3513" i="1"/>
  <c r="E3512" i="1"/>
  <c r="E3511" i="1"/>
  <c r="E3510" i="1"/>
  <c r="E3509" i="1"/>
  <c r="E3508" i="1"/>
  <c r="E3507" i="1"/>
  <c r="E3506" i="1"/>
  <c r="E3505" i="1"/>
  <c r="E3504" i="1"/>
  <c r="E3503" i="1"/>
  <c r="E3502" i="1"/>
  <c r="E3501" i="1"/>
  <c r="E3500" i="1"/>
  <c r="E3499" i="1"/>
  <c r="E3498" i="1"/>
  <c r="E3497" i="1"/>
  <c r="E3496" i="1"/>
  <c r="E3495" i="1"/>
  <c r="E3494" i="1"/>
  <c r="E3493" i="1"/>
  <c r="E3492" i="1"/>
  <c r="E3491" i="1"/>
  <c r="E3490" i="1"/>
  <c r="E3489" i="1"/>
  <c r="E3488" i="1"/>
  <c r="E3487" i="1"/>
  <c r="E3486" i="1"/>
  <c r="E3485" i="1"/>
  <c r="E3484" i="1"/>
  <c r="E3483" i="1"/>
  <c r="E3482" i="1"/>
  <c r="E3481" i="1"/>
  <c r="E3480" i="1"/>
  <c r="E3479" i="1"/>
  <c r="E3478" i="1"/>
  <c r="E3477" i="1"/>
  <c r="E3476" i="1"/>
  <c r="E3475" i="1"/>
  <c r="E3474" i="1"/>
  <c r="E3473" i="1"/>
  <c r="E3472" i="1"/>
  <c r="E3471" i="1"/>
  <c r="E3470" i="1"/>
  <c r="E3469" i="1"/>
  <c r="E3468" i="1"/>
  <c r="E3467" i="1"/>
  <c r="E3466" i="1"/>
  <c r="E3465" i="1"/>
  <c r="E3464" i="1"/>
  <c r="E3463" i="1"/>
  <c r="E3462" i="1"/>
  <c r="E3461" i="1"/>
  <c r="E3460" i="1"/>
  <c r="E3459" i="1"/>
  <c r="E3458" i="1"/>
  <c r="E3457" i="1"/>
  <c r="E3456" i="1"/>
  <c r="E3455" i="1"/>
  <c r="E3454" i="1"/>
  <c r="E3453" i="1"/>
  <c r="E3452" i="1"/>
  <c r="E3451" i="1"/>
  <c r="E3450" i="1"/>
  <c r="E3449" i="1"/>
  <c r="E3448" i="1"/>
  <c r="E3447" i="1"/>
  <c r="E3446" i="1"/>
  <c r="E3445" i="1"/>
  <c r="E3444" i="1"/>
  <c r="E3443" i="1"/>
  <c r="E3442" i="1"/>
  <c r="E3441" i="1"/>
  <c r="E3440" i="1"/>
  <c r="E3439" i="1"/>
  <c r="E3438" i="1"/>
  <c r="E3437" i="1"/>
  <c r="E3436" i="1"/>
  <c r="E3435" i="1"/>
  <c r="E3434" i="1"/>
  <c r="E3433" i="1"/>
  <c r="E3432" i="1"/>
  <c r="E3431" i="1"/>
  <c r="E3430" i="1"/>
  <c r="E3429" i="1"/>
  <c r="E3428" i="1"/>
  <c r="E3427" i="1"/>
  <c r="E3426" i="1"/>
  <c r="E3425" i="1"/>
  <c r="E3424" i="1"/>
  <c r="E3423" i="1"/>
  <c r="E3422" i="1"/>
  <c r="E3421" i="1"/>
  <c r="E3420" i="1"/>
  <c r="E3419" i="1"/>
  <c r="E3418" i="1"/>
  <c r="E3417" i="1"/>
  <c r="E3416" i="1"/>
  <c r="E3415" i="1"/>
  <c r="E3414" i="1"/>
  <c r="E3413" i="1"/>
  <c r="E3412" i="1"/>
  <c r="E3411" i="1"/>
  <c r="E3410" i="1"/>
  <c r="E3409" i="1"/>
  <c r="E3408" i="1"/>
  <c r="E3407" i="1"/>
  <c r="E3406" i="1"/>
  <c r="E3405" i="1"/>
  <c r="E3404" i="1"/>
  <c r="E3403" i="1"/>
  <c r="E3402" i="1"/>
  <c r="E3401" i="1"/>
  <c r="E3400" i="1"/>
  <c r="E3399" i="1"/>
  <c r="E3398" i="1"/>
  <c r="E3397" i="1"/>
  <c r="E3396" i="1"/>
  <c r="E3395" i="1"/>
  <c r="E3394" i="1"/>
  <c r="E3393" i="1"/>
  <c r="E3392" i="1"/>
  <c r="E3391" i="1"/>
  <c r="E3390" i="1"/>
  <c r="E3389" i="1"/>
  <c r="E3388" i="1"/>
  <c r="E3387" i="1"/>
  <c r="E3386" i="1"/>
  <c r="E3385" i="1"/>
  <c r="E3384" i="1"/>
  <c r="E3383" i="1"/>
  <c r="E3382" i="1"/>
  <c r="E3381" i="1"/>
  <c r="E3380" i="1"/>
  <c r="E3379" i="1"/>
  <c r="E3378" i="1"/>
  <c r="E3377" i="1"/>
  <c r="E3376" i="1"/>
  <c r="E3375" i="1"/>
  <c r="E3374" i="1"/>
  <c r="E3373" i="1"/>
  <c r="E3372" i="1"/>
  <c r="E3371" i="1"/>
  <c r="E3370" i="1"/>
  <c r="E3369" i="1"/>
  <c r="E3368" i="1"/>
  <c r="E3367" i="1"/>
  <c r="E3366" i="1"/>
  <c r="E3365" i="1"/>
  <c r="E3364" i="1"/>
  <c r="E3363" i="1"/>
  <c r="E3362" i="1"/>
  <c r="E3361" i="1"/>
  <c r="E3360" i="1"/>
  <c r="E3359" i="1"/>
  <c r="E3358" i="1"/>
  <c r="E3357" i="1"/>
  <c r="E3356" i="1"/>
  <c r="E3355" i="1"/>
  <c r="E3354" i="1"/>
  <c r="E3353" i="1"/>
  <c r="E3352" i="1"/>
  <c r="E3351" i="1"/>
  <c r="E3350" i="1"/>
  <c r="E3349" i="1"/>
  <c r="E3348" i="1"/>
  <c r="E3347" i="1"/>
  <c r="E3346" i="1"/>
  <c r="E3345" i="1"/>
  <c r="E3344" i="1"/>
  <c r="E3343" i="1"/>
  <c r="E3342" i="1"/>
  <c r="E3341" i="1"/>
  <c r="E3340" i="1"/>
  <c r="E3339" i="1"/>
  <c r="E3338" i="1"/>
  <c r="E3337" i="1"/>
  <c r="E3336" i="1"/>
  <c r="E3335" i="1"/>
  <c r="E3334" i="1"/>
  <c r="E3333" i="1"/>
  <c r="E3332" i="1"/>
  <c r="E3331" i="1"/>
  <c r="E3330" i="1"/>
  <c r="E3329" i="1"/>
  <c r="E3328" i="1"/>
  <c r="E3327" i="1"/>
  <c r="E3326" i="1"/>
  <c r="E3325" i="1"/>
  <c r="E3324" i="1"/>
  <c r="E3323" i="1"/>
  <c r="E3322" i="1"/>
  <c r="E3321" i="1"/>
  <c r="E3320" i="1"/>
  <c r="E3319" i="1"/>
  <c r="E3318" i="1"/>
  <c r="E3317" i="1"/>
  <c r="E3316" i="1"/>
  <c r="E3315" i="1"/>
  <c r="E3314" i="1"/>
  <c r="E3313" i="1"/>
  <c r="E3312" i="1"/>
  <c r="E3311" i="1"/>
  <c r="E3310" i="1"/>
  <c r="E3309" i="1"/>
  <c r="E3308" i="1"/>
  <c r="E3307" i="1"/>
  <c r="E3306" i="1"/>
  <c r="E3305" i="1"/>
  <c r="E3304" i="1"/>
  <c r="E3303" i="1"/>
  <c r="E3302" i="1"/>
  <c r="E3301" i="1"/>
  <c r="E3300" i="1"/>
  <c r="E3299" i="1"/>
  <c r="E3298" i="1"/>
  <c r="E3297" i="1"/>
  <c r="E3296" i="1"/>
  <c r="E3295" i="1"/>
  <c r="E3294" i="1"/>
  <c r="E3293" i="1"/>
  <c r="E3292" i="1"/>
  <c r="E3291" i="1"/>
  <c r="E3290" i="1"/>
  <c r="E3289" i="1"/>
  <c r="E3288" i="1"/>
  <c r="E3287" i="1"/>
  <c r="E3286" i="1"/>
  <c r="E3285" i="1"/>
  <c r="E3284" i="1"/>
  <c r="E3283" i="1"/>
  <c r="E3282" i="1"/>
  <c r="E3281" i="1"/>
  <c r="E3280" i="1"/>
  <c r="E3279" i="1"/>
  <c r="E3278" i="1"/>
  <c r="E3277" i="1"/>
  <c r="E3276" i="1"/>
  <c r="E3275" i="1"/>
  <c r="E3274" i="1"/>
  <c r="E3273" i="1"/>
  <c r="E3272" i="1"/>
  <c r="E3271" i="1"/>
  <c r="E3270" i="1"/>
  <c r="E3269" i="1"/>
  <c r="E3268" i="1"/>
  <c r="E3267" i="1"/>
  <c r="E3266" i="1"/>
  <c r="E3265" i="1"/>
  <c r="E3264" i="1"/>
  <c r="E3263" i="1"/>
  <c r="E3262" i="1"/>
  <c r="E3261" i="1"/>
  <c r="E3260" i="1"/>
  <c r="E3259" i="1"/>
  <c r="E3258" i="1"/>
  <c r="E3257" i="1"/>
  <c r="E3256" i="1"/>
  <c r="E3255" i="1"/>
  <c r="E3254" i="1"/>
  <c r="E3253" i="1"/>
  <c r="E3252" i="1"/>
  <c r="E3251" i="1"/>
  <c r="E3250" i="1"/>
  <c r="E3249" i="1"/>
  <c r="E3248" i="1"/>
  <c r="E3247" i="1"/>
  <c r="E3246" i="1"/>
  <c r="E3245" i="1"/>
  <c r="E3244" i="1"/>
  <c r="E3243" i="1"/>
  <c r="E3242" i="1"/>
  <c r="E3241" i="1"/>
  <c r="E3240" i="1"/>
  <c r="E3239" i="1"/>
  <c r="E3238" i="1"/>
  <c r="E3237" i="1"/>
  <c r="E3236" i="1"/>
  <c r="E3235" i="1"/>
  <c r="E3234" i="1"/>
  <c r="E3233" i="1"/>
  <c r="E3232" i="1"/>
  <c r="E3231" i="1"/>
  <c r="E3230" i="1"/>
  <c r="E3229" i="1"/>
  <c r="E3228" i="1"/>
  <c r="E3227" i="1"/>
  <c r="E3226" i="1"/>
  <c r="E3225" i="1"/>
  <c r="E3224" i="1"/>
  <c r="E3223" i="1"/>
  <c r="E3222" i="1"/>
  <c r="E3221" i="1"/>
  <c r="E3220" i="1"/>
  <c r="E3219" i="1"/>
  <c r="E3218" i="1"/>
  <c r="E3217" i="1"/>
  <c r="E3216" i="1"/>
  <c r="E3215" i="1"/>
  <c r="E3214" i="1"/>
  <c r="E3213" i="1"/>
  <c r="E3212" i="1"/>
  <c r="E3211" i="1"/>
  <c r="E3210" i="1"/>
  <c r="E3209" i="1"/>
  <c r="E3208" i="1"/>
  <c r="E3207" i="1"/>
  <c r="E3206" i="1"/>
  <c r="E3205" i="1"/>
  <c r="E3204" i="1"/>
  <c r="E3203" i="1"/>
  <c r="E3202" i="1"/>
  <c r="E3201" i="1"/>
  <c r="E3200" i="1"/>
  <c r="E3199" i="1"/>
  <c r="E3198" i="1"/>
  <c r="E3197" i="1"/>
  <c r="E3196" i="1"/>
  <c r="E3195" i="1"/>
  <c r="E3194" i="1"/>
  <c r="E3193" i="1"/>
  <c r="E3192" i="1"/>
  <c r="E3191" i="1"/>
  <c r="E3190" i="1"/>
  <c r="E3189" i="1"/>
  <c r="E3188" i="1"/>
  <c r="E3187" i="1"/>
  <c r="E3186" i="1"/>
  <c r="E3185" i="1"/>
  <c r="E3184" i="1"/>
  <c r="E3183" i="1"/>
  <c r="E3182" i="1"/>
  <c r="E3181" i="1"/>
  <c r="E3180" i="1"/>
  <c r="E3179" i="1"/>
  <c r="E3178" i="1"/>
  <c r="E3177" i="1"/>
  <c r="E3176" i="1"/>
  <c r="E3175" i="1"/>
  <c r="E3174" i="1"/>
  <c r="E3173" i="1"/>
  <c r="E3172" i="1"/>
  <c r="E3171" i="1"/>
  <c r="E3170" i="1"/>
  <c r="E3169" i="1"/>
  <c r="E3168" i="1"/>
  <c r="E3167" i="1"/>
  <c r="E3166" i="1"/>
  <c r="E3165" i="1"/>
  <c r="E3164" i="1"/>
  <c r="E3163" i="1"/>
  <c r="E3162" i="1"/>
  <c r="E3161" i="1"/>
  <c r="E3160" i="1"/>
  <c r="E3159" i="1"/>
  <c r="E3158" i="1"/>
  <c r="E3157" i="1"/>
  <c r="E3156" i="1"/>
  <c r="E3155" i="1"/>
  <c r="E3154" i="1"/>
  <c r="E3153" i="1"/>
  <c r="E3152" i="1"/>
  <c r="E3151" i="1"/>
  <c r="E3150" i="1"/>
  <c r="E3149" i="1"/>
  <c r="E3148" i="1"/>
  <c r="E3147" i="1"/>
  <c r="E3146" i="1"/>
  <c r="E3145" i="1"/>
  <c r="E3144" i="1"/>
  <c r="E3143" i="1"/>
  <c r="E3142" i="1"/>
  <c r="E3141" i="1"/>
  <c r="E3140" i="1"/>
  <c r="E3139" i="1"/>
  <c r="E3138" i="1"/>
  <c r="E3137" i="1"/>
  <c r="E3136" i="1"/>
  <c r="E3135" i="1"/>
  <c r="E3134" i="1"/>
  <c r="E3133" i="1"/>
  <c r="E3132" i="1"/>
  <c r="E3131" i="1"/>
  <c r="E3130" i="1"/>
  <c r="E3129" i="1"/>
  <c r="E3128" i="1"/>
  <c r="E3127" i="1"/>
  <c r="E3126" i="1"/>
  <c r="E3125" i="1"/>
  <c r="E3124" i="1"/>
  <c r="E3123" i="1"/>
  <c r="E3122" i="1"/>
  <c r="E3121" i="1"/>
  <c r="E3120" i="1"/>
  <c r="E3119" i="1"/>
  <c r="E3118" i="1"/>
  <c r="E3117" i="1"/>
  <c r="E3116" i="1"/>
  <c r="E3115" i="1"/>
  <c r="E3114" i="1"/>
  <c r="E3113" i="1"/>
  <c r="E3112" i="1"/>
  <c r="E3111" i="1"/>
  <c r="E3110" i="1"/>
  <c r="E3109" i="1"/>
  <c r="E3108" i="1"/>
  <c r="E3107" i="1"/>
  <c r="E3106" i="1"/>
  <c r="E3105" i="1"/>
  <c r="E3104" i="1"/>
  <c r="E3103" i="1"/>
  <c r="E3102" i="1"/>
  <c r="E3101" i="1"/>
  <c r="E3100" i="1"/>
  <c r="E3099" i="1"/>
  <c r="E3098" i="1"/>
  <c r="E3097" i="1"/>
  <c r="E3096" i="1"/>
  <c r="E3095" i="1"/>
  <c r="E3094" i="1"/>
  <c r="E3093" i="1"/>
  <c r="E3092" i="1"/>
  <c r="E3091" i="1"/>
  <c r="E3090" i="1"/>
  <c r="E3089" i="1"/>
  <c r="E3088" i="1"/>
  <c r="E3087" i="1"/>
  <c r="E3086" i="1"/>
  <c r="E3085" i="1"/>
  <c r="E3084" i="1"/>
  <c r="E3083" i="1"/>
  <c r="E3082" i="1"/>
  <c r="E3081" i="1"/>
  <c r="E3080" i="1"/>
  <c r="E3079" i="1"/>
  <c r="E3078" i="1"/>
  <c r="E3077" i="1"/>
  <c r="E3076" i="1"/>
  <c r="E3075" i="1"/>
  <c r="E3074" i="1"/>
  <c r="E3073" i="1"/>
  <c r="E3072" i="1"/>
  <c r="E3071" i="1"/>
  <c r="E3070" i="1"/>
  <c r="E3069" i="1"/>
  <c r="E3068" i="1"/>
  <c r="E3067" i="1"/>
  <c r="E3066" i="1"/>
  <c r="E3065" i="1"/>
  <c r="E3064" i="1"/>
  <c r="E3063" i="1"/>
  <c r="E3062" i="1"/>
  <c r="E3061" i="1"/>
  <c r="E3060" i="1"/>
  <c r="E3059" i="1"/>
  <c r="E3058" i="1"/>
  <c r="E3057" i="1"/>
  <c r="E3056" i="1"/>
  <c r="E3055" i="1"/>
  <c r="E3054" i="1"/>
  <c r="E3053" i="1"/>
  <c r="E3052" i="1"/>
  <c r="E3051" i="1"/>
  <c r="E3050" i="1"/>
  <c r="E3049" i="1"/>
  <c r="E3048" i="1"/>
  <c r="E3047" i="1"/>
  <c r="E3046" i="1"/>
  <c r="E3045" i="1"/>
  <c r="E3044" i="1"/>
  <c r="E3043" i="1"/>
  <c r="E3042" i="1"/>
  <c r="E3041" i="1"/>
  <c r="E3040" i="1"/>
  <c r="E3039" i="1"/>
  <c r="E3038" i="1"/>
  <c r="E3037" i="1"/>
  <c r="E3036" i="1"/>
  <c r="E3035" i="1"/>
  <c r="E3034" i="1"/>
  <c r="E3033" i="1"/>
  <c r="E3032" i="1"/>
  <c r="E3031" i="1"/>
  <c r="E3030" i="1"/>
  <c r="E3029" i="1"/>
  <c r="E3028" i="1"/>
  <c r="E3027" i="1"/>
  <c r="E3026" i="1"/>
  <c r="E3025" i="1"/>
  <c r="E3024" i="1"/>
  <c r="E3023" i="1"/>
  <c r="E3022" i="1"/>
  <c r="E3021" i="1"/>
  <c r="E3020" i="1"/>
  <c r="E3019" i="1"/>
  <c r="E3018" i="1"/>
  <c r="E3017" i="1"/>
  <c r="E3016" i="1"/>
  <c r="E3015" i="1"/>
  <c r="E3014" i="1"/>
  <c r="E3013" i="1"/>
  <c r="E3012" i="1"/>
  <c r="E3011" i="1"/>
  <c r="E3010" i="1"/>
  <c r="E3009" i="1"/>
  <c r="E3008" i="1"/>
  <c r="E3007" i="1"/>
  <c r="E3006" i="1"/>
  <c r="E3005" i="1"/>
  <c r="E3004" i="1"/>
  <c r="E3003" i="1"/>
  <c r="E3002" i="1"/>
  <c r="E3001" i="1"/>
  <c r="E3000" i="1"/>
  <c r="E2999" i="1"/>
  <c r="E2998" i="1"/>
  <c r="E2997" i="1"/>
  <c r="E2996" i="1"/>
  <c r="E2995" i="1"/>
  <c r="E2994" i="1"/>
  <c r="E2993" i="1"/>
  <c r="E2992" i="1"/>
  <c r="E2991" i="1"/>
  <c r="E2990" i="1"/>
  <c r="E2989" i="1"/>
  <c r="E2988" i="1"/>
  <c r="E2987" i="1"/>
  <c r="E2986" i="1"/>
  <c r="E2985" i="1"/>
  <c r="E2984" i="1"/>
  <c r="E2983" i="1"/>
  <c r="E2982" i="1"/>
  <c r="E2981" i="1"/>
  <c r="E2980" i="1"/>
  <c r="E2979" i="1"/>
  <c r="E2978" i="1"/>
  <c r="E2977" i="1"/>
  <c r="E2976" i="1"/>
  <c r="E2975" i="1"/>
  <c r="E2974" i="1"/>
  <c r="E2973" i="1"/>
  <c r="E2972" i="1"/>
  <c r="E2971" i="1"/>
  <c r="E2970" i="1"/>
  <c r="E2969" i="1"/>
  <c r="E2968" i="1"/>
  <c r="E2967" i="1"/>
  <c r="E2966" i="1"/>
  <c r="E2965" i="1"/>
  <c r="E2964" i="1"/>
  <c r="E2963" i="1"/>
  <c r="E2962" i="1"/>
  <c r="E2961" i="1"/>
  <c r="E2960" i="1"/>
  <c r="E2959" i="1"/>
  <c r="E2958" i="1"/>
  <c r="E2957" i="1"/>
  <c r="E2956" i="1"/>
  <c r="E2955" i="1"/>
  <c r="E2954" i="1"/>
  <c r="E2953" i="1"/>
  <c r="E2952" i="1"/>
  <c r="E2951" i="1"/>
  <c r="E2950" i="1"/>
  <c r="E2949" i="1"/>
  <c r="E2948" i="1"/>
  <c r="E2947" i="1"/>
  <c r="E2946" i="1"/>
  <c r="E2945" i="1"/>
  <c r="E2944" i="1"/>
  <c r="E2943" i="1"/>
  <c r="E2942" i="1"/>
  <c r="E2941" i="1"/>
  <c r="E2940" i="1"/>
  <c r="E2939" i="1"/>
  <c r="E2938" i="1"/>
  <c r="E2937" i="1"/>
  <c r="E2936" i="1"/>
  <c r="E2935" i="1"/>
  <c r="E2934" i="1"/>
  <c r="E2933" i="1"/>
  <c r="E2932" i="1"/>
  <c r="E2931" i="1"/>
  <c r="E2930" i="1"/>
  <c r="E2929" i="1"/>
  <c r="E2928" i="1"/>
  <c r="E2927" i="1"/>
  <c r="E2926" i="1"/>
  <c r="E2925" i="1"/>
  <c r="E2924" i="1"/>
  <c r="E2923" i="1"/>
  <c r="E2922" i="1"/>
  <c r="E2921" i="1"/>
  <c r="E2920" i="1"/>
  <c r="E2919" i="1"/>
  <c r="E2918" i="1"/>
  <c r="E2917" i="1"/>
  <c r="E2916" i="1"/>
  <c r="E2915" i="1"/>
  <c r="E2914" i="1"/>
  <c r="E2913" i="1"/>
  <c r="E2912" i="1"/>
  <c r="E2911" i="1"/>
  <c r="E2910" i="1"/>
  <c r="E2909" i="1"/>
  <c r="E2908" i="1"/>
  <c r="E2907" i="1"/>
  <c r="E2906" i="1"/>
  <c r="E2905" i="1"/>
  <c r="E2904" i="1"/>
  <c r="E2903" i="1"/>
  <c r="E2902" i="1"/>
  <c r="E2901" i="1"/>
  <c r="E2900" i="1"/>
  <c r="E2899" i="1"/>
  <c r="E2898" i="1"/>
  <c r="E2897" i="1"/>
  <c r="E2896" i="1"/>
  <c r="E2895" i="1"/>
  <c r="E2894" i="1"/>
  <c r="E2893" i="1"/>
  <c r="E2892" i="1"/>
  <c r="E2891" i="1"/>
  <c r="E2890" i="1"/>
  <c r="E2889" i="1"/>
  <c r="E2888" i="1"/>
  <c r="E2887" i="1"/>
  <c r="E2886" i="1"/>
  <c r="E2885" i="1"/>
  <c r="E2884" i="1"/>
  <c r="E2883" i="1"/>
  <c r="E2882" i="1"/>
  <c r="E2881" i="1"/>
  <c r="E2880" i="1"/>
  <c r="E2879" i="1"/>
  <c r="E2878" i="1"/>
  <c r="E2877" i="1"/>
  <c r="E2876" i="1"/>
  <c r="E2875" i="1"/>
  <c r="E2874" i="1"/>
  <c r="E2873" i="1"/>
  <c r="E2872" i="1"/>
  <c r="E2871" i="1"/>
  <c r="E2870" i="1"/>
  <c r="E2869" i="1"/>
  <c r="E2868" i="1"/>
  <c r="E2867" i="1"/>
  <c r="E2866" i="1"/>
  <c r="E2865" i="1"/>
  <c r="E2864" i="1"/>
  <c r="E2863" i="1"/>
  <c r="E2862" i="1"/>
  <c r="E2861" i="1"/>
  <c r="E2860" i="1"/>
  <c r="E2859" i="1"/>
  <c r="E2858" i="1"/>
  <c r="E2857" i="1"/>
  <c r="E2856" i="1"/>
  <c r="E2855" i="1"/>
  <c r="E2854" i="1"/>
  <c r="E2853" i="1"/>
  <c r="E2852" i="1"/>
  <c r="E2851" i="1"/>
  <c r="E2850" i="1"/>
  <c r="E2849" i="1"/>
  <c r="E2848" i="1"/>
  <c r="E2847" i="1"/>
  <c r="E2846" i="1"/>
  <c r="E2845" i="1"/>
  <c r="E2844" i="1"/>
  <c r="E2843" i="1"/>
  <c r="E2842" i="1"/>
  <c r="E2841" i="1"/>
  <c r="E2840" i="1"/>
  <c r="E2839" i="1"/>
  <c r="E2838" i="1"/>
  <c r="E2837" i="1"/>
  <c r="E2836" i="1"/>
  <c r="E2835" i="1"/>
  <c r="E2834" i="1"/>
  <c r="E2833" i="1"/>
  <c r="E2832" i="1"/>
  <c r="E2831" i="1"/>
  <c r="E2830" i="1"/>
  <c r="E2829" i="1"/>
  <c r="E2828" i="1"/>
  <c r="E2827" i="1"/>
  <c r="E2826" i="1"/>
  <c r="E2825" i="1"/>
  <c r="E2824" i="1"/>
  <c r="E2823" i="1"/>
  <c r="E2822" i="1"/>
  <c r="E2821" i="1"/>
  <c r="E2820" i="1"/>
  <c r="E2819" i="1"/>
  <c r="E2818" i="1"/>
  <c r="E2817" i="1"/>
  <c r="E2816" i="1"/>
  <c r="E2815" i="1"/>
  <c r="E2814" i="1"/>
  <c r="E2813" i="1"/>
  <c r="E2812" i="1"/>
  <c r="E2811" i="1"/>
  <c r="E2810" i="1"/>
  <c r="E2809" i="1"/>
  <c r="E2808" i="1"/>
  <c r="E2807" i="1"/>
  <c r="E2806" i="1"/>
  <c r="E2805" i="1"/>
  <c r="E2804" i="1"/>
  <c r="E2803" i="1"/>
  <c r="E2802" i="1"/>
  <c r="E2801" i="1"/>
  <c r="E2800" i="1"/>
  <c r="E2799" i="1"/>
  <c r="E2798" i="1"/>
  <c r="E2797" i="1"/>
  <c r="E2796" i="1"/>
  <c r="E2795" i="1"/>
  <c r="E2794" i="1"/>
  <c r="E2793" i="1"/>
  <c r="E2792" i="1"/>
  <c r="E2791" i="1"/>
  <c r="E2790" i="1"/>
  <c r="E2789" i="1"/>
  <c r="E2788" i="1"/>
  <c r="E2787" i="1"/>
  <c r="E2786" i="1"/>
  <c r="E2785" i="1"/>
  <c r="E2784" i="1"/>
  <c r="E2783" i="1"/>
  <c r="E2782" i="1"/>
  <c r="E2781" i="1"/>
  <c r="E2780" i="1"/>
  <c r="E2779" i="1"/>
  <c r="E2778" i="1"/>
  <c r="E2777" i="1"/>
  <c r="E2776" i="1"/>
  <c r="E2775" i="1"/>
  <c r="E2774" i="1"/>
  <c r="E2773" i="1"/>
  <c r="E2772" i="1"/>
  <c r="E2771" i="1"/>
  <c r="E2770" i="1"/>
  <c r="E2769" i="1"/>
  <c r="E2768" i="1"/>
  <c r="E2767" i="1"/>
  <c r="E2766" i="1"/>
  <c r="E2765" i="1"/>
  <c r="E2764" i="1"/>
  <c r="E2763" i="1"/>
  <c r="E2762" i="1"/>
  <c r="E2761" i="1"/>
  <c r="E2760" i="1"/>
  <c r="E2759" i="1"/>
  <c r="E2758" i="1"/>
  <c r="E2757" i="1"/>
  <c r="E2756" i="1"/>
  <c r="E2755" i="1"/>
  <c r="E2754" i="1"/>
  <c r="E2753" i="1"/>
  <c r="E2752" i="1"/>
  <c r="E2751" i="1"/>
  <c r="E2750" i="1"/>
  <c r="E2749" i="1"/>
  <c r="E2748" i="1"/>
  <c r="E2747" i="1"/>
  <c r="E2746" i="1"/>
  <c r="E2745" i="1"/>
  <c r="E2744" i="1"/>
  <c r="E2743" i="1"/>
  <c r="E2742" i="1"/>
  <c r="E2741" i="1"/>
  <c r="E2740" i="1"/>
  <c r="E2739" i="1"/>
  <c r="E2738" i="1"/>
  <c r="E2737" i="1"/>
  <c r="E2736" i="1"/>
  <c r="E2735" i="1"/>
  <c r="E2734" i="1"/>
  <c r="E2733" i="1"/>
  <c r="E2732" i="1"/>
  <c r="E2731" i="1"/>
  <c r="E2730" i="1"/>
  <c r="E2729" i="1"/>
  <c r="E2728" i="1"/>
  <c r="E2727" i="1"/>
  <c r="E2726" i="1"/>
  <c r="E2725" i="1"/>
  <c r="E2724" i="1"/>
  <c r="E2723" i="1"/>
  <c r="E2722" i="1"/>
  <c r="E2721" i="1"/>
  <c r="E2720" i="1"/>
  <c r="E2719" i="1"/>
  <c r="E2718" i="1"/>
  <c r="E2717" i="1"/>
  <c r="E2716" i="1"/>
  <c r="E2715" i="1"/>
  <c r="E2714" i="1"/>
  <c r="E2713" i="1"/>
  <c r="E2712" i="1"/>
  <c r="E2711" i="1"/>
  <c r="E2710" i="1"/>
  <c r="E2709" i="1"/>
  <c r="E2708" i="1"/>
  <c r="E2707" i="1"/>
  <c r="E2706" i="1"/>
  <c r="E2705" i="1"/>
  <c r="E2704" i="1"/>
  <c r="E2703" i="1"/>
  <c r="E2702" i="1"/>
  <c r="E2701" i="1"/>
  <c r="E2700" i="1"/>
  <c r="E2699" i="1"/>
  <c r="E2698" i="1"/>
  <c r="E2697" i="1"/>
  <c r="E2696" i="1"/>
  <c r="E2695" i="1"/>
  <c r="E2694" i="1"/>
  <c r="E2693" i="1"/>
  <c r="E2692" i="1"/>
  <c r="E2691" i="1"/>
  <c r="E2690" i="1"/>
  <c r="E2689" i="1"/>
  <c r="E2688" i="1"/>
  <c r="E2687" i="1"/>
  <c r="E2686" i="1"/>
  <c r="E2685" i="1"/>
  <c r="E2684" i="1"/>
  <c r="E2683" i="1"/>
  <c r="E2682" i="1"/>
  <c r="E2681" i="1"/>
  <c r="E2680" i="1"/>
  <c r="E2679" i="1"/>
  <c r="E2678" i="1"/>
  <c r="E2677" i="1"/>
  <c r="E2676" i="1"/>
  <c r="E2675" i="1"/>
  <c r="E2674" i="1"/>
  <c r="E2673" i="1"/>
  <c r="E2672" i="1"/>
  <c r="E2671" i="1"/>
  <c r="E2670" i="1"/>
  <c r="E2669" i="1"/>
  <c r="E2668" i="1"/>
  <c r="E2667" i="1"/>
  <c r="E2666" i="1"/>
  <c r="E2665" i="1"/>
  <c r="E2664" i="1"/>
  <c r="E2663" i="1"/>
  <c r="E2662" i="1"/>
  <c r="E2661" i="1"/>
  <c r="E2660" i="1"/>
  <c r="E2659" i="1"/>
  <c r="E2658" i="1"/>
  <c r="E2657" i="1"/>
  <c r="E2656" i="1"/>
  <c r="E2655" i="1"/>
  <c r="E2654" i="1"/>
  <c r="E2653" i="1"/>
  <c r="E2652" i="1"/>
  <c r="E2651" i="1"/>
  <c r="E2650" i="1"/>
  <c r="E2649" i="1"/>
  <c r="E2648" i="1"/>
  <c r="E2647" i="1"/>
  <c r="E2646" i="1"/>
  <c r="E2645" i="1"/>
  <c r="E2644" i="1"/>
  <c r="E2643" i="1"/>
  <c r="E2642" i="1"/>
  <c r="E2641" i="1"/>
  <c r="E2640" i="1"/>
  <c r="E2639" i="1"/>
  <c r="E2638" i="1"/>
  <c r="E2637" i="1"/>
  <c r="E2636" i="1"/>
  <c r="E2635" i="1"/>
  <c r="E2634" i="1"/>
  <c r="E2633" i="1"/>
  <c r="E2632" i="1"/>
  <c r="E2631" i="1"/>
  <c r="E2630" i="1"/>
  <c r="E2629" i="1"/>
  <c r="E2628" i="1"/>
  <c r="E2627" i="1"/>
  <c r="E2626" i="1"/>
  <c r="E2625" i="1"/>
  <c r="E2624" i="1"/>
  <c r="E2623" i="1"/>
  <c r="E2622" i="1"/>
  <c r="E2621" i="1"/>
  <c r="E2620" i="1"/>
  <c r="E2619" i="1"/>
  <c r="E2618" i="1"/>
  <c r="E2617" i="1"/>
  <c r="E2616" i="1"/>
  <c r="E2615" i="1"/>
  <c r="E2614" i="1"/>
  <c r="E2613" i="1"/>
  <c r="E2612" i="1"/>
  <c r="E2611" i="1"/>
  <c r="E2610" i="1"/>
  <c r="E2609" i="1"/>
  <c r="E2608" i="1"/>
  <c r="E2607" i="1"/>
  <c r="E2606" i="1"/>
  <c r="E2605" i="1"/>
  <c r="E2604" i="1"/>
  <c r="E2603" i="1"/>
  <c r="E2602" i="1"/>
  <c r="E2601" i="1"/>
  <c r="E2600" i="1"/>
  <c r="E2599" i="1"/>
  <c r="E2598" i="1"/>
  <c r="E2597" i="1"/>
  <c r="E2596" i="1"/>
  <c r="E2595" i="1"/>
  <c r="E2594" i="1"/>
  <c r="E2593" i="1"/>
  <c r="E2592" i="1"/>
  <c r="E2591" i="1"/>
  <c r="E2590" i="1"/>
  <c r="E2589" i="1"/>
  <c r="E2588" i="1"/>
  <c r="E2587" i="1"/>
  <c r="E2586" i="1"/>
  <c r="E2585" i="1"/>
  <c r="E2584" i="1"/>
  <c r="E2583" i="1"/>
  <c r="E2582" i="1"/>
  <c r="E2581" i="1"/>
  <c r="E2580" i="1"/>
  <c r="E2579" i="1"/>
  <c r="E2578" i="1"/>
  <c r="E2577" i="1"/>
  <c r="E2576" i="1"/>
  <c r="E2575" i="1"/>
  <c r="E2574" i="1"/>
  <c r="E2573" i="1"/>
  <c r="E2572" i="1"/>
  <c r="E2571" i="1"/>
  <c r="E2570" i="1"/>
  <c r="E2569" i="1"/>
  <c r="E2568" i="1"/>
  <c r="E2567" i="1"/>
  <c r="E2566" i="1"/>
  <c r="E2565" i="1"/>
  <c r="E2564" i="1"/>
  <c r="E2563" i="1"/>
  <c r="E2562" i="1"/>
  <c r="E2561" i="1"/>
  <c r="E2560" i="1"/>
  <c r="E2559" i="1"/>
  <c r="E2558" i="1"/>
  <c r="E2557" i="1"/>
  <c r="E2556" i="1"/>
  <c r="E2555" i="1"/>
  <c r="E2554" i="1"/>
  <c r="E2553" i="1"/>
  <c r="E2552" i="1"/>
  <c r="E2551" i="1"/>
  <c r="E2550" i="1"/>
  <c r="E2549" i="1"/>
  <c r="E2548" i="1"/>
  <c r="E2547" i="1"/>
  <c r="E2546" i="1"/>
  <c r="E2545" i="1"/>
  <c r="E2544" i="1"/>
  <c r="E2543" i="1"/>
  <c r="E2542" i="1"/>
  <c r="E2541" i="1"/>
  <c r="E2540" i="1"/>
  <c r="E2539" i="1"/>
  <c r="E2538" i="1"/>
  <c r="E2537" i="1"/>
  <c r="E2536" i="1"/>
  <c r="E2535" i="1"/>
  <c r="E2534" i="1"/>
  <c r="E2533" i="1"/>
  <c r="E2532" i="1"/>
  <c r="E2531" i="1"/>
  <c r="E2530" i="1"/>
  <c r="E2529" i="1"/>
  <c r="E2528" i="1"/>
  <c r="E2527" i="1"/>
  <c r="E2526" i="1"/>
  <c r="E2525" i="1"/>
  <c r="E2524" i="1"/>
  <c r="E2523" i="1"/>
  <c r="E2522" i="1"/>
  <c r="E2521" i="1"/>
  <c r="E2520" i="1"/>
  <c r="E2519" i="1"/>
  <c r="E2518" i="1"/>
  <c r="E2517" i="1"/>
  <c r="E2516" i="1"/>
  <c r="E2515" i="1"/>
  <c r="E2514" i="1"/>
  <c r="E2513" i="1"/>
  <c r="E2512" i="1"/>
  <c r="E2511" i="1"/>
  <c r="E2510" i="1"/>
  <c r="E2509" i="1"/>
  <c r="E2508" i="1"/>
  <c r="E2507" i="1"/>
  <c r="E2506" i="1"/>
  <c r="E2505" i="1"/>
  <c r="E2504" i="1"/>
  <c r="E2503" i="1"/>
  <c r="E2502" i="1"/>
  <c r="E2501" i="1"/>
  <c r="E2500" i="1"/>
  <c r="E2499" i="1"/>
  <c r="E2498" i="1"/>
  <c r="E2497" i="1"/>
  <c r="E2496" i="1"/>
  <c r="E2495" i="1"/>
  <c r="E2494" i="1"/>
  <c r="E2493" i="1"/>
  <c r="E2492" i="1"/>
  <c r="E2491" i="1"/>
  <c r="E2490" i="1"/>
  <c r="E2489" i="1"/>
  <c r="E2488" i="1"/>
  <c r="E2487" i="1"/>
  <c r="E2486" i="1"/>
  <c r="E2485" i="1"/>
  <c r="E2484" i="1"/>
  <c r="E2483" i="1"/>
  <c r="E2482" i="1"/>
  <c r="E2481" i="1"/>
  <c r="E2480" i="1"/>
  <c r="E2479" i="1"/>
  <c r="E2478" i="1"/>
  <c r="E2477" i="1"/>
  <c r="E2476" i="1"/>
  <c r="E2475" i="1"/>
  <c r="E2474" i="1"/>
  <c r="E2473" i="1"/>
  <c r="E2472" i="1"/>
  <c r="E2471" i="1"/>
  <c r="E2470" i="1"/>
  <c r="E2469" i="1"/>
  <c r="E2468" i="1"/>
  <c r="E2467" i="1"/>
  <c r="E2466" i="1"/>
  <c r="E2465" i="1"/>
  <c r="E2464" i="1"/>
  <c r="E2463" i="1"/>
  <c r="E2462" i="1"/>
  <c r="E2461" i="1"/>
  <c r="E2460" i="1"/>
  <c r="E2459" i="1"/>
  <c r="E2458" i="1"/>
  <c r="E2457" i="1"/>
  <c r="E2456" i="1"/>
  <c r="E2455" i="1"/>
  <c r="E2454" i="1"/>
  <c r="E2453" i="1"/>
  <c r="E2452" i="1"/>
  <c r="E2451" i="1"/>
  <c r="E2450" i="1"/>
  <c r="E2449" i="1"/>
  <c r="E2448" i="1"/>
  <c r="E2447" i="1"/>
  <c r="E2446" i="1"/>
  <c r="E2445" i="1"/>
  <c r="E2444" i="1"/>
  <c r="E2443" i="1"/>
  <c r="E2442" i="1"/>
  <c r="E2441" i="1"/>
  <c r="E2440" i="1"/>
  <c r="E2439" i="1"/>
  <c r="E2438" i="1"/>
  <c r="E2437" i="1"/>
  <c r="E2436" i="1"/>
  <c r="E2435" i="1"/>
  <c r="E2434" i="1"/>
  <c r="E2433" i="1"/>
  <c r="E2432" i="1"/>
  <c r="E2431" i="1"/>
  <c r="E2430" i="1"/>
  <c r="E2429" i="1"/>
  <c r="E2428" i="1"/>
  <c r="E2427" i="1"/>
  <c r="E2426" i="1"/>
  <c r="E2425" i="1"/>
  <c r="E2424" i="1"/>
  <c r="E2423" i="1"/>
  <c r="E2422" i="1"/>
  <c r="E2421" i="1"/>
  <c r="E2420" i="1"/>
  <c r="E2419" i="1"/>
  <c r="E2418" i="1"/>
  <c r="E2417" i="1"/>
  <c r="E2416" i="1"/>
  <c r="E2415" i="1"/>
  <c r="E2414" i="1"/>
  <c r="E2413" i="1"/>
  <c r="E2412" i="1"/>
  <c r="E2411" i="1"/>
  <c r="E2410" i="1"/>
  <c r="E2409" i="1"/>
  <c r="E2408" i="1"/>
  <c r="E2407" i="1"/>
  <c r="E2406" i="1"/>
  <c r="E2405" i="1"/>
  <c r="E2404" i="1"/>
  <c r="E2403" i="1"/>
  <c r="E2402" i="1"/>
  <c r="E2401" i="1"/>
  <c r="E2400" i="1"/>
  <c r="E2399" i="1"/>
  <c r="E2398" i="1"/>
  <c r="E2397" i="1"/>
  <c r="E2396" i="1"/>
  <c r="E2395" i="1"/>
  <c r="E2394" i="1"/>
  <c r="E2393" i="1"/>
  <c r="E2392" i="1"/>
  <c r="E2391" i="1"/>
  <c r="E2390" i="1"/>
  <c r="E2389" i="1"/>
  <c r="E2388" i="1"/>
  <c r="E2387" i="1"/>
  <c r="E2386" i="1"/>
  <c r="E2385" i="1"/>
  <c r="E2384" i="1"/>
  <c r="E2383" i="1"/>
  <c r="E2382" i="1"/>
  <c r="E2381" i="1"/>
  <c r="E2380" i="1"/>
  <c r="E2379" i="1"/>
  <c r="E2378" i="1"/>
  <c r="E2377" i="1"/>
  <c r="E2376" i="1"/>
  <c r="E2375" i="1"/>
  <c r="E2374" i="1"/>
  <c r="E2373" i="1"/>
  <c r="E2372" i="1"/>
  <c r="E2371" i="1"/>
  <c r="E2370" i="1"/>
  <c r="E2369" i="1"/>
  <c r="E2368" i="1"/>
  <c r="E2367" i="1"/>
  <c r="E2366" i="1"/>
  <c r="E2365" i="1"/>
  <c r="E2364" i="1"/>
  <c r="E2363" i="1"/>
  <c r="E2362" i="1"/>
  <c r="E2361" i="1"/>
  <c r="E2360" i="1"/>
  <c r="E2359" i="1"/>
  <c r="E2358" i="1"/>
  <c r="E2357" i="1"/>
  <c r="E2356" i="1"/>
  <c r="E2355" i="1"/>
  <c r="E2354" i="1"/>
  <c r="E2353" i="1"/>
  <c r="E2352" i="1"/>
  <c r="E2351" i="1"/>
  <c r="E2350" i="1"/>
  <c r="E2349" i="1"/>
  <c r="E2348" i="1"/>
  <c r="E2347" i="1"/>
  <c r="E2346" i="1"/>
  <c r="E2345" i="1"/>
  <c r="E2344" i="1"/>
  <c r="E2343" i="1"/>
  <c r="E2342" i="1"/>
  <c r="E2341" i="1"/>
  <c r="E2340" i="1"/>
  <c r="E2339" i="1"/>
  <c r="E2338" i="1"/>
  <c r="E2337" i="1"/>
  <c r="E2336" i="1"/>
  <c r="E2335" i="1"/>
  <c r="E2334" i="1"/>
  <c r="E2333" i="1"/>
  <c r="E2332" i="1"/>
  <c r="E2331" i="1"/>
  <c r="E2330" i="1"/>
  <c r="E2329" i="1"/>
  <c r="E2328" i="1"/>
  <c r="E2327" i="1"/>
  <c r="E2326" i="1"/>
  <c r="E2325" i="1"/>
  <c r="E2324" i="1"/>
  <c r="E2323" i="1"/>
  <c r="E2322" i="1"/>
  <c r="E2321" i="1"/>
  <c r="E2320" i="1"/>
  <c r="E2319" i="1"/>
  <c r="E2318" i="1"/>
  <c r="E2317" i="1"/>
  <c r="E2316" i="1"/>
  <c r="E2315" i="1"/>
  <c r="E2314" i="1"/>
  <c r="E2313" i="1"/>
  <c r="E2312" i="1"/>
  <c r="E2311" i="1"/>
  <c r="E2310" i="1"/>
  <c r="E2309" i="1"/>
  <c r="E2308" i="1"/>
  <c r="E2307" i="1"/>
  <c r="E2306" i="1"/>
  <c r="E2305" i="1"/>
  <c r="E2304" i="1"/>
  <c r="E2303" i="1"/>
  <c r="E2302" i="1"/>
  <c r="E2301" i="1"/>
  <c r="E2300" i="1"/>
  <c r="E2299" i="1"/>
  <c r="E2298" i="1"/>
  <c r="E2297" i="1"/>
  <c r="E2296" i="1"/>
  <c r="E2295" i="1"/>
  <c r="E2294" i="1"/>
  <c r="E2293" i="1"/>
  <c r="E2292" i="1"/>
  <c r="E2291" i="1"/>
  <c r="E2290" i="1"/>
  <c r="E2289" i="1"/>
  <c r="E2288" i="1"/>
  <c r="E2287" i="1"/>
  <c r="E2286" i="1"/>
  <c r="E2285" i="1"/>
  <c r="E2284" i="1"/>
  <c r="E2283" i="1"/>
  <c r="E2282" i="1"/>
  <c r="E2281" i="1"/>
  <c r="E2280" i="1"/>
  <c r="E2279" i="1"/>
  <c r="E2278" i="1"/>
  <c r="E2277" i="1"/>
  <c r="E2276" i="1"/>
  <c r="E2275" i="1"/>
  <c r="E2274" i="1"/>
  <c r="E2273" i="1"/>
  <c r="E2272" i="1"/>
  <c r="E2271" i="1"/>
  <c r="E2270" i="1"/>
  <c r="E2269" i="1"/>
  <c r="E2268" i="1"/>
  <c r="E2267" i="1"/>
  <c r="E2266" i="1"/>
  <c r="E2265" i="1"/>
  <c r="E2264" i="1"/>
  <c r="E2263" i="1"/>
  <c r="E2262" i="1"/>
  <c r="E2261" i="1"/>
  <c r="E2260" i="1"/>
  <c r="E2259" i="1"/>
  <c r="E2258" i="1"/>
  <c r="E2257" i="1"/>
  <c r="E2256" i="1"/>
  <c r="E2255" i="1"/>
  <c r="E2254" i="1"/>
  <c r="E2253" i="1"/>
  <c r="E2252" i="1"/>
  <c r="E2251" i="1"/>
  <c r="E2250" i="1"/>
  <c r="E2249" i="1"/>
  <c r="E2248" i="1"/>
  <c r="E2247" i="1"/>
  <c r="E2246" i="1"/>
  <c r="E2245" i="1"/>
  <c r="E2244" i="1"/>
  <c r="E2243" i="1"/>
  <c r="E2242" i="1"/>
  <c r="E2241" i="1"/>
  <c r="E2240" i="1"/>
  <c r="E2239" i="1"/>
  <c r="E2238" i="1"/>
  <c r="E2237" i="1"/>
  <c r="E2236" i="1"/>
  <c r="E2235" i="1"/>
  <c r="E2234" i="1"/>
  <c r="E2233" i="1"/>
  <c r="E2232" i="1"/>
  <c r="E2231" i="1"/>
  <c r="E2230" i="1"/>
  <c r="E2229" i="1"/>
  <c r="E2228" i="1"/>
  <c r="E2227" i="1"/>
  <c r="E2226" i="1"/>
  <c r="E2225" i="1"/>
  <c r="E2224" i="1"/>
  <c r="E2223" i="1"/>
  <c r="E2222" i="1"/>
  <c r="E2221" i="1"/>
  <c r="E2220" i="1"/>
  <c r="E2219" i="1"/>
  <c r="E2218" i="1"/>
  <c r="E2217" i="1"/>
  <c r="E2216" i="1"/>
  <c r="E2215" i="1"/>
  <c r="E2214" i="1"/>
  <c r="E2213" i="1"/>
  <c r="E2212" i="1"/>
  <c r="E2211" i="1"/>
  <c r="E2210" i="1"/>
  <c r="E2209" i="1"/>
  <c r="E2208" i="1"/>
  <c r="E2207" i="1"/>
  <c r="E2206" i="1"/>
  <c r="E2205" i="1"/>
  <c r="E2204" i="1"/>
  <c r="E2203" i="1"/>
  <c r="E2202" i="1"/>
  <c r="E2201" i="1"/>
  <c r="E2200" i="1"/>
  <c r="E2199" i="1"/>
  <c r="E2198" i="1"/>
  <c r="E2197" i="1"/>
  <c r="E2196" i="1"/>
  <c r="E2195" i="1"/>
  <c r="E2194" i="1"/>
  <c r="E2193" i="1"/>
  <c r="E2192" i="1"/>
  <c r="E2191" i="1"/>
  <c r="E2190" i="1"/>
  <c r="E2189" i="1"/>
  <c r="E2188" i="1"/>
  <c r="E2187" i="1"/>
  <c r="E2186" i="1"/>
  <c r="E2185" i="1"/>
  <c r="E2184" i="1"/>
  <c r="E2183" i="1"/>
  <c r="E2182" i="1"/>
  <c r="E2181" i="1"/>
  <c r="E2180" i="1"/>
  <c r="E2179" i="1"/>
  <c r="E2178" i="1"/>
  <c r="E2177" i="1"/>
  <c r="E2176" i="1"/>
  <c r="E2175" i="1"/>
  <c r="E2174" i="1"/>
  <c r="E2173" i="1"/>
  <c r="E2172" i="1"/>
  <c r="E2171" i="1"/>
  <c r="E2170" i="1"/>
  <c r="E2169" i="1"/>
  <c r="E2168" i="1"/>
  <c r="E2167" i="1"/>
  <c r="E2166" i="1"/>
  <c r="E2165" i="1"/>
  <c r="E2164" i="1"/>
  <c r="E2163" i="1"/>
  <c r="E2162" i="1"/>
  <c r="E2161" i="1"/>
  <c r="E2160" i="1"/>
  <c r="E2159" i="1"/>
  <c r="E2158" i="1"/>
  <c r="E2157" i="1"/>
  <c r="E2156" i="1"/>
  <c r="E2155" i="1"/>
  <c r="E2154" i="1"/>
  <c r="E2153" i="1"/>
  <c r="E2152" i="1"/>
  <c r="E2151" i="1"/>
  <c r="E2150" i="1"/>
  <c r="E2149" i="1"/>
  <c r="E2148" i="1"/>
  <c r="E2147" i="1"/>
  <c r="E2146" i="1"/>
  <c r="E2145" i="1"/>
  <c r="E2144" i="1"/>
  <c r="E2143" i="1"/>
  <c r="E2142" i="1"/>
  <c r="E2141" i="1"/>
  <c r="E2140" i="1"/>
  <c r="E2139" i="1"/>
  <c r="E2138" i="1"/>
  <c r="E2137" i="1"/>
  <c r="E2136" i="1"/>
  <c r="E2135" i="1"/>
  <c r="E2134" i="1"/>
  <c r="E2133" i="1"/>
  <c r="I107" i="2" s="1"/>
  <c r="E2132" i="1"/>
  <c r="E2131" i="1"/>
  <c r="E2130" i="1"/>
  <c r="E2129" i="1"/>
  <c r="E2128" i="1"/>
  <c r="E2127" i="1"/>
  <c r="E2126" i="1"/>
  <c r="E2125" i="1"/>
  <c r="E2124" i="1"/>
  <c r="E2123" i="1"/>
  <c r="E2122" i="1"/>
  <c r="E2121" i="1"/>
  <c r="E2120" i="1"/>
  <c r="E2119" i="1"/>
  <c r="E2118" i="1"/>
  <c r="E2117" i="1"/>
  <c r="E2116" i="1"/>
  <c r="E2115" i="1"/>
  <c r="E2114" i="1"/>
  <c r="E2113" i="1"/>
  <c r="E2112" i="1"/>
  <c r="E2111" i="1"/>
  <c r="E2110" i="1"/>
  <c r="E2109" i="1"/>
  <c r="E2108" i="1"/>
  <c r="E2107" i="1"/>
  <c r="E2106" i="1"/>
  <c r="E2105" i="1"/>
  <c r="E2104" i="1"/>
  <c r="E2103" i="1"/>
  <c r="E2102" i="1"/>
  <c r="E2101" i="1"/>
  <c r="E2100" i="1"/>
  <c r="E2099" i="1"/>
  <c r="E2098" i="1"/>
  <c r="E2097" i="1"/>
  <c r="E2096" i="1"/>
  <c r="E2095" i="1"/>
  <c r="E2094" i="1"/>
  <c r="E2093" i="1"/>
  <c r="E2092" i="1"/>
  <c r="E2091" i="1"/>
  <c r="E2090" i="1"/>
  <c r="E2089" i="1"/>
  <c r="E2088" i="1"/>
  <c r="E2087" i="1"/>
  <c r="E2086" i="1"/>
  <c r="E2085" i="1"/>
  <c r="E2084" i="1"/>
  <c r="E2083" i="1"/>
  <c r="E2082" i="1"/>
  <c r="E2081" i="1"/>
  <c r="E2080" i="1"/>
  <c r="E2079" i="1"/>
  <c r="E2078" i="1"/>
  <c r="E2077" i="1"/>
  <c r="E2076" i="1"/>
  <c r="E2075" i="1"/>
  <c r="E2074" i="1"/>
  <c r="E2073" i="1"/>
  <c r="E2072" i="1"/>
  <c r="E2071" i="1"/>
  <c r="E2070" i="1"/>
  <c r="E2069" i="1"/>
  <c r="E2068" i="1"/>
  <c r="E2067" i="1"/>
  <c r="E2066" i="1"/>
  <c r="E2065" i="1"/>
  <c r="E2064" i="1"/>
  <c r="E2063" i="1"/>
  <c r="E2062" i="1"/>
  <c r="E2061" i="1"/>
  <c r="E2060" i="1"/>
  <c r="E2059" i="1"/>
  <c r="E2058" i="1"/>
  <c r="E2057" i="1"/>
  <c r="E2056" i="1"/>
  <c r="E2055" i="1"/>
  <c r="E2054" i="1"/>
  <c r="E2053" i="1"/>
  <c r="E2052" i="1"/>
  <c r="E2051" i="1"/>
  <c r="E2050" i="1"/>
  <c r="E2049" i="1"/>
  <c r="E2048" i="1"/>
  <c r="E2047" i="1"/>
  <c r="E2046" i="1"/>
  <c r="E2045" i="1"/>
  <c r="E2044" i="1"/>
  <c r="E2043" i="1"/>
  <c r="E2042" i="1"/>
  <c r="E2041" i="1"/>
  <c r="E2040" i="1"/>
  <c r="E2039" i="1"/>
  <c r="E2038" i="1"/>
  <c r="E2037" i="1"/>
  <c r="E2036" i="1"/>
  <c r="E2035" i="1"/>
  <c r="E2034" i="1"/>
  <c r="E2033" i="1"/>
  <c r="E2032" i="1"/>
  <c r="E2031" i="1"/>
  <c r="E2030" i="1"/>
  <c r="E2029" i="1"/>
  <c r="E2028" i="1"/>
  <c r="E2027" i="1"/>
  <c r="E2026" i="1"/>
  <c r="E2025" i="1"/>
  <c r="E2024" i="1"/>
  <c r="E2023" i="1"/>
  <c r="E2022" i="1"/>
  <c r="E2021" i="1"/>
  <c r="E2020" i="1"/>
  <c r="E2019" i="1"/>
  <c r="E2018" i="1"/>
  <c r="E2017" i="1"/>
  <c r="E2016" i="1"/>
  <c r="E2015" i="1"/>
  <c r="E2014" i="1"/>
  <c r="E2013" i="1"/>
  <c r="E2012" i="1"/>
  <c r="E2011" i="1"/>
  <c r="E2010" i="1"/>
  <c r="E2009" i="1"/>
  <c r="E2008" i="1"/>
  <c r="E2007" i="1"/>
  <c r="E2006" i="1"/>
  <c r="E2005" i="1"/>
  <c r="E2004" i="1"/>
  <c r="E2003" i="1"/>
  <c r="E2002" i="1"/>
  <c r="E2001" i="1"/>
  <c r="E2000" i="1"/>
  <c r="E1999" i="1"/>
  <c r="E1998" i="1"/>
  <c r="E1997" i="1"/>
  <c r="E1996" i="1"/>
  <c r="E1995" i="1"/>
  <c r="E1994" i="1"/>
  <c r="E1993" i="1"/>
  <c r="E1992" i="1"/>
  <c r="E1991" i="1"/>
  <c r="E1990" i="1"/>
  <c r="E1989" i="1"/>
  <c r="E1988" i="1"/>
  <c r="E1987" i="1"/>
  <c r="E1986" i="1"/>
  <c r="E1985" i="1"/>
  <c r="E1984" i="1"/>
  <c r="E1983" i="1"/>
  <c r="E1982" i="1"/>
  <c r="E1981" i="1"/>
  <c r="E1980" i="1"/>
  <c r="E1979" i="1"/>
  <c r="E1978" i="1"/>
  <c r="E1977" i="1"/>
  <c r="E1976" i="1"/>
  <c r="E1975" i="1"/>
  <c r="E1974" i="1"/>
  <c r="E1973" i="1"/>
  <c r="E1972" i="1"/>
  <c r="E1971" i="1"/>
  <c r="E1970" i="1"/>
  <c r="E1969" i="1"/>
  <c r="E1968" i="1"/>
  <c r="E1967" i="1"/>
  <c r="I126" i="2" s="1"/>
  <c r="E1966" i="1"/>
  <c r="E1965" i="1"/>
  <c r="E1964" i="1"/>
  <c r="E1963" i="1"/>
  <c r="E1962" i="1"/>
  <c r="E1961" i="1"/>
  <c r="E1960" i="1"/>
  <c r="E1959" i="1"/>
  <c r="E1958" i="1"/>
  <c r="E1957" i="1"/>
  <c r="E1956" i="1"/>
  <c r="E1955" i="1"/>
  <c r="E1954" i="1"/>
  <c r="E1953" i="1"/>
  <c r="E1952" i="1"/>
  <c r="E1951" i="1"/>
  <c r="E1950" i="1"/>
  <c r="E1949" i="1"/>
  <c r="E1948" i="1"/>
  <c r="E1947" i="1"/>
  <c r="E1946" i="1"/>
  <c r="E1945" i="1"/>
  <c r="E1944" i="1"/>
  <c r="E1943" i="1"/>
  <c r="E1942" i="1"/>
  <c r="E1941" i="1"/>
  <c r="E1940" i="1"/>
  <c r="E1939" i="1"/>
  <c r="E1938" i="1"/>
  <c r="E1937" i="1"/>
  <c r="E1936" i="1"/>
  <c r="E1935" i="1"/>
  <c r="E1934" i="1"/>
  <c r="E1933" i="1"/>
  <c r="E1932" i="1"/>
  <c r="E1931" i="1"/>
  <c r="E1930" i="1"/>
  <c r="E1929" i="1"/>
  <c r="E1928" i="1"/>
  <c r="E1927" i="1"/>
  <c r="E1926" i="1"/>
  <c r="E1925" i="1"/>
  <c r="E1924" i="1"/>
  <c r="E1923" i="1"/>
  <c r="E1922" i="1"/>
  <c r="E1921" i="1"/>
  <c r="E1920" i="1"/>
  <c r="E1919" i="1"/>
  <c r="E1918" i="1"/>
  <c r="E1917" i="1"/>
  <c r="E1916" i="1"/>
  <c r="E1915" i="1"/>
  <c r="E1914" i="1"/>
  <c r="E1913" i="1"/>
  <c r="E1912" i="1"/>
  <c r="E1911" i="1"/>
  <c r="E1910" i="1"/>
  <c r="E1909" i="1"/>
  <c r="E1908" i="1"/>
  <c r="E1907" i="1"/>
  <c r="E1906" i="1"/>
  <c r="E1905" i="1"/>
  <c r="E1904" i="1"/>
  <c r="E1903" i="1"/>
  <c r="E1902" i="1"/>
  <c r="E1901" i="1"/>
  <c r="E1900" i="1"/>
  <c r="E1899" i="1"/>
  <c r="E1898" i="1"/>
  <c r="E1897" i="1"/>
  <c r="E1896" i="1"/>
  <c r="E1895" i="1"/>
  <c r="E1894" i="1"/>
  <c r="E1893" i="1"/>
  <c r="E1892" i="1"/>
  <c r="E1891" i="1"/>
  <c r="E1890" i="1"/>
  <c r="E1889" i="1"/>
  <c r="E1888" i="1"/>
  <c r="E1887" i="1"/>
  <c r="E1886" i="1"/>
  <c r="E1885" i="1"/>
  <c r="E1884" i="1"/>
  <c r="E1883" i="1"/>
  <c r="E1882" i="1"/>
  <c r="E1881" i="1"/>
  <c r="E1880" i="1"/>
  <c r="E1879" i="1"/>
  <c r="E1878" i="1"/>
  <c r="E1877" i="1"/>
  <c r="E1876" i="1"/>
  <c r="E1875" i="1"/>
  <c r="E1874" i="1"/>
  <c r="E1873" i="1"/>
  <c r="E1872" i="1"/>
  <c r="E1871" i="1"/>
  <c r="E1870" i="1"/>
  <c r="E1869" i="1"/>
  <c r="E1868" i="1"/>
  <c r="E1867" i="1"/>
  <c r="E1866" i="1"/>
  <c r="E1865" i="1"/>
  <c r="E1864" i="1"/>
  <c r="E1863" i="1"/>
  <c r="E1862" i="1"/>
  <c r="E1861" i="1"/>
  <c r="E1860" i="1"/>
  <c r="E1859" i="1"/>
  <c r="E1858" i="1"/>
  <c r="E1857" i="1"/>
  <c r="E1856" i="1"/>
  <c r="E1855" i="1"/>
  <c r="E1854" i="1"/>
  <c r="E1853" i="1"/>
  <c r="E1852" i="1"/>
  <c r="E1851" i="1"/>
  <c r="E1850" i="1"/>
  <c r="E1849" i="1"/>
  <c r="E1848" i="1"/>
  <c r="E1847" i="1"/>
  <c r="E1846" i="1"/>
  <c r="E1845" i="1"/>
  <c r="E1844" i="1"/>
  <c r="E1843" i="1"/>
  <c r="E1842" i="1"/>
  <c r="E1841" i="1"/>
  <c r="E1840" i="1"/>
  <c r="E1839" i="1"/>
  <c r="E1838" i="1"/>
  <c r="E1837" i="1"/>
  <c r="E1836" i="1"/>
  <c r="E1835" i="1"/>
  <c r="E1834" i="1"/>
  <c r="E1833" i="1"/>
  <c r="E1832" i="1"/>
  <c r="E1831" i="1"/>
  <c r="E1830" i="1"/>
  <c r="E1829" i="1"/>
  <c r="E1828" i="1"/>
  <c r="E1827" i="1"/>
  <c r="E1826" i="1"/>
  <c r="E1825" i="1"/>
  <c r="E1824" i="1"/>
  <c r="E1823" i="1"/>
  <c r="E1822" i="1"/>
  <c r="E1821" i="1"/>
  <c r="E1820" i="1"/>
  <c r="E1819" i="1"/>
  <c r="E1818" i="1"/>
  <c r="I129" i="2" s="1"/>
  <c r="E1817" i="1"/>
  <c r="E1816" i="1"/>
  <c r="E1815" i="1"/>
  <c r="E1814" i="1"/>
  <c r="E1813" i="1"/>
  <c r="E1812" i="1"/>
  <c r="E1811" i="1"/>
  <c r="E1810" i="1"/>
  <c r="E1809" i="1"/>
  <c r="E1808" i="1"/>
  <c r="E1807" i="1"/>
  <c r="E1806" i="1"/>
  <c r="E1805" i="1"/>
  <c r="E1804" i="1"/>
  <c r="E1803" i="1"/>
  <c r="E1802" i="1"/>
  <c r="E1801" i="1"/>
  <c r="E1800" i="1"/>
  <c r="E1799" i="1"/>
  <c r="E1798" i="1"/>
  <c r="E1797" i="1"/>
  <c r="E1796" i="1"/>
  <c r="E1795" i="1"/>
  <c r="E1794" i="1"/>
  <c r="E1793" i="1"/>
  <c r="E1792" i="1"/>
  <c r="E1791" i="1"/>
  <c r="E1790" i="1"/>
  <c r="E1789" i="1"/>
  <c r="E1788" i="1"/>
  <c r="E1787" i="1"/>
  <c r="E1786" i="1"/>
  <c r="E1785" i="1"/>
  <c r="E1784" i="1"/>
  <c r="E1783" i="1"/>
  <c r="E1782" i="1"/>
  <c r="E1781" i="1"/>
  <c r="E1780" i="1"/>
  <c r="E1779" i="1"/>
  <c r="E1778" i="1"/>
  <c r="E1777" i="1"/>
  <c r="E1776" i="1"/>
  <c r="E1775" i="1"/>
  <c r="E1774" i="1"/>
  <c r="E1773" i="1"/>
  <c r="E1772" i="1"/>
  <c r="E1771" i="1"/>
  <c r="E1770" i="1"/>
  <c r="E1769" i="1"/>
  <c r="E1768" i="1"/>
  <c r="E1767" i="1"/>
  <c r="E1766" i="1"/>
  <c r="E1765" i="1"/>
  <c r="E1764" i="1"/>
  <c r="E1763" i="1"/>
  <c r="E1762" i="1"/>
  <c r="E1761" i="1"/>
  <c r="E1760" i="1"/>
  <c r="E1759" i="1"/>
  <c r="E1758" i="1"/>
  <c r="E1757" i="1"/>
  <c r="E1756" i="1"/>
  <c r="E1755" i="1"/>
  <c r="E1754" i="1"/>
  <c r="E1753" i="1"/>
  <c r="E1752" i="1"/>
  <c r="E1751" i="1"/>
  <c r="E1750" i="1"/>
  <c r="E1749" i="1"/>
  <c r="E1748" i="1"/>
  <c r="E1747" i="1"/>
  <c r="E1746" i="1"/>
  <c r="E1745" i="1"/>
  <c r="E1744" i="1"/>
  <c r="E1743" i="1"/>
  <c r="E1742" i="1"/>
  <c r="E1741" i="1"/>
  <c r="E1740" i="1"/>
  <c r="E1739" i="1"/>
  <c r="E1738" i="1"/>
  <c r="E1737" i="1"/>
  <c r="E1736" i="1"/>
  <c r="E1735" i="1"/>
  <c r="E1734" i="1"/>
  <c r="E1733" i="1"/>
  <c r="E1732" i="1"/>
  <c r="E1731" i="1"/>
  <c r="E1730" i="1"/>
  <c r="E1729" i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I118" i="2" s="1"/>
  <c r="E1711" i="1"/>
  <c r="E1710" i="1"/>
  <c r="E1709" i="1"/>
  <c r="E1708" i="1"/>
  <c r="E1707" i="1"/>
  <c r="E1706" i="1"/>
  <c r="E1705" i="1"/>
  <c r="E1704" i="1"/>
  <c r="E1703" i="1"/>
  <c r="E1702" i="1"/>
  <c r="E1701" i="1"/>
  <c r="E1700" i="1"/>
  <c r="E1699" i="1"/>
  <c r="E1698" i="1"/>
  <c r="E1697" i="1"/>
  <c r="E1696" i="1"/>
  <c r="E1695" i="1"/>
  <c r="E1694" i="1"/>
  <c r="E1693" i="1"/>
  <c r="E1692" i="1"/>
  <c r="E1691" i="1"/>
  <c r="E1690" i="1"/>
  <c r="E1689" i="1"/>
  <c r="E1688" i="1"/>
  <c r="E1687" i="1"/>
  <c r="E1686" i="1"/>
  <c r="E1685" i="1"/>
  <c r="E1684" i="1"/>
  <c r="E1683" i="1"/>
  <c r="E1682" i="1"/>
  <c r="E1681" i="1"/>
  <c r="E1680" i="1"/>
  <c r="E1679" i="1"/>
  <c r="E1678" i="1"/>
  <c r="E1677" i="1"/>
  <c r="E1676" i="1"/>
  <c r="E1675" i="1"/>
  <c r="E1674" i="1"/>
  <c r="E1673" i="1"/>
  <c r="E1672" i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49" i="1"/>
  <c r="E1648" i="1"/>
  <c r="E1647" i="1"/>
  <c r="E1646" i="1"/>
  <c r="E1645" i="1"/>
  <c r="E1644" i="1"/>
  <c r="E1643" i="1"/>
  <c r="E1642" i="1"/>
  <c r="E1641" i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2" i="1"/>
  <c r="E1491" i="1"/>
  <c r="E1490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I104" i="2" s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I131" i="2" s="1"/>
  <c r="E849" i="1"/>
  <c r="E848" i="1"/>
  <c r="E847" i="1"/>
  <c r="E846" i="1"/>
  <c r="E845" i="1"/>
  <c r="E844" i="1"/>
  <c r="E843" i="1"/>
  <c r="E842" i="1"/>
  <c r="E841" i="1"/>
  <c r="E840" i="1"/>
  <c r="I130" i="2" s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I121" i="2" s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I86" i="2" s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I76" i="2" s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I134" i="2" s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I127" i="2" s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I4" i="2" s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I67" i="2" s="1"/>
  <c r="E228" i="1"/>
  <c r="E227" i="1"/>
  <c r="E226" i="1"/>
  <c r="E225" i="1"/>
  <c r="E224" i="1"/>
  <c r="E223" i="1"/>
  <c r="E222" i="1"/>
  <c r="E221" i="1"/>
  <c r="E220" i="1"/>
  <c r="E219" i="1"/>
  <c r="I77" i="2" s="1"/>
  <c r="E218" i="1"/>
  <c r="E217" i="1"/>
  <c r="E216" i="1"/>
  <c r="E215" i="1"/>
  <c r="I108" i="2" s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I117" i="2" s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I11" i="2" s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I120" i="2" s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I40" i="2" s="1"/>
  <c r="E46" i="1"/>
  <c r="E45" i="1"/>
  <c r="E44" i="1"/>
  <c r="E43" i="1"/>
  <c r="E42" i="1"/>
  <c r="E41" i="1"/>
  <c r="E40" i="1"/>
  <c r="E39" i="1"/>
  <c r="E38" i="1"/>
  <c r="E37" i="1"/>
  <c r="I124" i="2" s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I13" i="2" s="1"/>
  <c r="E22" i="1"/>
  <c r="E21" i="1"/>
  <c r="E20" i="1"/>
  <c r="E19" i="1"/>
  <c r="I71" i="2" s="1"/>
  <c r="E18" i="1"/>
  <c r="E17" i="1"/>
  <c r="E16" i="1"/>
  <c r="E15" i="1"/>
  <c r="I6" i="2" s="1"/>
  <c r="E14" i="1"/>
  <c r="E13" i="1"/>
  <c r="E12" i="1"/>
  <c r="E11" i="1"/>
  <c r="E10" i="1"/>
  <c r="E9" i="1"/>
  <c r="E8" i="1"/>
  <c r="E7" i="1"/>
  <c r="E6" i="1"/>
  <c r="E5" i="1"/>
  <c r="I18" i="2" s="1"/>
  <c r="E4" i="1"/>
  <c r="E3" i="1"/>
  <c r="E2" i="1"/>
  <c r="H6" i="3" l="1"/>
  <c r="M2" i="2" a="1"/>
  <c r="M2" i="2" s="1"/>
  <c r="I5" i="3"/>
  <c r="I27" i="2"/>
  <c r="I59" i="2"/>
  <c r="N7" i="2" a="1"/>
  <c r="N7" i="2" s="1"/>
  <c r="N8" i="3" a="1"/>
  <c r="N8" i="3" s="1"/>
  <c r="M5" i="3" a="1"/>
  <c r="M5" i="3" s="1"/>
  <c r="O4" i="3" a="1"/>
  <c r="O4" i="3" s="1"/>
  <c r="N2" i="3" a="1"/>
  <c r="N2" i="3" s="1"/>
  <c r="M133" i="2" a="1"/>
  <c r="M133" i="2" s="1"/>
  <c r="O132" i="2" a="1"/>
  <c r="O132" i="2" s="1"/>
  <c r="N129" i="2" a="1"/>
  <c r="N129" i="2" s="1"/>
  <c r="M126" i="2" a="1"/>
  <c r="M126" i="2" s="1"/>
  <c r="O125" i="2" a="1"/>
  <c r="O125" i="2" s="1"/>
  <c r="N122" i="2" a="1"/>
  <c r="N122" i="2" s="1"/>
  <c r="M119" i="2" a="1"/>
  <c r="M119" i="2" s="1"/>
  <c r="O118" i="2" a="1"/>
  <c r="O118" i="2" s="1"/>
  <c r="N115" i="2" a="1"/>
  <c r="N115" i="2" s="1"/>
  <c r="M112" i="2" a="1"/>
  <c r="M112" i="2" s="1"/>
  <c r="O111" i="2" a="1"/>
  <c r="O111" i="2" s="1"/>
  <c r="N108" i="2" a="1"/>
  <c r="N108" i="2" s="1"/>
  <c r="M105" i="2" a="1"/>
  <c r="M105" i="2" s="1"/>
  <c r="O104" i="2" a="1"/>
  <c r="O104" i="2" s="1"/>
  <c r="N101" i="2" a="1"/>
  <c r="N101" i="2" s="1"/>
  <c r="M98" i="2" a="1"/>
  <c r="M98" i="2" s="1"/>
  <c r="O97" i="2" a="1"/>
  <c r="O97" i="2" s="1"/>
  <c r="N94" i="2" a="1"/>
  <c r="N94" i="2" s="1"/>
  <c r="M91" i="2" a="1"/>
  <c r="M91" i="2" s="1"/>
  <c r="O90" i="2" a="1"/>
  <c r="O90" i="2" s="1"/>
  <c r="N87" i="2" a="1"/>
  <c r="N87" i="2" s="1"/>
  <c r="M84" i="2" a="1"/>
  <c r="M84" i="2" s="1"/>
  <c r="K9" i="3" a="1"/>
  <c r="K9" i="3" s="1"/>
  <c r="J6" i="3" a="1"/>
  <c r="J6" i="3" s="1"/>
  <c r="J134" i="2" a="1"/>
  <c r="J134" i="2" s="1"/>
  <c r="K130" i="2" a="1"/>
  <c r="K130" i="2" s="1"/>
  <c r="J127" i="2" a="1"/>
  <c r="J127" i="2" s="1"/>
  <c r="K123" i="2" a="1"/>
  <c r="K123" i="2" s="1"/>
  <c r="J120" i="2" a="1"/>
  <c r="J120" i="2" s="1"/>
  <c r="K116" i="2" a="1"/>
  <c r="K116" i="2" s="1"/>
  <c r="J113" i="2" a="1"/>
  <c r="J113" i="2" s="1"/>
  <c r="K109" i="2" a="1"/>
  <c r="K109" i="2" s="1"/>
  <c r="J106" i="2" a="1"/>
  <c r="J106" i="2" s="1"/>
  <c r="K102" i="2" a="1"/>
  <c r="K102" i="2" s="1"/>
  <c r="J99" i="2" a="1"/>
  <c r="J99" i="2" s="1"/>
  <c r="K95" i="2" a="1"/>
  <c r="K95" i="2" s="1"/>
  <c r="J92" i="2" a="1"/>
  <c r="J92" i="2" s="1"/>
  <c r="K88" i="2" a="1"/>
  <c r="K88" i="2" s="1"/>
  <c r="J85" i="2" a="1"/>
  <c r="J85" i="2" s="1"/>
  <c r="M8" i="3" a="1"/>
  <c r="M8" i="3" s="1"/>
  <c r="O7" i="3" a="1"/>
  <c r="O7" i="3" s="1"/>
  <c r="N4" i="3" a="1"/>
  <c r="N4" i="3" s="1"/>
  <c r="M2" i="3" a="1"/>
  <c r="M2" i="3" s="1"/>
  <c r="N132" i="2" a="1"/>
  <c r="N132" i="2" s="1"/>
  <c r="M129" i="2" a="1"/>
  <c r="M129" i="2" s="1"/>
  <c r="O128" i="2" a="1"/>
  <c r="O128" i="2" s="1"/>
  <c r="N125" i="2" a="1"/>
  <c r="N125" i="2" s="1"/>
  <c r="M122" i="2" a="1"/>
  <c r="M122" i="2" s="1"/>
  <c r="O121" i="2" a="1"/>
  <c r="O121" i="2" s="1"/>
  <c r="N118" i="2" a="1"/>
  <c r="N118" i="2" s="1"/>
  <c r="M115" i="2" a="1"/>
  <c r="M115" i="2" s="1"/>
  <c r="O114" i="2" a="1"/>
  <c r="O114" i="2" s="1"/>
  <c r="N111" i="2" a="1"/>
  <c r="N111" i="2" s="1"/>
  <c r="M108" i="2" a="1"/>
  <c r="M108" i="2" s="1"/>
  <c r="O107" i="2" a="1"/>
  <c r="O107" i="2" s="1"/>
  <c r="N104" i="2" a="1"/>
  <c r="N104" i="2" s="1"/>
  <c r="M101" i="2" a="1"/>
  <c r="M101" i="2" s="1"/>
  <c r="O100" i="2" a="1"/>
  <c r="O100" i="2" s="1"/>
  <c r="N97" i="2" a="1"/>
  <c r="N97" i="2" s="1"/>
  <c r="M94" i="2" a="1"/>
  <c r="M94" i="2" s="1"/>
  <c r="O93" i="2" a="1"/>
  <c r="O93" i="2" s="1"/>
  <c r="J9" i="3" a="1"/>
  <c r="J9" i="3" s="1"/>
  <c r="K5" i="3" a="1"/>
  <c r="K5" i="3" s="1"/>
  <c r="K133" i="2" a="1"/>
  <c r="K133" i="2" s="1"/>
  <c r="J130" i="2" a="1"/>
  <c r="J130" i="2" s="1"/>
  <c r="K126" i="2" a="1"/>
  <c r="K126" i="2" s="1"/>
  <c r="J123" i="2" a="1"/>
  <c r="J123" i="2" s="1"/>
  <c r="R123" i="2" s="1"/>
  <c r="K119" i="2" a="1"/>
  <c r="K119" i="2" s="1"/>
  <c r="J116" i="2" a="1"/>
  <c r="J116" i="2" s="1"/>
  <c r="K112" i="2" a="1"/>
  <c r="K112" i="2" s="1"/>
  <c r="J109" i="2" a="1"/>
  <c r="J109" i="2" s="1"/>
  <c r="R109" i="2" s="1"/>
  <c r="O10" i="3" a="1"/>
  <c r="O10" i="3" s="1"/>
  <c r="N7" i="3" a="1"/>
  <c r="N7" i="3" s="1"/>
  <c r="R7" i="3" s="1"/>
  <c r="M4" i="3" a="1"/>
  <c r="M4" i="3" s="1"/>
  <c r="O3" i="3" a="1"/>
  <c r="O3" i="3" s="1"/>
  <c r="M132" i="2" a="1"/>
  <c r="M132" i="2" s="1"/>
  <c r="O131" i="2" a="1"/>
  <c r="O131" i="2" s="1"/>
  <c r="N128" i="2" a="1"/>
  <c r="N128" i="2" s="1"/>
  <c r="M125" i="2" a="1"/>
  <c r="M125" i="2" s="1"/>
  <c r="O124" i="2" a="1"/>
  <c r="O124" i="2" s="1"/>
  <c r="N121" i="2" a="1"/>
  <c r="N121" i="2" s="1"/>
  <c r="M118" i="2" a="1"/>
  <c r="M118" i="2" s="1"/>
  <c r="O117" i="2" a="1"/>
  <c r="O117" i="2" s="1"/>
  <c r="N114" i="2" a="1"/>
  <c r="N114" i="2" s="1"/>
  <c r="M111" i="2" a="1"/>
  <c r="M111" i="2" s="1"/>
  <c r="O110" i="2" a="1"/>
  <c r="O110" i="2" s="1"/>
  <c r="N107" i="2" a="1"/>
  <c r="N107" i="2" s="1"/>
  <c r="M104" i="2" a="1"/>
  <c r="M104" i="2" s="1"/>
  <c r="O103" i="2" a="1"/>
  <c r="O103" i="2" s="1"/>
  <c r="N100" i="2" a="1"/>
  <c r="N100" i="2" s="1"/>
  <c r="M97" i="2" a="1"/>
  <c r="M97" i="2" s="1"/>
  <c r="K8" i="3" a="1"/>
  <c r="K8" i="3" s="1"/>
  <c r="J5" i="3" a="1"/>
  <c r="J5" i="3" s="1"/>
  <c r="K2" i="3" a="1"/>
  <c r="K2" i="3" s="1"/>
  <c r="J133" i="2" a="1"/>
  <c r="J133" i="2" s="1"/>
  <c r="R133" i="2" s="1"/>
  <c r="K129" i="2" a="1"/>
  <c r="K129" i="2" s="1"/>
  <c r="J126" i="2" a="1"/>
  <c r="J126" i="2" s="1"/>
  <c r="R126" i="2" s="1"/>
  <c r="K122" i="2" a="1"/>
  <c r="K122" i="2" s="1"/>
  <c r="J119" i="2" a="1"/>
  <c r="J119" i="2" s="1"/>
  <c r="R119" i="2" s="1"/>
  <c r="K115" i="2" a="1"/>
  <c r="K115" i="2" s="1"/>
  <c r="N10" i="3" a="1"/>
  <c r="N10" i="3" s="1"/>
  <c r="R10" i="3" s="1"/>
  <c r="M7" i="3" a="1"/>
  <c r="M7" i="3" s="1"/>
  <c r="O6" i="3" a="1"/>
  <c r="O6" i="3" s="1"/>
  <c r="N3" i="3" a="1"/>
  <c r="N3" i="3" s="1"/>
  <c r="O134" i="2" a="1"/>
  <c r="O134" i="2" s="1"/>
  <c r="N131" i="2" a="1"/>
  <c r="N131" i="2" s="1"/>
  <c r="M128" i="2" a="1"/>
  <c r="M128" i="2" s="1"/>
  <c r="O127" i="2" a="1"/>
  <c r="O127" i="2" s="1"/>
  <c r="N124" i="2" a="1"/>
  <c r="N124" i="2" s="1"/>
  <c r="M121" i="2" a="1"/>
  <c r="M121" i="2" s="1"/>
  <c r="O120" i="2" a="1"/>
  <c r="O120" i="2" s="1"/>
  <c r="N117" i="2" a="1"/>
  <c r="N117" i="2" s="1"/>
  <c r="M114" i="2" a="1"/>
  <c r="M114" i="2" s="1"/>
  <c r="O113" i="2" a="1"/>
  <c r="O113" i="2" s="1"/>
  <c r="N110" i="2" a="1"/>
  <c r="N110" i="2" s="1"/>
  <c r="M107" i="2" a="1"/>
  <c r="M107" i="2" s="1"/>
  <c r="O106" i="2" a="1"/>
  <c r="O106" i="2" s="1"/>
  <c r="N103" i="2" a="1"/>
  <c r="N103" i="2" s="1"/>
  <c r="M100" i="2" a="1"/>
  <c r="M100" i="2" s="1"/>
  <c r="J8" i="3" a="1"/>
  <c r="J8" i="3" s="1"/>
  <c r="K4" i="3" a="1"/>
  <c r="K4" i="3" s="1"/>
  <c r="J2" i="3" a="1"/>
  <c r="J2" i="3" s="1"/>
  <c r="K132" i="2" a="1"/>
  <c r="K132" i="2" s="1"/>
  <c r="J129" i="2" a="1"/>
  <c r="J129" i="2" s="1"/>
  <c r="R129" i="2" s="1"/>
  <c r="K125" i="2" a="1"/>
  <c r="K125" i="2" s="1"/>
  <c r="J122" i="2" a="1"/>
  <c r="J122" i="2" s="1"/>
  <c r="R122" i="2" s="1"/>
  <c r="K118" i="2" a="1"/>
  <c r="K118" i="2" s="1"/>
  <c r="J115" i="2" a="1"/>
  <c r="J115" i="2" s="1"/>
  <c r="K111" i="2" a="1"/>
  <c r="K111" i="2" s="1"/>
  <c r="J108" i="2" a="1"/>
  <c r="J108" i="2" s="1"/>
  <c r="K104" i="2" a="1"/>
  <c r="K104" i="2" s="1"/>
  <c r="J101" i="2" a="1"/>
  <c r="J101" i="2" s="1"/>
  <c r="K97" i="2" a="1"/>
  <c r="K97" i="2" s="1"/>
  <c r="M10" i="3" a="1"/>
  <c r="M10" i="3" s="1"/>
  <c r="O9" i="3" a="1"/>
  <c r="O9" i="3" s="1"/>
  <c r="N6" i="3" a="1"/>
  <c r="N6" i="3" s="1"/>
  <c r="M3" i="3" a="1"/>
  <c r="M3" i="3" s="1"/>
  <c r="N134" i="2" a="1"/>
  <c r="N134" i="2" s="1"/>
  <c r="M131" i="2" a="1"/>
  <c r="M131" i="2" s="1"/>
  <c r="O130" i="2" a="1"/>
  <c r="O130" i="2" s="1"/>
  <c r="N127" i="2" a="1"/>
  <c r="N127" i="2" s="1"/>
  <c r="M124" i="2" a="1"/>
  <c r="M124" i="2" s="1"/>
  <c r="O123" i="2" a="1"/>
  <c r="O123" i="2" s="1"/>
  <c r="N120" i="2" a="1"/>
  <c r="N120" i="2" s="1"/>
  <c r="M117" i="2" a="1"/>
  <c r="M117" i="2" s="1"/>
  <c r="O116" i="2" a="1"/>
  <c r="O116" i="2" s="1"/>
  <c r="N113" i="2" a="1"/>
  <c r="N113" i="2" s="1"/>
  <c r="M110" i="2" a="1"/>
  <c r="M110" i="2" s="1"/>
  <c r="O109" i="2" a="1"/>
  <c r="O109" i="2" s="1"/>
  <c r="N106" i="2" a="1"/>
  <c r="N106" i="2" s="1"/>
  <c r="M103" i="2" a="1"/>
  <c r="M103" i="2" s="1"/>
  <c r="O102" i="2" a="1"/>
  <c r="O102" i="2" s="1"/>
  <c r="N99" i="2" a="1"/>
  <c r="N99" i="2" s="1"/>
  <c r="M96" i="2" a="1"/>
  <c r="M96" i="2" s="1"/>
  <c r="O95" i="2" a="1"/>
  <c r="O95" i="2" s="1"/>
  <c r="K7" i="3" a="1"/>
  <c r="K7" i="3" s="1"/>
  <c r="J4" i="3" a="1"/>
  <c r="J4" i="3" s="1"/>
  <c r="J132" i="2" a="1"/>
  <c r="J132" i="2" s="1"/>
  <c r="R132" i="2" s="1"/>
  <c r="K128" i="2" a="1"/>
  <c r="K128" i="2" s="1"/>
  <c r="J125" i="2" a="1"/>
  <c r="J125" i="2" s="1"/>
  <c r="K121" i="2" a="1"/>
  <c r="K121" i="2" s="1"/>
  <c r="J118" i="2" a="1"/>
  <c r="J118" i="2" s="1"/>
  <c r="K114" i="2" a="1"/>
  <c r="K114" i="2" s="1"/>
  <c r="J111" i="2" a="1"/>
  <c r="J111" i="2" s="1"/>
  <c r="R111" i="2" s="1"/>
  <c r="K107" i="2" a="1"/>
  <c r="K107" i="2" s="1"/>
  <c r="J104" i="2" a="1"/>
  <c r="J104" i="2" s="1"/>
  <c r="K100" i="2" a="1"/>
  <c r="K100" i="2" s="1"/>
  <c r="J97" i="2" a="1"/>
  <c r="J97" i="2" s="1"/>
  <c r="K93" i="2" a="1"/>
  <c r="K93" i="2" s="1"/>
  <c r="N9" i="3" a="1"/>
  <c r="N9" i="3" s="1"/>
  <c r="R9" i="3" s="1"/>
  <c r="M6" i="3" a="1"/>
  <c r="M6" i="3" s="1"/>
  <c r="O5" i="3" a="1"/>
  <c r="O5" i="3" s="1"/>
  <c r="M134" i="2" a="1"/>
  <c r="M134" i="2" s="1"/>
  <c r="O133" i="2" a="1"/>
  <c r="O133" i="2" s="1"/>
  <c r="N130" i="2" a="1"/>
  <c r="N130" i="2" s="1"/>
  <c r="M127" i="2" a="1"/>
  <c r="M127" i="2" s="1"/>
  <c r="O126" i="2" a="1"/>
  <c r="O126" i="2" s="1"/>
  <c r="N123" i="2" a="1"/>
  <c r="N123" i="2" s="1"/>
  <c r="M120" i="2" a="1"/>
  <c r="M120" i="2" s="1"/>
  <c r="O119" i="2" a="1"/>
  <c r="O119" i="2" s="1"/>
  <c r="N116" i="2" a="1"/>
  <c r="N116" i="2" s="1"/>
  <c r="M113" i="2" a="1"/>
  <c r="M113" i="2" s="1"/>
  <c r="O112" i="2" a="1"/>
  <c r="O112" i="2" s="1"/>
  <c r="N109" i="2" a="1"/>
  <c r="N109" i="2" s="1"/>
  <c r="M106" i="2" a="1"/>
  <c r="M106" i="2" s="1"/>
  <c r="O105" i="2" a="1"/>
  <c r="O105" i="2" s="1"/>
  <c r="N102" i="2" a="1"/>
  <c r="N102" i="2" s="1"/>
  <c r="M99" i="2" a="1"/>
  <c r="M99" i="2" s="1"/>
  <c r="K10" i="3" a="1"/>
  <c r="K10" i="3" s="1"/>
  <c r="J7" i="3" a="1"/>
  <c r="J7" i="3" s="1"/>
  <c r="K3" i="3" a="1"/>
  <c r="K3" i="3" s="1"/>
  <c r="K131" i="2" a="1"/>
  <c r="K131" i="2" s="1"/>
  <c r="J128" i="2" a="1"/>
  <c r="J128" i="2" s="1"/>
  <c r="K124" i="2" a="1"/>
  <c r="K124" i="2" s="1"/>
  <c r="J121" i="2" a="1"/>
  <c r="J121" i="2" s="1"/>
  <c r="K117" i="2" a="1"/>
  <c r="K117" i="2" s="1"/>
  <c r="J114" i="2" a="1"/>
  <c r="J114" i="2" s="1"/>
  <c r="K110" i="2" a="1"/>
  <c r="K110" i="2" s="1"/>
  <c r="J107" i="2" a="1"/>
  <c r="J107" i="2" s="1"/>
  <c r="K103" i="2" a="1"/>
  <c r="K103" i="2" s="1"/>
  <c r="J100" i="2" a="1"/>
  <c r="J100" i="2" s="1"/>
  <c r="K96" i="2" a="1"/>
  <c r="K96" i="2" s="1"/>
  <c r="J93" i="2" a="1"/>
  <c r="J93" i="2" s="1"/>
  <c r="K89" i="2" a="1"/>
  <c r="K89" i="2" s="1"/>
  <c r="M9" i="3" a="1"/>
  <c r="M9" i="3" s="1"/>
  <c r="O8" i="3" a="1"/>
  <c r="O8" i="3" s="1"/>
  <c r="N5" i="3" a="1"/>
  <c r="N5" i="3" s="1"/>
  <c r="O2" i="3" a="1"/>
  <c r="O2" i="3" s="1"/>
  <c r="N133" i="2" a="1"/>
  <c r="N133" i="2" s="1"/>
  <c r="M130" i="2" a="1"/>
  <c r="M130" i="2" s="1"/>
  <c r="O129" i="2" a="1"/>
  <c r="O129" i="2" s="1"/>
  <c r="N126" i="2" a="1"/>
  <c r="N126" i="2" s="1"/>
  <c r="M123" i="2" a="1"/>
  <c r="M123" i="2" s="1"/>
  <c r="O122" i="2" a="1"/>
  <c r="O122" i="2" s="1"/>
  <c r="N119" i="2" a="1"/>
  <c r="N119" i="2" s="1"/>
  <c r="M116" i="2" a="1"/>
  <c r="M116" i="2" s="1"/>
  <c r="O115" i="2" a="1"/>
  <c r="O115" i="2" s="1"/>
  <c r="N112" i="2" a="1"/>
  <c r="N112" i="2" s="1"/>
  <c r="M109" i="2" a="1"/>
  <c r="M109" i="2" s="1"/>
  <c r="O108" i="2" a="1"/>
  <c r="O108" i="2" s="1"/>
  <c r="N105" i="2" a="1"/>
  <c r="N105" i="2" s="1"/>
  <c r="M102" i="2" a="1"/>
  <c r="M102" i="2" s="1"/>
  <c r="O101" i="2" a="1"/>
  <c r="O101" i="2" s="1"/>
  <c r="N98" i="2" a="1"/>
  <c r="N98" i="2" s="1"/>
  <c r="M95" i="2" a="1"/>
  <c r="M95" i="2" s="1"/>
  <c r="O94" i="2" a="1"/>
  <c r="O94" i="2" s="1"/>
  <c r="N91" i="2" a="1"/>
  <c r="N91" i="2" s="1"/>
  <c r="J10" i="3" a="1"/>
  <c r="J10" i="3" s="1"/>
  <c r="K6" i="3" a="1"/>
  <c r="K6" i="3" s="1"/>
  <c r="J3" i="3" a="1"/>
  <c r="J3" i="3" s="1"/>
  <c r="K134" i="2" a="1"/>
  <c r="K134" i="2" s="1"/>
  <c r="J131" i="2" a="1"/>
  <c r="J131" i="2" s="1"/>
  <c r="K127" i="2" a="1"/>
  <c r="K127" i="2" s="1"/>
  <c r="J124" i="2" a="1"/>
  <c r="J124" i="2" s="1"/>
  <c r="K120" i="2" a="1"/>
  <c r="K120" i="2" s="1"/>
  <c r="J117" i="2" a="1"/>
  <c r="J117" i="2" s="1"/>
  <c r="K113" i="2" a="1"/>
  <c r="K113" i="2" s="1"/>
  <c r="J110" i="2" a="1"/>
  <c r="J110" i="2" s="1"/>
  <c r="K106" i="2" a="1"/>
  <c r="K106" i="2" s="1"/>
  <c r="J103" i="2" a="1"/>
  <c r="J103" i="2" s="1"/>
  <c r="K99" i="2" a="1"/>
  <c r="K99" i="2" s="1"/>
  <c r="J96" i="2" a="1"/>
  <c r="J96" i="2" s="1"/>
  <c r="K92" i="2" a="1"/>
  <c r="K92" i="2" s="1"/>
  <c r="J89" i="2" a="1"/>
  <c r="J89" i="2" s="1"/>
  <c r="K85" i="2" a="1"/>
  <c r="K85" i="2" s="1"/>
  <c r="J82" i="2" a="1"/>
  <c r="J82" i="2" s="1"/>
  <c r="K78" i="2" a="1"/>
  <c r="K78" i="2" s="1"/>
  <c r="J75" i="2" a="1"/>
  <c r="J75" i="2" s="1"/>
  <c r="K71" i="2" a="1"/>
  <c r="K71" i="2" s="1"/>
  <c r="J112" i="2" a="1"/>
  <c r="J112" i="2" s="1"/>
  <c r="R112" i="2" s="1"/>
  <c r="J105" i="2" a="1"/>
  <c r="J105" i="2" s="1"/>
  <c r="O99" i="2" a="1"/>
  <c r="O99" i="2" s="1"/>
  <c r="N95" i="2" a="1"/>
  <c r="N95" i="2" s="1"/>
  <c r="O91" i="2" a="1"/>
  <c r="O91" i="2" s="1"/>
  <c r="M89" i="2" a="1"/>
  <c r="M89" i="2" s="1"/>
  <c r="M88" i="2" a="1"/>
  <c r="M88" i="2" s="1"/>
  <c r="N85" i="2" a="1"/>
  <c r="N85" i="2" s="1"/>
  <c r="O83" i="2" a="1"/>
  <c r="O83" i="2" s="1"/>
  <c r="N79" i="2" a="1"/>
  <c r="N79" i="2" s="1"/>
  <c r="M75" i="2" a="1"/>
  <c r="M75" i="2" s="1"/>
  <c r="M70" i="2" a="1"/>
  <c r="M70" i="2" s="1"/>
  <c r="O69" i="2" a="1"/>
  <c r="O69" i="2" s="1"/>
  <c r="N66" i="2" a="1"/>
  <c r="N66" i="2" s="1"/>
  <c r="M63" i="2" a="1"/>
  <c r="M63" i="2" s="1"/>
  <c r="O62" i="2" a="1"/>
  <c r="O62" i="2" s="1"/>
  <c r="N59" i="2" a="1"/>
  <c r="N59" i="2" s="1"/>
  <c r="M56" i="2" a="1"/>
  <c r="M56" i="2" s="1"/>
  <c r="K108" i="2" a="1"/>
  <c r="K108" i="2" s="1"/>
  <c r="J95" i="2" a="1"/>
  <c r="J95" i="2" s="1"/>
  <c r="O92" i="2" a="1"/>
  <c r="O92" i="2" s="1"/>
  <c r="K87" i="2" a="1"/>
  <c r="K87" i="2" s="1"/>
  <c r="N84" i="2" a="1"/>
  <c r="N84" i="2" s="1"/>
  <c r="J81" i="2" a="1"/>
  <c r="J81" i="2" s="1"/>
  <c r="O78" i="2" a="1"/>
  <c r="O78" i="2" s="1"/>
  <c r="J76" i="2" a="1"/>
  <c r="J76" i="2" s="1"/>
  <c r="N74" i="2" a="1"/>
  <c r="N74" i="2" s="1"/>
  <c r="J71" i="2" a="1"/>
  <c r="J71" i="2" s="1"/>
  <c r="K67" i="2" a="1"/>
  <c r="K67" i="2" s="1"/>
  <c r="J64" i="2" a="1"/>
  <c r="J64" i="2" s="1"/>
  <c r="K60" i="2" a="1"/>
  <c r="K60" i="2" s="1"/>
  <c r="J57" i="2" a="1"/>
  <c r="J57" i="2" s="1"/>
  <c r="I54" i="2"/>
  <c r="K53" i="2" a="1"/>
  <c r="K53" i="2" s="1"/>
  <c r="J50" i="2" a="1"/>
  <c r="J50" i="2" s="1"/>
  <c r="K46" i="2" a="1"/>
  <c r="K46" i="2" s="1"/>
  <c r="K91" i="2" a="1"/>
  <c r="K91" i="2" s="1"/>
  <c r="K90" i="2" a="1"/>
  <c r="K90" i="2" s="1"/>
  <c r="J88" i="2" a="1"/>
  <c r="J88" i="2" s="1"/>
  <c r="K86" i="2" a="1"/>
  <c r="K86" i="2" s="1"/>
  <c r="M85" i="2" a="1"/>
  <c r="M85" i="2" s="1"/>
  <c r="N83" i="2" a="1"/>
  <c r="N83" i="2" s="1"/>
  <c r="K80" i="2" a="1"/>
  <c r="K80" i="2" s="1"/>
  <c r="M79" i="2" a="1"/>
  <c r="M79" i="2" s="1"/>
  <c r="O73" i="2" a="1"/>
  <c r="O73" i="2" s="1"/>
  <c r="N69" i="2" a="1"/>
  <c r="N69" i="2" s="1"/>
  <c r="M66" i="2" a="1"/>
  <c r="M66" i="2" s="1"/>
  <c r="O65" i="2" a="1"/>
  <c r="O65" i="2" s="1"/>
  <c r="N62" i="2" a="1"/>
  <c r="N62" i="2" s="1"/>
  <c r="M59" i="2" a="1"/>
  <c r="M59" i="2" s="1"/>
  <c r="N92" i="2" a="1"/>
  <c r="N92" i="2" s="1"/>
  <c r="J87" i="2" a="1"/>
  <c r="J87" i="2" s="1"/>
  <c r="N78" i="2" a="1"/>
  <c r="N78" i="2" s="1"/>
  <c r="K75" i="2" a="1"/>
  <c r="K75" i="2" s="1"/>
  <c r="M74" i="2" a="1"/>
  <c r="M74" i="2" s="1"/>
  <c r="N73" i="2" a="1"/>
  <c r="N73" i="2" s="1"/>
  <c r="K70" i="2" a="1"/>
  <c r="K70" i="2" s="1"/>
  <c r="J67" i="2" a="1"/>
  <c r="J67" i="2" s="1"/>
  <c r="K63" i="2" a="1"/>
  <c r="K63" i="2" s="1"/>
  <c r="J60" i="2" a="1"/>
  <c r="J60" i="2" s="1"/>
  <c r="K56" i="2" a="1"/>
  <c r="K56" i="2" s="1"/>
  <c r="J53" i="2" a="1"/>
  <c r="J53" i="2" s="1"/>
  <c r="K49" i="2" a="1"/>
  <c r="K49" i="2" s="1"/>
  <c r="J46" i="2" a="1"/>
  <c r="J46" i="2" s="1"/>
  <c r="K42" i="2" a="1"/>
  <c r="K42" i="2" s="1"/>
  <c r="J39" i="2" a="1"/>
  <c r="J39" i="2" s="1"/>
  <c r="K35" i="2" a="1"/>
  <c r="K35" i="2" s="1"/>
  <c r="J32" i="2" a="1"/>
  <c r="J32" i="2" s="1"/>
  <c r="K28" i="2" a="1"/>
  <c r="K28" i="2" s="1"/>
  <c r="J25" i="2" a="1"/>
  <c r="J25" i="2" s="1"/>
  <c r="O98" i="2" a="1"/>
  <c r="O98" i="2" s="1"/>
  <c r="O96" i="2" a="1"/>
  <c r="O96" i="2" s="1"/>
  <c r="N93" i="2" a="1"/>
  <c r="N93" i="2" s="1"/>
  <c r="J91" i="2" a="1"/>
  <c r="J91" i="2" s="1"/>
  <c r="J90" i="2" a="1"/>
  <c r="J90" i="2" s="1"/>
  <c r="J86" i="2" a="1"/>
  <c r="J86" i="2" s="1"/>
  <c r="K84" i="2" a="1"/>
  <c r="K84" i="2" s="1"/>
  <c r="M83" i="2" a="1"/>
  <c r="M83" i="2" s="1"/>
  <c r="O82" i="2" a="1"/>
  <c r="O82" i="2" s="1"/>
  <c r="J80" i="2" a="1"/>
  <c r="J80" i="2" s="1"/>
  <c r="O77" i="2" a="1"/>
  <c r="O77" i="2" s="1"/>
  <c r="O72" i="2" a="1"/>
  <c r="O72" i="2" s="1"/>
  <c r="M69" i="2" a="1"/>
  <c r="M69" i="2" s="1"/>
  <c r="O68" i="2" a="1"/>
  <c r="O68" i="2" s="1"/>
  <c r="N65" i="2" a="1"/>
  <c r="N65" i="2" s="1"/>
  <c r="M62" i="2" a="1"/>
  <c r="M62" i="2" s="1"/>
  <c r="O61" i="2" a="1"/>
  <c r="O61" i="2" s="1"/>
  <c r="N58" i="2" a="1"/>
  <c r="N58" i="2" s="1"/>
  <c r="K101" i="2" a="1"/>
  <c r="K101" i="2" s="1"/>
  <c r="K98" i="2" a="1"/>
  <c r="K98" i="2" s="1"/>
  <c r="M92" i="2" a="1"/>
  <c r="M92" i="2" s="1"/>
  <c r="K79" i="2" a="1"/>
  <c r="K79" i="2" s="1"/>
  <c r="M78" i="2" a="1"/>
  <c r="M78" i="2" s="1"/>
  <c r="K74" i="2" a="1"/>
  <c r="K74" i="2" s="1"/>
  <c r="M73" i="2" a="1"/>
  <c r="M73" i="2" s="1"/>
  <c r="J70" i="2" a="1"/>
  <c r="J70" i="2" s="1"/>
  <c r="K66" i="2" a="1"/>
  <c r="K66" i="2" s="1"/>
  <c r="J63" i="2" a="1"/>
  <c r="J63" i="2" s="1"/>
  <c r="K59" i="2" a="1"/>
  <c r="K59" i="2" s="1"/>
  <c r="J98" i="2" a="1"/>
  <c r="J98" i="2" s="1"/>
  <c r="N96" i="2" a="1"/>
  <c r="N96" i="2" s="1"/>
  <c r="M93" i="2" a="1"/>
  <c r="M93" i="2" s="1"/>
  <c r="J84" i="2" a="1"/>
  <c r="J84" i="2" s="1"/>
  <c r="N82" i="2" a="1"/>
  <c r="N82" i="2" s="1"/>
  <c r="N77" i="2" a="1"/>
  <c r="N77" i="2" s="1"/>
  <c r="O76" i="2" a="1"/>
  <c r="O76" i="2" s="1"/>
  <c r="N72" i="2" a="1"/>
  <c r="N72" i="2" s="1"/>
  <c r="N68" i="2" a="1"/>
  <c r="N68" i="2" s="1"/>
  <c r="M65" i="2" a="1"/>
  <c r="M65" i="2" s="1"/>
  <c r="O64" i="2" a="1"/>
  <c r="O64" i="2" s="1"/>
  <c r="N61" i="2" a="1"/>
  <c r="N61" i="2" s="1"/>
  <c r="M58" i="2" a="1"/>
  <c r="M58" i="2" s="1"/>
  <c r="K83" i="2" a="1"/>
  <c r="K83" i="2" s="1"/>
  <c r="O81" i="2" a="1"/>
  <c r="O81" i="2" s="1"/>
  <c r="J79" i="2" a="1"/>
  <c r="J79" i="2" s="1"/>
  <c r="M77" i="2" a="1"/>
  <c r="M77" i="2" s="1"/>
  <c r="J74" i="2" a="1"/>
  <c r="J74" i="2" s="1"/>
  <c r="O71" i="2" a="1"/>
  <c r="O71" i="2" s="1"/>
  <c r="K69" i="2" a="1"/>
  <c r="K69" i="2" s="1"/>
  <c r="J66" i="2" a="1"/>
  <c r="J66" i="2" s="1"/>
  <c r="K62" i="2" a="1"/>
  <c r="K62" i="2" s="1"/>
  <c r="J59" i="2" a="1"/>
  <c r="J59" i="2" s="1"/>
  <c r="K55" i="2" a="1"/>
  <c r="K55" i="2" s="1"/>
  <c r="J52" i="2" a="1"/>
  <c r="J52" i="2" s="1"/>
  <c r="K48" i="2" a="1"/>
  <c r="K48" i="2" s="1"/>
  <c r="J45" i="2" a="1"/>
  <c r="J45" i="2" s="1"/>
  <c r="M82" i="2" a="1"/>
  <c r="M82" i="2" s="1"/>
  <c r="N76" i="2" a="1"/>
  <c r="N76" i="2" s="1"/>
  <c r="K73" i="2" a="1"/>
  <c r="K73" i="2" s="1"/>
  <c r="M72" i="2" a="1"/>
  <c r="M72" i="2" s="1"/>
  <c r="M68" i="2" a="1"/>
  <c r="M68" i="2" s="1"/>
  <c r="O67" i="2" a="1"/>
  <c r="O67" i="2" s="1"/>
  <c r="N64" i="2" a="1"/>
  <c r="N64" i="2" s="1"/>
  <c r="M61" i="2" a="1"/>
  <c r="M61" i="2" s="1"/>
  <c r="O60" i="2" a="1"/>
  <c r="O60" i="2" s="1"/>
  <c r="N57" i="2" a="1"/>
  <c r="N57" i="2" s="1"/>
  <c r="M54" i="2" a="1"/>
  <c r="M54" i="2" s="1"/>
  <c r="O53" i="2" a="1"/>
  <c r="O53" i="2" s="1"/>
  <c r="N50" i="2" a="1"/>
  <c r="N50" i="2" s="1"/>
  <c r="R50" i="2" s="1"/>
  <c r="M47" i="2" a="1"/>
  <c r="M47" i="2" s="1"/>
  <c r="O46" i="2" a="1"/>
  <c r="O46" i="2" s="1"/>
  <c r="O86" i="2" a="1"/>
  <c r="O86" i="2" s="1"/>
  <c r="J83" i="2" a="1"/>
  <c r="J83" i="2" s="1"/>
  <c r="N81" i="2" a="1"/>
  <c r="N81" i="2" s="1"/>
  <c r="J78" i="2" a="1"/>
  <c r="J78" i="2" s="1"/>
  <c r="N71" i="2" a="1"/>
  <c r="N71" i="2" s="1"/>
  <c r="J69" i="2" a="1"/>
  <c r="J69" i="2" s="1"/>
  <c r="K65" i="2" a="1"/>
  <c r="K65" i="2" s="1"/>
  <c r="J62" i="2" a="1"/>
  <c r="J62" i="2" s="1"/>
  <c r="K58" i="2" a="1"/>
  <c r="K58" i="2" s="1"/>
  <c r="J55" i="2" a="1"/>
  <c r="J55" i="2" s="1"/>
  <c r="K51" i="2" a="1"/>
  <c r="K51" i="2" s="1"/>
  <c r="J48" i="2" a="1"/>
  <c r="J48" i="2" s="1"/>
  <c r="K44" i="2" a="1"/>
  <c r="K44" i="2" s="1"/>
  <c r="J41" i="2" a="1"/>
  <c r="J41" i="2" s="1"/>
  <c r="K37" i="2" a="1"/>
  <c r="K37" i="2" s="1"/>
  <c r="J34" i="2" a="1"/>
  <c r="J34" i="2" s="1"/>
  <c r="K30" i="2" a="1"/>
  <c r="K30" i="2" s="1"/>
  <c r="J27" i="2" a="1"/>
  <c r="J27" i="2" s="1"/>
  <c r="K23" i="2" a="1"/>
  <c r="K23" i="2" s="1"/>
  <c r="K94" i="2" a="1"/>
  <c r="K94" i="2" s="1"/>
  <c r="O89" i="2" a="1"/>
  <c r="O89" i="2" s="1"/>
  <c r="O88" i="2" a="1"/>
  <c r="O88" i="2" s="1"/>
  <c r="O80" i="2" a="1"/>
  <c r="O80" i="2" s="1"/>
  <c r="K77" i="2" a="1"/>
  <c r="K77" i="2" s="1"/>
  <c r="P77" i="2" s="1"/>
  <c r="M76" i="2" a="1"/>
  <c r="M76" i="2" s="1"/>
  <c r="O75" i="2" a="1"/>
  <c r="O75" i="2" s="1"/>
  <c r="J73" i="2" a="1"/>
  <c r="J73" i="2" s="1"/>
  <c r="O70" i="2" a="1"/>
  <c r="O70" i="2" s="1"/>
  <c r="N90" i="2" a="1"/>
  <c r="N90" i="2" s="1"/>
  <c r="O87" i="2" a="1"/>
  <c r="O87" i="2" s="1"/>
  <c r="N86" i="2" a="1"/>
  <c r="N86" i="2" s="1"/>
  <c r="K82" i="2" a="1"/>
  <c r="K82" i="2" s="1"/>
  <c r="M81" i="2" a="1"/>
  <c r="M81" i="2" s="1"/>
  <c r="N80" i="2" a="1"/>
  <c r="N80" i="2" s="1"/>
  <c r="K72" i="2" a="1"/>
  <c r="K72" i="2" s="1"/>
  <c r="M71" i="2" a="1"/>
  <c r="M71" i="2" s="1"/>
  <c r="K68" i="2" a="1"/>
  <c r="K68" i="2" s="1"/>
  <c r="J65" i="2" a="1"/>
  <c r="J65" i="2" s="1"/>
  <c r="K61" i="2" a="1"/>
  <c r="K61" i="2" s="1"/>
  <c r="J58" i="2" a="1"/>
  <c r="J58" i="2" s="1"/>
  <c r="K54" i="2" a="1"/>
  <c r="K54" i="2" s="1"/>
  <c r="J51" i="2" a="1"/>
  <c r="J51" i="2" s="1"/>
  <c r="K47" i="2" a="1"/>
  <c r="K47" i="2" s="1"/>
  <c r="J44" i="2" a="1"/>
  <c r="J44" i="2" s="1"/>
  <c r="K40" i="2" a="1"/>
  <c r="K40" i="2" s="1"/>
  <c r="J37" i="2" a="1"/>
  <c r="J37" i="2" s="1"/>
  <c r="K33" i="2" a="1"/>
  <c r="K33" i="2" s="1"/>
  <c r="J30" i="2" a="1"/>
  <c r="J30" i="2" s="1"/>
  <c r="J94" i="2" a="1"/>
  <c r="J94" i="2" s="1"/>
  <c r="N89" i="2" a="1"/>
  <c r="N89" i="2" s="1"/>
  <c r="N88" i="2" a="1"/>
  <c r="N88" i="2" s="1"/>
  <c r="R88" i="2" s="1"/>
  <c r="M87" i="2" a="1"/>
  <c r="M87" i="2" s="1"/>
  <c r="O85" i="2" a="1"/>
  <c r="O85" i="2" s="1"/>
  <c r="O79" i="2" a="1"/>
  <c r="O79" i="2" s="1"/>
  <c r="J77" i="2" a="1"/>
  <c r="J77" i="2" s="1"/>
  <c r="N75" i="2" a="1"/>
  <c r="N75" i="2" s="1"/>
  <c r="N70" i="2" a="1"/>
  <c r="N70" i="2" s="1"/>
  <c r="M67" i="2" a="1"/>
  <c r="M67" i="2" s="1"/>
  <c r="O66" i="2" a="1"/>
  <c r="O66" i="2" s="1"/>
  <c r="N63" i="2" a="1"/>
  <c r="N63" i="2" s="1"/>
  <c r="M60" i="2" a="1"/>
  <c r="M60" i="2" s="1"/>
  <c r="O59" i="2" a="1"/>
  <c r="O59" i="2" s="1"/>
  <c r="N56" i="2" a="1"/>
  <c r="N56" i="2" s="1"/>
  <c r="M53" i="2" a="1"/>
  <c r="M53" i="2" s="1"/>
  <c r="O52" i="2" a="1"/>
  <c r="O52" i="2" s="1"/>
  <c r="N49" i="2" a="1"/>
  <c r="N49" i="2" s="1"/>
  <c r="M46" i="2" a="1"/>
  <c r="M46" i="2" s="1"/>
  <c r="O45" i="2" a="1"/>
  <c r="O45" i="2" s="1"/>
  <c r="K105" i="2" a="1"/>
  <c r="K105" i="2" s="1"/>
  <c r="J102" i="2" a="1"/>
  <c r="J102" i="2" s="1"/>
  <c r="M90" i="2" a="1"/>
  <c r="M90" i="2" s="1"/>
  <c r="M86" i="2" a="1"/>
  <c r="M86" i="2" s="1"/>
  <c r="O84" i="2" a="1"/>
  <c r="O84" i="2" s="1"/>
  <c r="K81" i="2" a="1"/>
  <c r="K81" i="2" s="1"/>
  <c r="M80" i="2" a="1"/>
  <c r="M80" i="2" s="1"/>
  <c r="K76" i="2" a="1"/>
  <c r="K76" i="2" s="1"/>
  <c r="O74" i="2" a="1"/>
  <c r="O74" i="2" s="1"/>
  <c r="J72" i="2" a="1"/>
  <c r="J72" i="2" s="1"/>
  <c r="J68" i="2" a="1"/>
  <c r="J68" i="2" s="1"/>
  <c r="K64" i="2" a="1"/>
  <c r="K64" i="2" s="1"/>
  <c r="J61" i="2" a="1"/>
  <c r="J61" i="2" s="1"/>
  <c r="K57" i="2" a="1"/>
  <c r="K57" i="2" s="1"/>
  <c r="J54" i="2" a="1"/>
  <c r="J54" i="2" s="1"/>
  <c r="K50" i="2" a="1"/>
  <c r="K50" i="2" s="1"/>
  <c r="J47" i="2" a="1"/>
  <c r="J47" i="2" s="1"/>
  <c r="K43" i="2" a="1"/>
  <c r="K43" i="2" s="1"/>
  <c r="O58" i="2" a="1"/>
  <c r="O58" i="2" s="1"/>
  <c r="O56" i="2" a="1"/>
  <c r="O56" i="2" s="1"/>
  <c r="O48" i="2" a="1"/>
  <c r="O48" i="2" s="1"/>
  <c r="N45" i="2" a="1"/>
  <c r="N45" i="2" s="1"/>
  <c r="M43" i="2" a="1"/>
  <c r="M43" i="2" s="1"/>
  <c r="M41" i="2" a="1"/>
  <c r="M41" i="2" s="1"/>
  <c r="N39" i="2" a="1"/>
  <c r="N39" i="2" s="1"/>
  <c r="R39" i="2" s="1"/>
  <c r="N38" i="2" a="1"/>
  <c r="N38" i="2" s="1"/>
  <c r="O37" i="2" a="1"/>
  <c r="O37" i="2" s="1"/>
  <c r="O36" i="2" a="1"/>
  <c r="O36" i="2" s="1"/>
  <c r="O35" i="2" a="1"/>
  <c r="O35" i="2" s="1"/>
  <c r="K27" i="2" a="1"/>
  <c r="K27" i="2" s="1"/>
  <c r="N20" i="2" a="1"/>
  <c r="N20" i="2" s="1"/>
  <c r="M17" i="2" a="1"/>
  <c r="M17" i="2" s="1"/>
  <c r="O16" i="2" a="1"/>
  <c r="O16" i="2" s="1"/>
  <c r="M10" i="2" a="1"/>
  <c r="M10" i="2" s="1"/>
  <c r="N48" i="2" a="1"/>
  <c r="N48" i="2" s="1"/>
  <c r="M44" i="2" a="1"/>
  <c r="M44" i="2" s="1"/>
  <c r="M40" i="2" a="1"/>
  <c r="M40" i="2" s="1"/>
  <c r="M39" i="2" a="1"/>
  <c r="M39" i="2" s="1"/>
  <c r="N37" i="2" a="1"/>
  <c r="N37" i="2" s="1"/>
  <c r="N35" i="2" a="1"/>
  <c r="N35" i="2" s="1"/>
  <c r="O34" i="2" a="1"/>
  <c r="O34" i="2" s="1"/>
  <c r="O33" i="2" a="1"/>
  <c r="O33" i="2" s="1"/>
  <c r="K26" i="2" a="1"/>
  <c r="K26" i="2" s="1"/>
  <c r="M25" i="2" a="1"/>
  <c r="M25" i="2" s="1"/>
  <c r="N24" i="2" a="1"/>
  <c r="N24" i="2" s="1"/>
  <c r="K21" i="2" a="1"/>
  <c r="K21" i="2" s="1"/>
  <c r="J18" i="2" a="1"/>
  <c r="J18" i="2" s="1"/>
  <c r="K14" i="2" a="1"/>
  <c r="K14" i="2" s="1"/>
  <c r="J11" i="2" a="1"/>
  <c r="J11" i="2" s="1"/>
  <c r="K7" i="2" a="1"/>
  <c r="K7" i="2" s="1"/>
  <c r="O51" i="2" a="1"/>
  <c r="O51" i="2" s="1"/>
  <c r="M48" i="2" a="1"/>
  <c r="M48" i="2" s="1"/>
  <c r="M45" i="2" a="1"/>
  <c r="M45" i="2" s="1"/>
  <c r="M38" i="2" a="1"/>
  <c r="M38" i="2" s="1"/>
  <c r="N36" i="2" a="1"/>
  <c r="N36" i="2" s="1"/>
  <c r="O31" i="2" a="1"/>
  <c r="O31" i="2" s="1"/>
  <c r="O23" i="2" a="1"/>
  <c r="O23" i="2" s="1"/>
  <c r="M20" i="2" a="1"/>
  <c r="M20" i="2" s="1"/>
  <c r="O19" i="2" a="1"/>
  <c r="O19" i="2" s="1"/>
  <c r="N16" i="2" a="1"/>
  <c r="N16" i="2" s="1"/>
  <c r="M13" i="2" a="1"/>
  <c r="M13" i="2" s="1"/>
  <c r="O12" i="2" a="1"/>
  <c r="O12" i="2" s="1"/>
  <c r="N9" i="2" a="1"/>
  <c r="N9" i="2" s="1"/>
  <c r="M6" i="2" a="1"/>
  <c r="M6" i="2" s="1"/>
  <c r="J56" i="2" a="1"/>
  <c r="J56" i="2" s="1"/>
  <c r="O54" i="2" a="1"/>
  <c r="O54" i="2" s="1"/>
  <c r="N51" i="2" a="1"/>
  <c r="N51" i="2" s="1"/>
  <c r="J43" i="2" a="1"/>
  <c r="J43" i="2" s="1"/>
  <c r="J42" i="2" a="1"/>
  <c r="J42" i="2" s="1"/>
  <c r="K41" i="2" a="1"/>
  <c r="K41" i="2" s="1"/>
  <c r="M37" i="2" a="1"/>
  <c r="M37" i="2" s="1"/>
  <c r="M36" i="2" a="1"/>
  <c r="M36" i="2" s="1"/>
  <c r="M35" i="2" a="1"/>
  <c r="M35" i="2" s="1"/>
  <c r="N34" i="2" a="1"/>
  <c r="N34" i="2" s="1"/>
  <c r="N33" i="2" a="1"/>
  <c r="N33" i="2" s="1"/>
  <c r="O32" i="2" a="1"/>
  <c r="O32" i="2" s="1"/>
  <c r="J26" i="2" a="1"/>
  <c r="J26" i="2" s="1"/>
  <c r="M24" i="2" a="1"/>
  <c r="M24" i="2" s="1"/>
  <c r="J21" i="2" a="1"/>
  <c r="J21" i="2" s="1"/>
  <c r="K17" i="2" a="1"/>
  <c r="K17" i="2" s="1"/>
  <c r="J14" i="2" a="1"/>
  <c r="J14" i="2" s="1"/>
  <c r="K45" i="2" a="1"/>
  <c r="K45" i="2" s="1"/>
  <c r="J40" i="2" a="1"/>
  <c r="J40" i="2" s="1"/>
  <c r="K39" i="2" a="1"/>
  <c r="K39" i="2" s="1"/>
  <c r="K38" i="2" a="1"/>
  <c r="K38" i="2" s="1"/>
  <c r="M34" i="2" a="1"/>
  <c r="M34" i="2" s="1"/>
  <c r="N32" i="2" a="1"/>
  <c r="N32" i="2" s="1"/>
  <c r="N31" i="2" a="1"/>
  <c r="N31" i="2" s="1"/>
  <c r="O30" i="2" a="1"/>
  <c r="O30" i="2" s="1"/>
  <c r="O29" i="2" a="1"/>
  <c r="O29" i="2" s="1"/>
  <c r="K25" i="2" a="1"/>
  <c r="K25" i="2" s="1"/>
  <c r="N23" i="2" a="1"/>
  <c r="N23" i="2" s="1"/>
  <c r="N54" i="2" a="1"/>
  <c r="N54" i="2" s="1"/>
  <c r="M51" i="2" a="1"/>
  <c r="M51" i="2" s="1"/>
  <c r="O49" i="2" a="1"/>
  <c r="O49" i="2" s="1"/>
  <c r="N46" i="2" a="1"/>
  <c r="N46" i="2" s="1"/>
  <c r="K36" i="2" a="1"/>
  <c r="K36" i="2" s="1"/>
  <c r="M33" i="2" a="1"/>
  <c r="M33" i="2" s="1"/>
  <c r="M32" i="2" a="1"/>
  <c r="M32" i="2" s="1"/>
  <c r="N30" i="2" a="1"/>
  <c r="N30" i="2" s="1"/>
  <c r="O28" i="2" a="1"/>
  <c r="O28" i="2" s="1"/>
  <c r="O22" i="2" a="1"/>
  <c r="O22" i="2" s="1"/>
  <c r="K20" i="2" a="1"/>
  <c r="K20" i="2" s="1"/>
  <c r="J17" i="2" a="1"/>
  <c r="J17" i="2" s="1"/>
  <c r="K13" i="2" a="1"/>
  <c r="K13" i="2" s="1"/>
  <c r="P13" i="2" s="1"/>
  <c r="J10" i="2" a="1"/>
  <c r="J10" i="2" s="1"/>
  <c r="K6" i="2" a="1"/>
  <c r="K6" i="2" s="1"/>
  <c r="P6" i="2" s="1"/>
  <c r="M64" i="2" a="1"/>
  <c r="M64" i="2" s="1"/>
  <c r="M49" i="2" a="1"/>
  <c r="M49" i="2" s="1"/>
  <c r="J38" i="2" a="1"/>
  <c r="J38" i="2" s="1"/>
  <c r="M31" i="2" a="1"/>
  <c r="M31" i="2" s="1"/>
  <c r="N29" i="2" a="1"/>
  <c r="N29" i="2" s="1"/>
  <c r="R29" i="2" s="1"/>
  <c r="K24" i="2" a="1"/>
  <c r="K24" i="2" s="1"/>
  <c r="M23" i="2" a="1"/>
  <c r="M23" i="2" s="1"/>
  <c r="M19" i="2" a="1"/>
  <c r="M19" i="2" s="1"/>
  <c r="O18" i="2" a="1"/>
  <c r="O18" i="2" s="1"/>
  <c r="N15" i="2" a="1"/>
  <c r="N15" i="2" s="1"/>
  <c r="N60" i="2" a="1"/>
  <c r="N60" i="2" s="1"/>
  <c r="J36" i="2" a="1"/>
  <c r="J36" i="2" s="1"/>
  <c r="J35" i="2" a="1"/>
  <c r="J35" i="2" s="1"/>
  <c r="K34" i="2" a="1"/>
  <c r="K34" i="2" s="1"/>
  <c r="M30" i="2" a="1"/>
  <c r="M30" i="2" s="1"/>
  <c r="M29" i="2" a="1"/>
  <c r="M29" i="2" s="1"/>
  <c r="N28" i="2" a="1"/>
  <c r="N28" i="2" s="1"/>
  <c r="N22" i="2" a="1"/>
  <c r="N22" i="2" s="1"/>
  <c r="J20" i="2" a="1"/>
  <c r="J20" i="2" s="1"/>
  <c r="K16" i="2" a="1"/>
  <c r="K16" i="2" s="1"/>
  <c r="J13" i="2" a="1"/>
  <c r="J13" i="2" s="1"/>
  <c r="K9" i="2" a="1"/>
  <c r="K9" i="2" s="1"/>
  <c r="J6" i="2" a="1"/>
  <c r="J6" i="2" s="1"/>
  <c r="K2" i="2" a="1"/>
  <c r="K2" i="2" s="1"/>
  <c r="N11" i="2" a="1"/>
  <c r="N11" i="2" s="1"/>
  <c r="O57" i="2" a="1"/>
  <c r="O57" i="2" s="1"/>
  <c r="O55" i="2" a="1"/>
  <c r="O55" i="2" s="1"/>
  <c r="N52" i="2" a="1"/>
  <c r="N52" i="2" s="1"/>
  <c r="J33" i="2" a="1"/>
  <c r="J33" i="2" s="1"/>
  <c r="K32" i="2" a="1"/>
  <c r="K32" i="2" s="1"/>
  <c r="K31" i="2" a="1"/>
  <c r="K31" i="2" s="1"/>
  <c r="O27" i="2" a="1"/>
  <c r="O27" i="2" s="1"/>
  <c r="J24" i="2" a="1"/>
  <c r="J24" i="2" s="1"/>
  <c r="M22" i="2" a="1"/>
  <c r="M22" i="2" s="1"/>
  <c r="O21" i="2" a="1"/>
  <c r="O21" i="2" s="1"/>
  <c r="N18" i="2" a="1"/>
  <c r="N18" i="2" s="1"/>
  <c r="M15" i="2" a="1"/>
  <c r="M15" i="2" s="1"/>
  <c r="O14" i="2" a="1"/>
  <c r="O14" i="2" s="1"/>
  <c r="M57" i="2" a="1"/>
  <c r="M57" i="2" s="1"/>
  <c r="N55" i="2" a="1"/>
  <c r="N55" i="2" s="1"/>
  <c r="M52" i="2" a="1"/>
  <c r="M52" i="2" s="1"/>
  <c r="J49" i="2" a="1"/>
  <c r="J49" i="2" s="1"/>
  <c r="O47" i="2" a="1"/>
  <c r="O47" i="2" s="1"/>
  <c r="M28" i="2" a="1"/>
  <c r="M28" i="2" s="1"/>
  <c r="O26" i="2" a="1"/>
  <c r="O26" i="2" s="1"/>
  <c r="K19" i="2" a="1"/>
  <c r="K19" i="2" s="1"/>
  <c r="N67" i="2" a="1"/>
  <c r="N67" i="2" s="1"/>
  <c r="O63" i="2" a="1"/>
  <c r="O63" i="2" s="1"/>
  <c r="M55" i="2" a="1"/>
  <c r="M55" i="2" s="1"/>
  <c r="O42" i="2" a="1"/>
  <c r="O42" i="2" s="1"/>
  <c r="J31" i="2" a="1"/>
  <c r="J31" i="2" s="1"/>
  <c r="K29" i="2" a="1"/>
  <c r="K29" i="2" s="1"/>
  <c r="N27" i="2" a="1"/>
  <c r="N27" i="2" s="1"/>
  <c r="J23" i="2" a="1"/>
  <c r="J23" i="2" s="1"/>
  <c r="K52" i="2" a="1"/>
  <c r="K52" i="2" s="1"/>
  <c r="N47" i="2" a="1"/>
  <c r="N47" i="2" s="1"/>
  <c r="O43" i="2" a="1"/>
  <c r="O43" i="2" s="1"/>
  <c r="N42" i="2" a="1"/>
  <c r="N42" i="2" s="1"/>
  <c r="O41" i="2" a="1"/>
  <c r="O41" i="2" s="1"/>
  <c r="O40" i="2" a="1"/>
  <c r="O40" i="2" s="1"/>
  <c r="M27" i="2" a="1"/>
  <c r="M27" i="2" s="1"/>
  <c r="N26" i="2" a="1"/>
  <c r="N26" i="2" s="1"/>
  <c r="K22" i="2" a="1"/>
  <c r="K22" i="2" s="1"/>
  <c r="J19" i="2" a="1"/>
  <c r="J19" i="2" s="1"/>
  <c r="K15" i="2" a="1"/>
  <c r="K15" i="2" s="1"/>
  <c r="J12" i="2" a="1"/>
  <c r="J12" i="2" s="1"/>
  <c r="K8" i="2" a="1"/>
  <c r="K8" i="2" s="1"/>
  <c r="J5" i="2" a="1"/>
  <c r="J5" i="2" s="1"/>
  <c r="K4" i="2" a="1"/>
  <c r="K4" i="2" s="1"/>
  <c r="L4" i="2" s="1"/>
  <c r="N6" i="2" a="1"/>
  <c r="N6" i="2" s="1"/>
  <c r="O50" i="2" a="1"/>
  <c r="O50" i="2" s="1"/>
  <c r="O44" i="2" a="1"/>
  <c r="O44" i="2" s="1"/>
  <c r="O38" i="2" a="1"/>
  <c r="O38" i="2" s="1"/>
  <c r="J29" i="2" a="1"/>
  <c r="J29" i="2" s="1"/>
  <c r="O25" i="2" a="1"/>
  <c r="O25" i="2" s="1"/>
  <c r="M21" i="2" a="1"/>
  <c r="M21" i="2" s="1"/>
  <c r="O20" i="2" a="1"/>
  <c r="O20" i="2" s="1"/>
  <c r="N17" i="2" a="1"/>
  <c r="N17" i="2" s="1"/>
  <c r="M14" i="2" a="1"/>
  <c r="M14" i="2" s="1"/>
  <c r="O13" i="2" a="1"/>
  <c r="O13" i="2" s="1"/>
  <c r="N10" i="2" a="1"/>
  <c r="N10" i="2" s="1"/>
  <c r="M7" i="2" a="1"/>
  <c r="M7" i="2" s="1"/>
  <c r="O6" i="2" a="1"/>
  <c r="O6" i="2" s="1"/>
  <c r="N3" i="2" a="1"/>
  <c r="N3" i="2" s="1"/>
  <c r="K11" i="2" a="1"/>
  <c r="K11" i="2" s="1"/>
  <c r="P11" i="2" s="1"/>
  <c r="N13" i="2" a="1"/>
  <c r="N13" i="2" s="1"/>
  <c r="N53" i="2" a="1"/>
  <c r="N53" i="2" s="1"/>
  <c r="M50" i="2" a="1"/>
  <c r="M50" i="2" s="1"/>
  <c r="N44" i="2" a="1"/>
  <c r="N44" i="2" s="1"/>
  <c r="R44" i="2" s="1"/>
  <c r="N43" i="2" a="1"/>
  <c r="N43" i="2" s="1"/>
  <c r="R43" i="2" s="1"/>
  <c r="M42" i="2" a="1"/>
  <c r="M42" i="2" s="1"/>
  <c r="N41" i="2" a="1"/>
  <c r="N41" i="2" s="1"/>
  <c r="N40" i="2" a="1"/>
  <c r="N40" i="2" s="1"/>
  <c r="O39" i="2" a="1"/>
  <c r="O39" i="2" s="1"/>
  <c r="J28" i="2" a="1"/>
  <c r="J28" i="2" s="1"/>
  <c r="M26" i="2" a="1"/>
  <c r="M26" i="2" s="1"/>
  <c r="N25" i="2" a="1"/>
  <c r="N25" i="2" s="1"/>
  <c r="O24" i="2" a="1"/>
  <c r="O24" i="2" s="1"/>
  <c r="J22" i="2" a="1"/>
  <c r="J22" i="2" s="1"/>
  <c r="K18" i="2" a="1"/>
  <c r="K18" i="2" s="1"/>
  <c r="P18" i="2" s="1"/>
  <c r="J15" i="2" a="1"/>
  <c r="J15" i="2" s="1"/>
  <c r="J8" i="2" a="1"/>
  <c r="J8" i="2" s="1"/>
  <c r="O9" i="2" a="1"/>
  <c r="O9" i="2" s="1"/>
  <c r="I44" i="2"/>
  <c r="I46" i="2"/>
  <c r="O7" i="2" a="1"/>
  <c r="O7" i="2" s="1"/>
  <c r="I19" i="2"/>
  <c r="R2" i="2"/>
  <c r="I23" i="2"/>
  <c r="I58" i="2"/>
  <c r="I38" i="2"/>
  <c r="I66" i="2"/>
  <c r="I106" i="2"/>
  <c r="I7" i="2"/>
  <c r="I29" i="2"/>
  <c r="I75" i="2"/>
  <c r="P131" i="2"/>
  <c r="L131" i="2"/>
  <c r="I41" i="2"/>
  <c r="I32" i="2"/>
  <c r="I24" i="2"/>
  <c r="I84" i="2"/>
  <c r="I91" i="2"/>
  <c r="L113" i="2"/>
  <c r="P113" i="2"/>
  <c r="I26" i="2"/>
  <c r="I96" i="2"/>
  <c r="I47" i="2"/>
  <c r="I42" i="2"/>
  <c r="I52" i="2"/>
  <c r="L130" i="2"/>
  <c r="P130" i="2"/>
  <c r="O2" i="2" a="1"/>
  <c r="O2" i="2" s="1"/>
  <c r="I61" i="2"/>
  <c r="I37" i="2"/>
  <c r="I72" i="2"/>
  <c r="P121" i="2"/>
  <c r="L121" i="2"/>
  <c r="I98" i="2"/>
  <c r="I112" i="2"/>
  <c r="L132" i="2"/>
  <c r="P132" i="2"/>
  <c r="R5" i="2"/>
  <c r="S5" i="2"/>
  <c r="H5" i="2"/>
  <c r="M9" i="2" a="1"/>
  <c r="M9" i="2" s="1"/>
  <c r="I5" i="2"/>
  <c r="I22" i="2"/>
  <c r="I15" i="2"/>
  <c r="I2" i="2"/>
  <c r="I20" i="2"/>
  <c r="I33" i="2"/>
  <c r="P117" i="2"/>
  <c r="L117" i="2"/>
  <c r="I60" i="2"/>
  <c r="I57" i="2"/>
  <c r="I92" i="2"/>
  <c r="I30" i="2"/>
  <c r="I64" i="2"/>
  <c r="I89" i="2"/>
  <c r="I110" i="2"/>
  <c r="L125" i="2"/>
  <c r="P125" i="2"/>
  <c r="I10" i="2"/>
  <c r="N2" i="2" a="1"/>
  <c r="N2" i="2" s="1"/>
  <c r="I25" i="2"/>
  <c r="I49" i="2"/>
  <c r="I63" i="2"/>
  <c r="I3" i="3"/>
  <c r="I12" i="2"/>
  <c r="I39" i="2"/>
  <c r="I85" i="2"/>
  <c r="I28" i="2"/>
  <c r="I10" i="3"/>
  <c r="I43" i="2"/>
  <c r="I9" i="3"/>
  <c r="I16" i="2"/>
  <c r="I78" i="2"/>
  <c r="L118" i="2"/>
  <c r="P118" i="2"/>
  <c r="P114" i="2"/>
  <c r="L114" i="2"/>
  <c r="L133" i="2"/>
  <c r="P133" i="2"/>
  <c r="R3" i="2"/>
  <c r="H4" i="2"/>
  <c r="M11" i="2" a="1"/>
  <c r="M11" i="2" s="1"/>
  <c r="R15" i="2"/>
  <c r="R27" i="2"/>
  <c r="J4" i="2" a="1"/>
  <c r="J4" i="2" s="1"/>
  <c r="M5" i="2" a="1"/>
  <c r="M5" i="2" s="1"/>
  <c r="O15" i="2" a="1"/>
  <c r="O15" i="2" s="1"/>
  <c r="P71" i="2"/>
  <c r="L71" i="2"/>
  <c r="L108" i="2"/>
  <c r="P108" i="2"/>
  <c r="L67" i="2"/>
  <c r="P67" i="2"/>
  <c r="P127" i="2"/>
  <c r="L127" i="2"/>
  <c r="P76" i="2"/>
  <c r="L76" i="2"/>
  <c r="P86" i="2"/>
  <c r="L86" i="2"/>
  <c r="P107" i="2"/>
  <c r="L107" i="2"/>
  <c r="P128" i="2"/>
  <c r="L128" i="2"/>
  <c r="R8" i="2"/>
  <c r="H8" i="2"/>
  <c r="S8" i="2"/>
  <c r="R10" i="2"/>
  <c r="J2" i="2" a="1"/>
  <c r="J2" i="2" s="1"/>
  <c r="M8" i="2" a="1"/>
  <c r="M8" i="2" s="1"/>
  <c r="R16" i="2"/>
  <c r="N5" i="2" a="1"/>
  <c r="N5" i="2" s="1"/>
  <c r="N8" i="2" a="1"/>
  <c r="N8" i="2" s="1"/>
  <c r="R21" i="2"/>
  <c r="I14" i="2"/>
  <c r="I53" i="2"/>
  <c r="P124" i="2"/>
  <c r="L124" i="2"/>
  <c r="I87" i="2"/>
  <c r="I45" i="2"/>
  <c r="O8" i="2" a="1"/>
  <c r="O8" i="2" s="1"/>
  <c r="K10" i="2" a="1"/>
  <c r="K10" i="2" s="1"/>
  <c r="J16" i="2" a="1"/>
  <c r="J16" i="2" s="1"/>
  <c r="M16" i="2" a="1"/>
  <c r="M16" i="2" s="1"/>
  <c r="N19" i="2" a="1"/>
  <c r="N19" i="2" s="1"/>
  <c r="I17" i="2"/>
  <c r="I8" i="2"/>
  <c r="M3" i="2" a="1"/>
  <c r="M3" i="2" s="1"/>
  <c r="O4" i="2" a="1"/>
  <c r="O4" i="2" s="1"/>
  <c r="R9" i="2"/>
  <c r="K12" i="2" a="1"/>
  <c r="K12" i="2" s="1"/>
  <c r="O3" i="2" a="1"/>
  <c r="O3" i="2" s="1"/>
  <c r="J7" i="2" a="1"/>
  <c r="J7" i="2" s="1"/>
  <c r="M12" i="2" a="1"/>
  <c r="M12" i="2" s="1"/>
  <c r="S17" i="2"/>
  <c r="R17" i="2"/>
  <c r="H17" i="2"/>
  <c r="N4" i="2" a="1"/>
  <c r="N4" i="2" s="1"/>
  <c r="P120" i="2"/>
  <c r="L120" i="2"/>
  <c r="I48" i="2"/>
  <c r="N12" i="2" a="1"/>
  <c r="N12" i="2" s="1"/>
  <c r="N14" i="2" a="1"/>
  <c r="N14" i="2" s="1"/>
  <c r="P40" i="2"/>
  <c r="L40" i="2"/>
  <c r="O5" i="2" a="1"/>
  <c r="O5" i="2" s="1"/>
  <c r="I122" i="2"/>
  <c r="I21" i="2"/>
  <c r="I68" i="2"/>
  <c r="I115" i="2"/>
  <c r="L104" i="2"/>
  <c r="P104" i="2"/>
  <c r="J9" i="2" a="1"/>
  <c r="J9" i="2" s="1"/>
  <c r="S10" i="2"/>
  <c r="I35" i="2"/>
  <c r="I56" i="2"/>
  <c r="I7" i="3"/>
  <c r="I9" i="2"/>
  <c r="P134" i="2"/>
  <c r="L134" i="2"/>
  <c r="I69" i="2"/>
  <c r="I70" i="2"/>
  <c r="I101" i="2"/>
  <c r="I102" i="2"/>
  <c r="I82" i="2"/>
  <c r="O17" i="2" a="1"/>
  <c r="O17" i="2" s="1"/>
  <c r="H23" i="2"/>
  <c r="R23" i="2"/>
  <c r="H30" i="2"/>
  <c r="R31" i="2"/>
  <c r="S32" i="2"/>
  <c r="R59" i="2"/>
  <c r="S15" i="2"/>
  <c r="I90" i="2"/>
  <c r="I8" i="3"/>
  <c r="I55" i="2"/>
  <c r="I50" i="2"/>
  <c r="I79" i="2"/>
  <c r="I109" i="2"/>
  <c r="I116" i="2"/>
  <c r="R12" i="2"/>
  <c r="I94" i="2"/>
  <c r="I31" i="2"/>
  <c r="I51" i="2"/>
  <c r="I103" i="2"/>
  <c r="I6" i="3"/>
  <c r="I62" i="2"/>
  <c r="I34" i="2"/>
  <c r="I80" i="2"/>
  <c r="I4" i="3"/>
  <c r="I74" i="2"/>
  <c r="I93" i="2"/>
  <c r="I88" i="2"/>
  <c r="L126" i="2"/>
  <c r="P126" i="2"/>
  <c r="I119" i="2"/>
  <c r="I123" i="2"/>
  <c r="H2" i="2"/>
  <c r="H9" i="2"/>
  <c r="H16" i="2"/>
  <c r="R57" i="2"/>
  <c r="I2" i="3"/>
  <c r="I100" i="2"/>
  <c r="I95" i="2"/>
  <c r="I99" i="2"/>
  <c r="I81" i="2"/>
  <c r="I105" i="2"/>
  <c r="R24" i="2"/>
  <c r="R34" i="2"/>
  <c r="H57" i="2"/>
  <c r="R25" i="2"/>
  <c r="S39" i="2"/>
  <c r="R95" i="2"/>
  <c r="H25" i="2"/>
  <c r="R45" i="2"/>
  <c r="R64" i="2"/>
  <c r="I36" i="2"/>
  <c r="I83" i="2"/>
  <c r="I65" i="2"/>
  <c r="I97" i="2"/>
  <c r="I73" i="2"/>
  <c r="L129" i="2"/>
  <c r="P129" i="2"/>
  <c r="I111" i="2"/>
  <c r="I3" i="2"/>
  <c r="R41" i="2"/>
  <c r="R48" i="2"/>
  <c r="S57" i="2"/>
  <c r="R69" i="2"/>
  <c r="H15" i="2"/>
  <c r="H22" i="2"/>
  <c r="H50" i="2"/>
  <c r="S29" i="2"/>
  <c r="R30" i="2"/>
  <c r="R62" i="2"/>
  <c r="R52" i="2"/>
  <c r="R55" i="2"/>
  <c r="R51" i="2"/>
  <c r="R58" i="2"/>
  <c r="R65" i="2"/>
  <c r="H73" i="2"/>
  <c r="R73" i="2"/>
  <c r="H48" i="2"/>
  <c r="H55" i="2"/>
  <c r="H62" i="2"/>
  <c r="H69" i="2"/>
  <c r="H78" i="2"/>
  <c r="R78" i="2"/>
  <c r="S113" i="2"/>
  <c r="R113" i="2"/>
  <c r="H113" i="2"/>
  <c r="S106" i="2"/>
  <c r="H106" i="2"/>
  <c r="R79" i="2"/>
  <c r="R84" i="2"/>
  <c r="S103" i="2"/>
  <c r="R103" i="2"/>
  <c r="H103" i="2"/>
  <c r="R66" i="2"/>
  <c r="H79" i="2"/>
  <c r="S79" i="2"/>
  <c r="H84" i="2"/>
  <c r="S96" i="2"/>
  <c r="R96" i="2"/>
  <c r="H96" i="2"/>
  <c r="S85" i="2"/>
  <c r="R87" i="2"/>
  <c r="R106" i="2"/>
  <c r="R86" i="2"/>
  <c r="S88" i="2"/>
  <c r="S89" i="2"/>
  <c r="R89" i="2"/>
  <c r="R72" i="2"/>
  <c r="S99" i="2"/>
  <c r="H99" i="2"/>
  <c r="H72" i="2"/>
  <c r="S72" i="2"/>
  <c r="H77" i="2"/>
  <c r="R77" i="2"/>
  <c r="H82" i="2"/>
  <c r="R82" i="2"/>
  <c r="R93" i="2"/>
  <c r="R100" i="2"/>
  <c r="R107" i="2"/>
  <c r="R114" i="2"/>
  <c r="R121" i="2"/>
  <c r="R128" i="2"/>
  <c r="S114" i="2"/>
  <c r="S121" i="2"/>
  <c r="S128" i="2"/>
  <c r="H129" i="2"/>
  <c r="H2" i="3"/>
  <c r="H8" i="3"/>
  <c r="R8" i="3"/>
  <c r="H126" i="2"/>
  <c r="H133" i="2"/>
  <c r="H5" i="3"/>
  <c r="H116" i="2"/>
  <c r="H123" i="2"/>
  <c r="H130" i="2"/>
  <c r="H9" i="3"/>
  <c r="R130" i="2"/>
  <c r="H120" i="2"/>
  <c r="H127" i="2"/>
  <c r="R120" i="2"/>
  <c r="H110" i="2"/>
  <c r="H117" i="2"/>
  <c r="H124" i="2"/>
  <c r="H131" i="2"/>
  <c r="H3" i="3"/>
  <c r="H10" i="3"/>
  <c r="R110" i="2"/>
  <c r="R117" i="2"/>
  <c r="R124" i="2"/>
  <c r="R131" i="2"/>
  <c r="R3" i="3"/>
  <c r="L50" i="2" l="1"/>
  <c r="P50" i="2"/>
  <c r="P68" i="2"/>
  <c r="L68" i="2"/>
  <c r="L85" i="2"/>
  <c r="P85" i="2"/>
  <c r="P55" i="2"/>
  <c r="L55" i="2"/>
  <c r="L21" i="2"/>
  <c r="P21" i="2"/>
  <c r="Q21" i="2" s="1"/>
  <c r="R49" i="2"/>
  <c r="R42" i="2"/>
  <c r="P48" i="2"/>
  <c r="L48" i="2"/>
  <c r="P8" i="2"/>
  <c r="L8" i="2"/>
  <c r="P83" i="2"/>
  <c r="L83" i="2"/>
  <c r="L116" i="2"/>
  <c r="P116" i="2"/>
  <c r="Q116" i="2" s="1"/>
  <c r="L17" i="2"/>
  <c r="P17" i="2"/>
  <c r="Q17" i="2" s="1"/>
  <c r="Q8" i="2"/>
  <c r="L43" i="2"/>
  <c r="P43" i="2"/>
  <c r="P110" i="2"/>
  <c r="L110" i="2"/>
  <c r="P15" i="2"/>
  <c r="L15" i="2"/>
  <c r="L37" i="2"/>
  <c r="P37" i="2"/>
  <c r="Q37" i="2" s="1"/>
  <c r="L24" i="2"/>
  <c r="P24" i="2"/>
  <c r="P19" i="2"/>
  <c r="Q19" i="2" s="1"/>
  <c r="L19" i="2"/>
  <c r="R40" i="2"/>
  <c r="Q40" i="2"/>
  <c r="R98" i="2"/>
  <c r="Q120" i="2"/>
  <c r="Q100" i="2"/>
  <c r="Q118" i="2"/>
  <c r="R7" i="2"/>
  <c r="L99" i="2"/>
  <c r="P99" i="2"/>
  <c r="L101" i="2"/>
  <c r="P101" i="2"/>
  <c r="Q50" i="2"/>
  <c r="P65" i="2"/>
  <c r="L65" i="2"/>
  <c r="L36" i="2"/>
  <c r="P36" i="2"/>
  <c r="L105" i="2"/>
  <c r="P105" i="2"/>
  <c r="L88" i="2"/>
  <c r="P88" i="2"/>
  <c r="L109" i="2"/>
  <c r="P109" i="2"/>
  <c r="Q109" i="2" s="1"/>
  <c r="P82" i="2"/>
  <c r="L82" i="2"/>
  <c r="R19" i="2"/>
  <c r="P10" i="3"/>
  <c r="Q10" i="3" s="1"/>
  <c r="L10" i="3"/>
  <c r="L89" i="2"/>
  <c r="P89" i="2"/>
  <c r="P22" i="2"/>
  <c r="Q22" i="2" s="1"/>
  <c r="L22" i="2"/>
  <c r="P61" i="2"/>
  <c r="L61" i="2"/>
  <c r="P32" i="2"/>
  <c r="Q32" i="2" s="1"/>
  <c r="L32" i="2"/>
  <c r="R18" i="2"/>
  <c r="Q18" i="2"/>
  <c r="R32" i="2"/>
  <c r="Q24" i="2"/>
  <c r="R20" i="2"/>
  <c r="Q20" i="2"/>
  <c r="R70" i="2"/>
  <c r="R90" i="2"/>
  <c r="R76" i="2"/>
  <c r="Q76" i="2"/>
  <c r="Q133" i="2"/>
  <c r="R108" i="2"/>
  <c r="L59" i="2"/>
  <c r="P59" i="2"/>
  <c r="Q59" i="2" s="1"/>
  <c r="L95" i="2"/>
  <c r="P95" i="2"/>
  <c r="Q95" i="2" s="1"/>
  <c r="L70" i="2"/>
  <c r="P70" i="2"/>
  <c r="Q70" i="2" s="1"/>
  <c r="P12" i="2"/>
  <c r="L12" i="2"/>
  <c r="L57" i="2"/>
  <c r="P57" i="2"/>
  <c r="P52" i="2"/>
  <c r="L52" i="2"/>
  <c r="L75" i="2"/>
  <c r="P75" i="2"/>
  <c r="P45" i="2"/>
  <c r="L45" i="2"/>
  <c r="L60" i="2"/>
  <c r="P60" i="2"/>
  <c r="P42" i="2"/>
  <c r="Q42" i="2" s="1"/>
  <c r="L42" i="2"/>
  <c r="P29" i="2"/>
  <c r="L29" i="2"/>
  <c r="R46" i="2"/>
  <c r="P81" i="2"/>
  <c r="L81" i="2"/>
  <c r="P93" i="2"/>
  <c r="Q93" i="2" s="1"/>
  <c r="L93" i="2"/>
  <c r="L79" i="2"/>
  <c r="P79" i="2"/>
  <c r="Q79" i="2" s="1"/>
  <c r="L102" i="2"/>
  <c r="P102" i="2"/>
  <c r="Q102" i="2" s="1"/>
  <c r="L115" i="2"/>
  <c r="P115" i="2"/>
  <c r="Q115" i="2" s="1"/>
  <c r="Q4" i="2"/>
  <c r="P28" i="2"/>
  <c r="L28" i="2"/>
  <c r="P64" i="2"/>
  <c r="L64" i="2"/>
  <c r="P5" i="2"/>
  <c r="Q5" i="2" s="1"/>
  <c r="L5" i="2"/>
  <c r="L41" i="2"/>
  <c r="P41" i="2"/>
  <c r="Q41" i="2" s="1"/>
  <c r="P46" i="2"/>
  <c r="Q46" i="2" s="1"/>
  <c r="L46" i="2"/>
  <c r="Q30" i="2"/>
  <c r="R75" i="2"/>
  <c r="Q75" i="2"/>
  <c r="Q65" i="2"/>
  <c r="Q110" i="2"/>
  <c r="P27" i="2"/>
  <c r="L27" i="2"/>
  <c r="L44" i="2"/>
  <c r="P44" i="2"/>
  <c r="R83" i="2"/>
  <c r="Q83" i="2"/>
  <c r="Q66" i="2"/>
  <c r="R105" i="2"/>
  <c r="Q105" i="2"/>
  <c r="Q127" i="2"/>
  <c r="R115" i="2"/>
  <c r="Q107" i="2"/>
  <c r="Q125" i="2"/>
  <c r="L5" i="3"/>
  <c r="P5" i="3"/>
  <c r="R61" i="2"/>
  <c r="Q61" i="2"/>
  <c r="R74" i="2"/>
  <c r="R5" i="3"/>
  <c r="Q5" i="3"/>
  <c r="Q7" i="3"/>
  <c r="Q122" i="2"/>
  <c r="P30" i="2"/>
  <c r="L30" i="2"/>
  <c r="L39" i="2"/>
  <c r="P39" i="2"/>
  <c r="Q39" i="2" s="1"/>
  <c r="L92" i="2"/>
  <c r="P92" i="2"/>
  <c r="P100" i="2"/>
  <c r="L100" i="2"/>
  <c r="L8" i="3"/>
  <c r="P8" i="3"/>
  <c r="L122" i="2"/>
  <c r="P122" i="2"/>
  <c r="Q36" i="2"/>
  <c r="Q99" i="2"/>
  <c r="R99" i="2"/>
  <c r="Q117" i="2"/>
  <c r="R97" i="2"/>
  <c r="P4" i="2"/>
  <c r="Q112" i="2"/>
  <c r="Q134" i="2"/>
  <c r="Q114" i="2"/>
  <c r="Q132" i="2"/>
  <c r="R94" i="2"/>
  <c r="L80" i="2"/>
  <c r="P80" i="2"/>
  <c r="L69" i="2"/>
  <c r="P69" i="2"/>
  <c r="Q69" i="2" s="1"/>
  <c r="R68" i="2"/>
  <c r="Q68" i="2"/>
  <c r="Q129" i="2"/>
  <c r="R4" i="2"/>
  <c r="Q89" i="2"/>
  <c r="Q72" i="2"/>
  <c r="R92" i="2"/>
  <c r="Q92" i="2"/>
  <c r="Q124" i="2"/>
  <c r="R116" i="2"/>
  <c r="R104" i="2"/>
  <c r="Q104" i="2"/>
  <c r="L6" i="2"/>
  <c r="Q44" i="2"/>
  <c r="L2" i="3"/>
  <c r="P2" i="3"/>
  <c r="Q2" i="3" s="1"/>
  <c r="P90" i="2"/>
  <c r="Q90" i="2" s="1"/>
  <c r="L90" i="2"/>
  <c r="P3" i="3"/>
  <c r="Q3" i="3" s="1"/>
  <c r="L3" i="3"/>
  <c r="R35" i="2"/>
  <c r="L111" i="2"/>
  <c r="P111" i="2"/>
  <c r="Q111" i="2" s="1"/>
  <c r="L103" i="2"/>
  <c r="P103" i="2"/>
  <c r="P7" i="3"/>
  <c r="L7" i="3"/>
  <c r="L18" i="2"/>
  <c r="R6" i="2"/>
  <c r="Q6" i="2"/>
  <c r="R47" i="2"/>
  <c r="Q47" i="2"/>
  <c r="Q52" i="2"/>
  <c r="R54" i="2"/>
  <c r="R56" i="2"/>
  <c r="Q56" i="2"/>
  <c r="R85" i="2"/>
  <c r="Q85" i="2"/>
  <c r="Q130" i="2"/>
  <c r="R118" i="2"/>
  <c r="R6" i="3"/>
  <c r="Q6" i="3"/>
  <c r="Q121" i="2"/>
  <c r="R4" i="3"/>
  <c r="R101" i="2"/>
  <c r="Q101" i="2"/>
  <c r="R26" i="2"/>
  <c r="P49" i="2"/>
  <c r="Q49" i="2" s="1"/>
  <c r="L49" i="2"/>
  <c r="P96" i="2"/>
  <c r="Q96" i="2" s="1"/>
  <c r="L96" i="2"/>
  <c r="L106" i="2"/>
  <c r="P106" i="2"/>
  <c r="Q106" i="2" s="1"/>
  <c r="L25" i="2"/>
  <c r="P25" i="2"/>
  <c r="Q25" i="2" s="1"/>
  <c r="P33" i="2"/>
  <c r="L33" i="2"/>
  <c r="L112" i="2"/>
  <c r="P112" i="2"/>
  <c r="P26" i="2"/>
  <c r="Q26" i="2" s="1"/>
  <c r="L26" i="2"/>
  <c r="L66" i="2"/>
  <c r="P66" i="2"/>
  <c r="R36" i="2"/>
  <c r="P51" i="2"/>
  <c r="Q51" i="2" s="1"/>
  <c r="L51" i="2"/>
  <c r="P56" i="2"/>
  <c r="L56" i="2"/>
  <c r="P53" i="2"/>
  <c r="Q53" i="2" s="1"/>
  <c r="L53" i="2"/>
  <c r="P20" i="2"/>
  <c r="L20" i="2"/>
  <c r="L98" i="2"/>
  <c r="P98" i="2"/>
  <c r="Q98" i="2" s="1"/>
  <c r="P38" i="2"/>
  <c r="L38" i="2"/>
  <c r="Q45" i="2"/>
  <c r="R80" i="2"/>
  <c r="Q80" i="2"/>
  <c r="Q64" i="2"/>
  <c r="Q77" i="2"/>
  <c r="R127" i="2"/>
  <c r="R2" i="3"/>
  <c r="L11" i="2"/>
  <c r="R67" i="2"/>
  <c r="Q67" i="2"/>
  <c r="P34" i="2"/>
  <c r="Q34" i="2" s="1"/>
  <c r="L34" i="2"/>
  <c r="R28" i="2"/>
  <c r="Q28" i="2"/>
  <c r="Q38" i="2"/>
  <c r="R13" i="2"/>
  <c r="Q13" i="2"/>
  <c r="Q57" i="2"/>
  <c r="P6" i="3"/>
  <c r="L6" i="3"/>
  <c r="P9" i="2"/>
  <c r="L9" i="2"/>
  <c r="R22" i="2"/>
  <c r="P73" i="2"/>
  <c r="Q73" i="2" s="1"/>
  <c r="L73" i="2"/>
  <c r="L123" i="2"/>
  <c r="P123" i="2"/>
  <c r="Q123" i="2" s="1"/>
  <c r="P31" i="2"/>
  <c r="Q31" i="2" s="1"/>
  <c r="L31" i="2"/>
  <c r="P35" i="2"/>
  <c r="Q35" i="2" s="1"/>
  <c r="L35" i="2"/>
  <c r="P14" i="2"/>
  <c r="L14" i="2"/>
  <c r="P78" i="2"/>
  <c r="Q78" i="2" s="1"/>
  <c r="L78" i="2"/>
  <c r="L10" i="2"/>
  <c r="P10" i="2"/>
  <c r="L77" i="2"/>
  <c r="P58" i="2"/>
  <c r="Q58" i="2" s="1"/>
  <c r="L58" i="2"/>
  <c r="Q55" i="2"/>
  <c r="Q9" i="2"/>
  <c r="Q48" i="2"/>
  <c r="R71" i="2"/>
  <c r="Q71" i="2"/>
  <c r="Q82" i="2"/>
  <c r="R91" i="2"/>
  <c r="Q91" i="2"/>
  <c r="R102" i="2"/>
  <c r="R125" i="2"/>
  <c r="Q113" i="2"/>
  <c r="Q131" i="2"/>
  <c r="L74" i="2"/>
  <c r="P74" i="2"/>
  <c r="Q74" i="2" s="1"/>
  <c r="L4" i="3"/>
  <c r="P4" i="3"/>
  <c r="Q4" i="3" s="1"/>
  <c r="Q29" i="2"/>
  <c r="L87" i="2"/>
  <c r="P87" i="2"/>
  <c r="Q87" i="2" s="1"/>
  <c r="L63" i="2"/>
  <c r="P63" i="2"/>
  <c r="Q63" i="2" s="1"/>
  <c r="P47" i="2"/>
  <c r="L47" i="2"/>
  <c r="P7" i="2"/>
  <c r="Q7" i="2" s="1"/>
  <c r="L7" i="2"/>
  <c r="Q88" i="2"/>
  <c r="R14" i="2"/>
  <c r="Q14" i="2"/>
  <c r="P97" i="2"/>
  <c r="Q97" i="2" s="1"/>
  <c r="L97" i="2"/>
  <c r="R37" i="2"/>
  <c r="L119" i="2"/>
  <c r="P119" i="2"/>
  <c r="Q119" i="2" s="1"/>
  <c r="P94" i="2"/>
  <c r="Q94" i="2" s="1"/>
  <c r="L94" i="2"/>
  <c r="Q12" i="2"/>
  <c r="L16" i="2"/>
  <c r="P16" i="2"/>
  <c r="Q16" i="2" s="1"/>
  <c r="L91" i="2"/>
  <c r="P91" i="2"/>
  <c r="P23" i="2"/>
  <c r="Q23" i="2" s="1"/>
  <c r="L23" i="2"/>
  <c r="Q10" i="2"/>
  <c r="Q27" i="2"/>
  <c r="R11" i="2"/>
  <c r="Q11" i="2"/>
  <c r="R60" i="2"/>
  <c r="Q60" i="2"/>
  <c r="R63" i="2"/>
  <c r="P54" i="2"/>
  <c r="Q54" i="2" s="1"/>
  <c r="L54" i="2"/>
  <c r="Q126" i="2"/>
  <c r="Q128" i="2"/>
  <c r="R134" i="2"/>
  <c r="Q108" i="2"/>
  <c r="L13" i="2"/>
  <c r="Q43" i="2"/>
  <c r="R53" i="2"/>
  <c r="P3" i="2"/>
  <c r="Q3" i="2" s="1"/>
  <c r="L3" i="2"/>
  <c r="R38" i="2"/>
  <c r="L62" i="2"/>
  <c r="P62" i="2"/>
  <c r="Q62" i="2" s="1"/>
  <c r="L9" i="3"/>
  <c r="P9" i="3"/>
  <c r="Q9" i="3" s="1"/>
  <c r="P2" i="2"/>
  <c r="Q2" i="2" s="1"/>
  <c r="L2" i="2"/>
  <c r="P72" i="2"/>
  <c r="L72" i="2"/>
  <c r="L84" i="2"/>
  <c r="P84" i="2"/>
  <c r="Q84" i="2" s="1"/>
  <c r="Q15" i="2"/>
  <c r="Q33" i="2"/>
  <c r="R33" i="2"/>
  <c r="Q86" i="2"/>
  <c r="R81" i="2"/>
  <c r="Q81" i="2"/>
  <c r="Q103" i="2"/>
  <c r="Q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OLMEDO GALVEZ Jorge Luis</author>
  </authors>
  <commentList>
    <comment ref="L1" authorId="0" shapeId="0" xr:uid="{462C2D35-7298-4633-9476-8A893BC88397}">
      <text>
        <r>
          <rPr>
            <b/>
            <sz val="11"/>
            <color indexed="81"/>
            <rFont val="Tahoma"/>
            <charset val="1"/>
          </rPr>
          <t>Coeficiente de variacion</t>
        </r>
      </text>
    </comment>
    <comment ref="P1" authorId="0" shapeId="0" xr:uid="{B5C1C3F7-AC0C-4276-A0D9-7F57564E53A5}">
      <text>
        <r>
          <rPr>
            <b/>
            <sz val="9"/>
            <color indexed="81"/>
            <rFont val="Tahoma"/>
            <family val="2"/>
          </rPr>
          <t>I2 = Mean → media
K2 = Std → desviación estándar
1,2816 → valor Z correspondiente al percentil 90
P90 → valor por debajo del cual se encuentra aproximadamente el 90 % de las observaciones</t>
        </r>
      </text>
    </comment>
  </commentList>
</comments>
</file>

<file path=xl/sharedStrings.xml><?xml version="1.0" encoding="utf-8"?>
<sst xmlns="http://schemas.openxmlformats.org/spreadsheetml/2006/main" count="15660" uniqueCount="173">
  <si>
    <t>POL</t>
  </si>
  <si>
    <t>POD</t>
  </si>
  <si>
    <t>ATD</t>
  </si>
  <si>
    <t>ATA</t>
  </si>
  <si>
    <t>Transit Days</t>
  </si>
  <si>
    <t>INKAT</t>
  </si>
  <si>
    <t>ROCND</t>
  </si>
  <si>
    <t>INENR</t>
  </si>
  <si>
    <t>BRPNG</t>
  </si>
  <si>
    <t>INNSA</t>
  </si>
  <si>
    <t>BEANR</t>
  </si>
  <si>
    <t>CLSAI</t>
  </si>
  <si>
    <t>KRPUS</t>
  </si>
  <si>
    <t>ESVLC</t>
  </si>
  <si>
    <t>ESALG</t>
  </si>
  <si>
    <t>CNSHA</t>
  </si>
  <si>
    <t>INMAA</t>
  </si>
  <si>
    <t>CNHUA</t>
  </si>
  <si>
    <t>TRIZT</t>
  </si>
  <si>
    <t>FRLEH</t>
  </si>
  <si>
    <t>TRGEM</t>
  </si>
  <si>
    <t>COCTG</t>
  </si>
  <si>
    <t>JPYOK</t>
  </si>
  <si>
    <t>THLCH</t>
  </si>
  <si>
    <t>MACAS</t>
  </si>
  <si>
    <t>CLVAP</t>
  </si>
  <si>
    <t>HRRJK</t>
  </si>
  <si>
    <t>JPNGO</t>
  </si>
  <si>
    <t>JPSMZ</t>
  </si>
  <si>
    <t>MATNG</t>
  </si>
  <si>
    <t>MAPTM</t>
  </si>
  <si>
    <t>ROSOC</t>
  </si>
  <si>
    <t>GRPIR</t>
  </si>
  <si>
    <t>TRYAR</t>
  </si>
  <si>
    <t>MXATM</t>
  </si>
  <si>
    <t>CNSGH</t>
  </si>
  <si>
    <t>NLRTM</t>
  </si>
  <si>
    <t>MXZLO</t>
  </si>
  <si>
    <t>SIKOP</t>
  </si>
  <si>
    <t>TRAVC</t>
  </si>
  <si>
    <t>CLLQN</t>
  </si>
  <si>
    <t>INKTP</t>
  </si>
  <si>
    <t>CNSHG</t>
  </si>
  <si>
    <t>ARZAE</t>
  </si>
  <si>
    <t>TRKFZ</t>
  </si>
  <si>
    <t>VNSGN</t>
  </si>
  <si>
    <t>COBUN</t>
  </si>
  <si>
    <t>BRSSZ</t>
  </si>
  <si>
    <t>ITBRI</t>
  </si>
  <si>
    <t>FRFOS</t>
  </si>
  <si>
    <t>USCHS</t>
  </si>
  <si>
    <t>PTLEI</t>
  </si>
  <si>
    <t>ESAGP</t>
  </si>
  <si>
    <t>DEHAM</t>
  </si>
  <si>
    <t>ARROS</t>
  </si>
  <si>
    <t>ARBUE</t>
  </si>
  <si>
    <t>BRITJ</t>
  </si>
  <si>
    <t>MXVER</t>
  </si>
  <si>
    <t>ESVGO</t>
  </si>
  <si>
    <t>TRAMR</t>
  </si>
  <si>
    <t>CNTAO</t>
  </si>
  <si>
    <t>CNQDG</t>
  </si>
  <si>
    <t>ESBCN</t>
  </si>
  <si>
    <t>ESBIO</t>
  </si>
  <si>
    <t>MXLZC</t>
  </si>
  <si>
    <t>TREYP</t>
  </si>
  <si>
    <t>TRKOR</t>
  </si>
  <si>
    <t>Origin</t>
  </si>
  <si>
    <t>Origin Country</t>
  </si>
  <si>
    <t>Destination</t>
  </si>
  <si>
    <t>Destination Country</t>
  </si>
  <si>
    <t>Shipments (n)</t>
  </si>
  <si>
    <t>Confidence</t>
  </si>
  <si>
    <t>Mean (days)</t>
  </si>
  <si>
    <t>Median / P50 (days)</t>
  </si>
  <si>
    <t>Std Dev (days)</t>
  </si>
  <si>
    <t>CV (Std/Mean)</t>
  </si>
  <si>
    <t>P75 (days)</t>
  </si>
  <si>
    <t>P90 (days)</t>
  </si>
  <si>
    <t>P95 (days)</t>
  </si>
  <si>
    <t>Normal-approx P90 (days)</t>
  </si>
  <si>
    <t>Tail skew gap (P90 - Normal P90)</t>
  </si>
  <si>
    <t>Recommended Transit Time (days)</t>
  </si>
  <si>
    <t>Method</t>
  </si>
  <si>
    <t>Kattupalli (INKAT)</t>
  </si>
  <si>
    <t>India</t>
  </si>
  <si>
    <t>Paranaguá (BRPNG)</t>
  </si>
  <si>
    <t>Brazil</t>
  </si>
  <si>
    <t>Yokohama (JPYOK)</t>
  </si>
  <si>
    <t>Japan</t>
  </si>
  <si>
    <t>Le Havre (FRLEH)</t>
  </si>
  <si>
    <t>France</t>
  </si>
  <si>
    <t>Ennore (INENR)</t>
  </si>
  <si>
    <t>Busan (KRPUS)</t>
  </si>
  <si>
    <t>Korea, Republic of</t>
  </si>
  <si>
    <t>Valencia (ESVLC)</t>
  </si>
  <si>
    <t>Spain</t>
  </si>
  <si>
    <t>Izmit (TRIZT)</t>
  </si>
  <si>
    <t>Türkiye</t>
  </si>
  <si>
    <t>Shanghai (CNSHA)</t>
  </si>
  <si>
    <t>China</t>
  </si>
  <si>
    <t>Algeciras (ESALG)</t>
  </si>
  <si>
    <t>Koper (SIKOP)</t>
  </si>
  <si>
    <t>Slovenia</t>
  </si>
  <si>
    <t>Altamira (MXATM)</t>
  </si>
  <si>
    <t>Mexico</t>
  </si>
  <si>
    <t>San Antonio (CLSAI)</t>
  </si>
  <si>
    <t>Chile</t>
  </si>
  <si>
    <t>Manzanillo (MXZLO)</t>
  </si>
  <si>
    <t>Leixões (PTLEI)</t>
  </si>
  <si>
    <t>Portugal</t>
  </si>
  <si>
    <t>Antwerpen (BEANR)</t>
  </si>
  <si>
    <t>Belgium</t>
  </si>
  <si>
    <t>Kattupalli Port (INKTP)</t>
  </si>
  <si>
    <t>Constanta (ROCND)</t>
  </si>
  <si>
    <t>Romania</t>
  </si>
  <si>
    <t>Cartagena (COCTG)</t>
  </si>
  <si>
    <t>Colombia</t>
  </si>
  <si>
    <t>Laem Chabang (THLCH)</t>
  </si>
  <si>
    <t>Thailand</t>
  </si>
  <si>
    <t>Gemlik (TRGEM)</t>
  </si>
  <si>
    <t>Nagoya, Aichi (JPNGO)</t>
  </si>
  <si>
    <t>Nhava Sheva (Jawaharlal Nehru) (INNSA)</t>
  </si>
  <si>
    <t>Chennai (ex Madras) (INMAA)</t>
  </si>
  <si>
    <t>Rijeka (HRRJK)</t>
  </si>
  <si>
    <t>Croatia</t>
  </si>
  <si>
    <t>Huangpu Pt (CNHUA)</t>
  </si>
  <si>
    <t>Lirquén (CLLQN)</t>
  </si>
  <si>
    <t>Shimizu (JPSMZ)</t>
  </si>
  <si>
    <t>Bari (ITBRI)</t>
  </si>
  <si>
    <t>Italy</t>
  </si>
  <si>
    <t>Shanghai Pt (CNSHG)</t>
  </si>
  <si>
    <t>Shanghai (CNSGH)</t>
  </si>
  <si>
    <t>Buenaventura (COBUN)</t>
  </si>
  <si>
    <t>Casablanca (MACAS)</t>
  </si>
  <si>
    <t>Morocco</t>
  </si>
  <si>
    <t>Rotterdam (NLRTM)</t>
  </si>
  <si>
    <t>Netherlands</t>
  </si>
  <si>
    <t>Zárate (ARZAE)</t>
  </si>
  <si>
    <t>Argentina</t>
  </si>
  <si>
    <t>Málaga (ESAGP)</t>
  </si>
  <si>
    <t>Buenos Aires (ARBUE)</t>
  </si>
  <si>
    <t>Valparaiso (CLVAP)</t>
  </si>
  <si>
    <t>Tanger Med (MAPTM)</t>
  </si>
  <si>
    <t>Rosario (ARROS)</t>
  </si>
  <si>
    <t>Ho Chi Minh City (VNSGN)</t>
  </si>
  <si>
    <t>Viet Nam</t>
  </si>
  <si>
    <t>Körfez (TRKFZ)</t>
  </si>
  <si>
    <t>Santos (BRSSZ)</t>
  </si>
  <si>
    <t>Qingdao Pt (CNQDG)</t>
  </si>
  <si>
    <t>Piraeus (GRPIR)</t>
  </si>
  <si>
    <t>Greece</t>
  </si>
  <si>
    <t>Barcelona (ESBCN)</t>
  </si>
  <si>
    <t>Avcilvar (Ambarli) (TRAVC)</t>
  </si>
  <si>
    <t>Qingdao (CNTAO)</t>
  </si>
  <si>
    <t>Hamburg (DEHAM)</t>
  </si>
  <si>
    <t>Germany</t>
  </si>
  <si>
    <t>Tangier (MATNG)</t>
  </si>
  <si>
    <t>Itajaí (BRITJ)</t>
  </si>
  <si>
    <t>Yarimca (TRYAR)</t>
  </si>
  <si>
    <t>Ambarli (TRAMR)</t>
  </si>
  <si>
    <t>Veracruz (MXVER)</t>
  </si>
  <si>
    <t>Izmit Korfezi (TRKOR)</t>
  </si>
  <si>
    <t>Lázaro Cárdenas (MXLZC)</t>
  </si>
  <si>
    <t>Socetu (ROSOC)</t>
  </si>
  <si>
    <t>Fos-sur-Mer (FRFOS)</t>
  </si>
  <si>
    <t>Bilbao (ESBIO)</t>
  </si>
  <si>
    <t>Vigo (ESVGO)</t>
  </si>
  <si>
    <t>Evyap Port /Kocaeli (TREYP)</t>
  </si>
  <si>
    <t>Charleston (USCHS)</t>
  </si>
  <si>
    <t>United States of America (the)</t>
  </si>
  <si>
    <t>TT VTT TOOL</t>
  </si>
  <si>
    <t>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</si>
</sst>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"/>
    <numFmt numFmtId="166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1"/>
      <name val="Tahoma"/>
      <charset val="1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165" fontId="0" fillId="0" borderId="0" xfId="0" applyNumberFormat="1"/>
    <xf numFmtId="2" fontId="0" fillId="0" borderId="0" xfId="0" applyNumberFormat="1"/>
    <xf numFmtId="166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 wrapText="1"/>
    </xf>
    <xf numFmtId="9" fontId="0" fillId="0" borderId="0" xfId="1" applyFont="1"/>
    <xf numFmtId="0" fontId="0" fillId="2" borderId="0" xfId="0" applyFill="1"/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383"/>
  <sheetViews>
    <sheetView workbookViewId="0">
      <selection activeCell="K17" sqref="K17"/>
    </sheetView>
  </sheetViews>
  <sheetFormatPr baseColWidth="10" defaultColWidth="9.140625" defaultRowHeight="15" x14ac:dyDescent="0.25"/>
  <cols>
    <col min="1" max="2" width="7.85546875" bestFit="1" customWidth="1"/>
    <col min="3" max="4" width="15.42578125" bestFit="1" customWidth="1"/>
    <col min="5" max="5" width="11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s="1">
        <v>45828.991666666669</v>
      </c>
      <c r="D2" s="1">
        <v>45885.25</v>
      </c>
      <c r="E2" s="2">
        <f t="shared" ref="E2:E65" si="0">D2-C2</f>
        <v>56.258333333331393</v>
      </c>
    </row>
    <row r="3" spans="1:5" x14ac:dyDescent="0.25">
      <c r="A3" t="s">
        <v>7</v>
      </c>
      <c r="B3" t="s">
        <v>8</v>
      </c>
      <c r="C3" s="1">
        <v>45931.208333333343</v>
      </c>
      <c r="D3" s="1">
        <v>45966.508333333331</v>
      </c>
      <c r="E3" s="2">
        <f t="shared" si="0"/>
        <v>35.299999999988358</v>
      </c>
    </row>
    <row r="4" spans="1:5" x14ac:dyDescent="0.25">
      <c r="A4" t="s">
        <v>9</v>
      </c>
      <c r="B4" t="s">
        <v>8</v>
      </c>
      <c r="C4" s="1">
        <v>45869.991666666669</v>
      </c>
      <c r="D4" s="1">
        <v>45912.762499999997</v>
      </c>
      <c r="E4" s="2">
        <f t="shared" si="0"/>
        <v>42.770833333328483</v>
      </c>
    </row>
    <row r="5" spans="1:5" x14ac:dyDescent="0.25">
      <c r="A5" t="s">
        <v>10</v>
      </c>
      <c r="B5" t="s">
        <v>11</v>
      </c>
      <c r="C5" s="1">
        <v>45698.395833333343</v>
      </c>
      <c r="D5" s="1">
        <v>45728.137499999997</v>
      </c>
      <c r="E5" s="2">
        <f t="shared" si="0"/>
        <v>29.741666666654055</v>
      </c>
    </row>
    <row r="6" spans="1:5" x14ac:dyDescent="0.25">
      <c r="A6" t="s">
        <v>12</v>
      </c>
      <c r="B6" t="s">
        <v>13</v>
      </c>
      <c r="C6" s="1">
        <v>45698.62777777778</v>
      </c>
      <c r="D6" s="1">
        <v>45742.387499999997</v>
      </c>
      <c r="E6" s="2">
        <f t="shared" si="0"/>
        <v>43.759722222217533</v>
      </c>
    </row>
    <row r="7" spans="1:5" x14ac:dyDescent="0.25">
      <c r="A7" t="s">
        <v>14</v>
      </c>
      <c r="B7" t="s">
        <v>11</v>
      </c>
      <c r="C7" s="1">
        <v>45683.375</v>
      </c>
      <c r="D7" s="1">
        <v>45735.212500000001</v>
      </c>
      <c r="E7" s="2">
        <f t="shared" si="0"/>
        <v>51.837500000001455</v>
      </c>
    </row>
    <row r="8" spans="1:5" x14ac:dyDescent="0.25">
      <c r="A8" t="s">
        <v>15</v>
      </c>
      <c r="B8" t="s">
        <v>13</v>
      </c>
      <c r="C8" s="1">
        <v>45761.451388888891</v>
      </c>
      <c r="D8" s="1">
        <v>45805.245833333327</v>
      </c>
      <c r="E8" s="2">
        <f t="shared" si="0"/>
        <v>43.794444444436522</v>
      </c>
    </row>
    <row r="9" spans="1:5" x14ac:dyDescent="0.25">
      <c r="A9" t="s">
        <v>16</v>
      </c>
      <c r="B9" t="s">
        <v>13</v>
      </c>
      <c r="C9" s="1">
        <v>45703.462500000001</v>
      </c>
      <c r="D9" s="1">
        <v>45742.387499999997</v>
      </c>
      <c r="E9" s="2">
        <f t="shared" si="0"/>
        <v>38.924999999995634</v>
      </c>
    </row>
    <row r="10" spans="1:5" x14ac:dyDescent="0.25">
      <c r="A10" t="s">
        <v>17</v>
      </c>
      <c r="B10" t="s">
        <v>18</v>
      </c>
      <c r="C10" s="1">
        <v>45672.722916666673</v>
      </c>
      <c r="D10" s="1">
        <v>45723.833333333343</v>
      </c>
      <c r="E10" s="2">
        <f t="shared" si="0"/>
        <v>51.110416666670062</v>
      </c>
    </row>
    <row r="11" spans="1:5" x14ac:dyDescent="0.25">
      <c r="A11" t="s">
        <v>19</v>
      </c>
      <c r="B11" t="s">
        <v>8</v>
      </c>
      <c r="C11" s="1">
        <v>45670.008333333331</v>
      </c>
      <c r="D11" s="1">
        <v>45700.417361111111</v>
      </c>
      <c r="E11" s="2">
        <f t="shared" si="0"/>
        <v>30.409027777779556</v>
      </c>
    </row>
    <row r="12" spans="1:5" x14ac:dyDescent="0.25">
      <c r="A12" t="s">
        <v>9</v>
      </c>
      <c r="B12" t="s">
        <v>11</v>
      </c>
      <c r="C12" s="1">
        <v>45719.585416666669</v>
      </c>
      <c r="D12" s="1">
        <v>45804.662499999999</v>
      </c>
      <c r="E12" s="2">
        <f t="shared" si="0"/>
        <v>85.077083333329938</v>
      </c>
    </row>
    <row r="13" spans="1:5" x14ac:dyDescent="0.25">
      <c r="A13" t="s">
        <v>13</v>
      </c>
      <c r="B13" t="s">
        <v>8</v>
      </c>
      <c r="C13" s="1">
        <v>46060.12222222222</v>
      </c>
      <c r="D13" s="1">
        <v>46085.457638888889</v>
      </c>
      <c r="E13" s="2">
        <f t="shared" si="0"/>
        <v>25.335416666668607</v>
      </c>
    </row>
    <row r="14" spans="1:5" x14ac:dyDescent="0.25">
      <c r="A14" t="s">
        <v>8</v>
      </c>
      <c r="B14" t="s">
        <v>6</v>
      </c>
      <c r="C14" s="1">
        <v>45770.745138888888</v>
      </c>
      <c r="D14" s="1">
        <v>45811.491666666669</v>
      </c>
      <c r="E14" s="2">
        <f t="shared" si="0"/>
        <v>40.746527777781012</v>
      </c>
    </row>
    <row r="15" spans="1:5" x14ac:dyDescent="0.25">
      <c r="A15" t="s">
        <v>8</v>
      </c>
      <c r="B15" t="s">
        <v>18</v>
      </c>
      <c r="C15" s="1">
        <v>46177.366666666669</v>
      </c>
      <c r="D15" s="1">
        <v>46224.604166666657</v>
      </c>
      <c r="E15" s="2">
        <f t="shared" si="0"/>
        <v>47.237499999988358</v>
      </c>
    </row>
    <row r="16" spans="1:5" x14ac:dyDescent="0.25">
      <c r="A16" t="s">
        <v>20</v>
      </c>
      <c r="B16" t="s">
        <v>8</v>
      </c>
      <c r="C16" s="1">
        <v>45738.520833333343</v>
      </c>
      <c r="D16" s="1">
        <v>45775.549305555563</v>
      </c>
      <c r="E16" s="2">
        <f t="shared" si="0"/>
        <v>37.028472222220444</v>
      </c>
    </row>
    <row r="17" spans="1:5" x14ac:dyDescent="0.25">
      <c r="A17" t="s">
        <v>15</v>
      </c>
      <c r="B17" t="s">
        <v>18</v>
      </c>
      <c r="C17" s="1">
        <v>46047.854166666657</v>
      </c>
      <c r="D17" s="1">
        <v>46100.083333333343</v>
      </c>
      <c r="E17" s="2">
        <f t="shared" si="0"/>
        <v>52.229166666686069</v>
      </c>
    </row>
    <row r="18" spans="1:5" x14ac:dyDescent="0.25">
      <c r="A18" t="s">
        <v>8</v>
      </c>
      <c r="B18" t="s">
        <v>18</v>
      </c>
      <c r="C18" s="1">
        <v>46157.003472222219</v>
      </c>
      <c r="D18" s="1">
        <v>46195.804166666669</v>
      </c>
      <c r="E18" s="2">
        <f t="shared" si="0"/>
        <v>38.800694444449618</v>
      </c>
    </row>
    <row r="19" spans="1:5" x14ac:dyDescent="0.25">
      <c r="A19" t="s">
        <v>13</v>
      </c>
      <c r="B19" t="s">
        <v>11</v>
      </c>
      <c r="C19" s="1">
        <v>45885.07916666667</v>
      </c>
      <c r="D19" s="1">
        <v>45924.945833333331</v>
      </c>
      <c r="E19" s="2">
        <f t="shared" si="0"/>
        <v>39.866666666661331</v>
      </c>
    </row>
    <row r="20" spans="1:5" x14ac:dyDescent="0.25">
      <c r="A20" t="s">
        <v>13</v>
      </c>
      <c r="B20" t="s">
        <v>8</v>
      </c>
      <c r="C20" s="1">
        <v>45797.741666666669</v>
      </c>
      <c r="D20" s="1">
        <v>45824.51458333333</v>
      </c>
      <c r="E20" s="2">
        <f t="shared" si="0"/>
        <v>26.772916666661331</v>
      </c>
    </row>
    <row r="21" spans="1:5" x14ac:dyDescent="0.25">
      <c r="A21" t="s">
        <v>11</v>
      </c>
      <c r="B21" t="s">
        <v>21</v>
      </c>
      <c r="C21" s="1">
        <v>45792.645138888889</v>
      </c>
      <c r="D21" s="1">
        <v>45805.615972222222</v>
      </c>
      <c r="E21" s="2">
        <f t="shared" si="0"/>
        <v>12.970833333332848</v>
      </c>
    </row>
    <row r="22" spans="1:5" x14ac:dyDescent="0.25">
      <c r="A22" t="s">
        <v>14</v>
      </c>
      <c r="B22" t="s">
        <v>22</v>
      </c>
      <c r="C22" s="1">
        <v>45904.558333333327</v>
      </c>
      <c r="D22" s="1">
        <v>45968.791666666657</v>
      </c>
      <c r="E22" s="2">
        <f t="shared" si="0"/>
        <v>64.233333333329938</v>
      </c>
    </row>
    <row r="23" spans="1:5" x14ac:dyDescent="0.25">
      <c r="A23" t="s">
        <v>12</v>
      </c>
      <c r="B23" t="s">
        <v>18</v>
      </c>
      <c r="C23" s="1">
        <v>45879.837500000001</v>
      </c>
      <c r="D23" s="1">
        <v>45964.081944444442</v>
      </c>
      <c r="E23" s="2">
        <f t="shared" si="0"/>
        <v>84.244444444440887</v>
      </c>
    </row>
    <row r="24" spans="1:5" x14ac:dyDescent="0.25">
      <c r="A24" t="s">
        <v>15</v>
      </c>
      <c r="B24" t="s">
        <v>13</v>
      </c>
      <c r="C24" s="1">
        <v>45736.576388888891</v>
      </c>
      <c r="D24" s="1">
        <v>45779.65347222222</v>
      </c>
      <c r="E24" s="2">
        <f t="shared" si="0"/>
        <v>43.077083333329938</v>
      </c>
    </row>
    <row r="25" spans="1:5" x14ac:dyDescent="0.25">
      <c r="A25" t="s">
        <v>16</v>
      </c>
      <c r="B25" t="s">
        <v>6</v>
      </c>
      <c r="C25" s="1">
        <v>46235.583333333343</v>
      </c>
      <c r="D25" s="1">
        <v>46285.875</v>
      </c>
      <c r="E25" s="2">
        <f t="shared" si="0"/>
        <v>50.291666666656965</v>
      </c>
    </row>
    <row r="26" spans="1:5" x14ac:dyDescent="0.25">
      <c r="A26" t="s">
        <v>12</v>
      </c>
      <c r="B26" t="s">
        <v>13</v>
      </c>
      <c r="C26" s="1">
        <v>45911.45416666667</v>
      </c>
      <c r="D26" s="1">
        <v>45958.50277777778</v>
      </c>
      <c r="E26" s="2">
        <f t="shared" si="0"/>
        <v>47.048611111109494</v>
      </c>
    </row>
    <row r="27" spans="1:5" x14ac:dyDescent="0.25">
      <c r="A27" t="s">
        <v>15</v>
      </c>
      <c r="B27" t="s">
        <v>18</v>
      </c>
      <c r="C27" s="1">
        <v>46132.754861111112</v>
      </c>
      <c r="D27" s="1">
        <v>46189.661805555559</v>
      </c>
      <c r="E27" s="2">
        <f t="shared" si="0"/>
        <v>56.906944444446708</v>
      </c>
    </row>
    <row r="28" spans="1:5" x14ac:dyDescent="0.25">
      <c r="A28" t="s">
        <v>11</v>
      </c>
      <c r="B28" t="s">
        <v>19</v>
      </c>
      <c r="C28" s="1">
        <v>45709.306250000001</v>
      </c>
      <c r="D28" s="1">
        <v>45771.574999999997</v>
      </c>
      <c r="E28" s="2">
        <f t="shared" si="0"/>
        <v>62.268749999995634</v>
      </c>
    </row>
    <row r="29" spans="1:5" x14ac:dyDescent="0.25">
      <c r="A29" t="s">
        <v>8</v>
      </c>
      <c r="B29" t="s">
        <v>18</v>
      </c>
      <c r="C29" s="1">
        <v>46162.799305555563</v>
      </c>
      <c r="D29" s="1">
        <v>46210.020833333343</v>
      </c>
      <c r="E29" s="2">
        <f t="shared" si="0"/>
        <v>47.221527777779556</v>
      </c>
    </row>
    <row r="30" spans="1:5" x14ac:dyDescent="0.25">
      <c r="A30" t="s">
        <v>16</v>
      </c>
      <c r="B30" t="s">
        <v>8</v>
      </c>
      <c r="C30" s="1">
        <v>45744.76666666667</v>
      </c>
      <c r="D30" s="1">
        <v>45791.914583333331</v>
      </c>
      <c r="E30" s="2">
        <f t="shared" si="0"/>
        <v>47.147916666661331</v>
      </c>
    </row>
    <row r="31" spans="1:5" x14ac:dyDescent="0.25">
      <c r="A31" t="s">
        <v>23</v>
      </c>
      <c r="B31" t="s">
        <v>24</v>
      </c>
      <c r="C31" s="1">
        <v>45995.4375</v>
      </c>
      <c r="D31" s="1">
        <v>46042.361111111109</v>
      </c>
      <c r="E31" s="2">
        <f t="shared" si="0"/>
        <v>46.923611111109494</v>
      </c>
    </row>
    <row r="32" spans="1:5" x14ac:dyDescent="0.25">
      <c r="A32" t="s">
        <v>14</v>
      </c>
      <c r="B32" t="s">
        <v>22</v>
      </c>
      <c r="C32" s="1">
        <v>45981.395138888889</v>
      </c>
      <c r="D32" s="1">
        <v>46041.775000000001</v>
      </c>
      <c r="E32" s="2">
        <f t="shared" si="0"/>
        <v>60.379861111112405</v>
      </c>
    </row>
    <row r="33" spans="1:5" x14ac:dyDescent="0.25">
      <c r="A33" t="s">
        <v>12</v>
      </c>
      <c r="B33" t="s">
        <v>18</v>
      </c>
      <c r="C33" s="1">
        <v>45680.126388888893</v>
      </c>
      <c r="D33" s="1">
        <v>45744.01458333333</v>
      </c>
      <c r="E33" s="2">
        <f t="shared" si="0"/>
        <v>63.888194444436522</v>
      </c>
    </row>
    <row r="34" spans="1:5" x14ac:dyDescent="0.25">
      <c r="A34" t="s">
        <v>12</v>
      </c>
      <c r="B34" t="s">
        <v>18</v>
      </c>
      <c r="C34" s="1">
        <v>45869.008333333331</v>
      </c>
      <c r="D34" s="1">
        <v>45948.833333333343</v>
      </c>
      <c r="E34" s="2">
        <f t="shared" si="0"/>
        <v>79.825000000011642</v>
      </c>
    </row>
    <row r="35" spans="1:5" x14ac:dyDescent="0.25">
      <c r="A35" t="s">
        <v>7</v>
      </c>
      <c r="B35" t="s">
        <v>13</v>
      </c>
      <c r="C35" s="1">
        <v>46086.833333333343</v>
      </c>
      <c r="D35" s="1">
        <v>46134.854166666657</v>
      </c>
      <c r="E35" s="2">
        <f t="shared" si="0"/>
        <v>48.020833333313931</v>
      </c>
    </row>
    <row r="36" spans="1:5" x14ac:dyDescent="0.25">
      <c r="A36" t="s">
        <v>11</v>
      </c>
      <c r="B36" t="s">
        <v>7</v>
      </c>
      <c r="C36" s="1">
        <v>45978.834722222222</v>
      </c>
      <c r="D36" s="1">
        <v>46055.583333333343</v>
      </c>
      <c r="E36" s="2">
        <f t="shared" si="0"/>
        <v>76.748611111121136</v>
      </c>
    </row>
    <row r="37" spans="1:5" x14ac:dyDescent="0.25">
      <c r="A37" t="s">
        <v>25</v>
      </c>
      <c r="B37" t="s">
        <v>7</v>
      </c>
      <c r="C37" s="1">
        <v>45700.96597222222</v>
      </c>
      <c r="D37" s="1">
        <v>45750.75</v>
      </c>
      <c r="E37" s="2">
        <f t="shared" si="0"/>
        <v>49.784027777779556</v>
      </c>
    </row>
    <row r="38" spans="1:5" x14ac:dyDescent="0.25">
      <c r="A38" t="s">
        <v>7</v>
      </c>
      <c r="B38" t="s">
        <v>13</v>
      </c>
      <c r="C38" s="1">
        <v>46045.25</v>
      </c>
      <c r="D38" s="1">
        <v>46091.636111111111</v>
      </c>
      <c r="E38" s="2">
        <f t="shared" si="0"/>
        <v>46.386111111110949</v>
      </c>
    </row>
    <row r="39" spans="1:5" x14ac:dyDescent="0.25">
      <c r="A39" t="s">
        <v>26</v>
      </c>
      <c r="B39" t="s">
        <v>21</v>
      </c>
      <c r="C39" s="1">
        <v>46020.320833333331</v>
      </c>
      <c r="D39" s="1">
        <v>46065.188194444447</v>
      </c>
      <c r="E39" s="2">
        <f t="shared" si="0"/>
        <v>44.867361111115315</v>
      </c>
    </row>
    <row r="40" spans="1:5" x14ac:dyDescent="0.25">
      <c r="A40" t="s">
        <v>26</v>
      </c>
      <c r="B40" t="s">
        <v>21</v>
      </c>
      <c r="C40" s="1">
        <v>46084.025000000001</v>
      </c>
      <c r="D40" s="1">
        <v>46128.304166666669</v>
      </c>
      <c r="E40" s="2">
        <f t="shared" si="0"/>
        <v>44.279166666667152</v>
      </c>
    </row>
    <row r="41" spans="1:5" x14ac:dyDescent="0.25">
      <c r="A41" t="s">
        <v>27</v>
      </c>
      <c r="B41" t="s">
        <v>8</v>
      </c>
      <c r="C41" s="1">
        <v>45748.5625</v>
      </c>
      <c r="D41" s="1">
        <v>45809.359027777777</v>
      </c>
      <c r="E41" s="2">
        <f t="shared" si="0"/>
        <v>60.796527777776646</v>
      </c>
    </row>
    <row r="42" spans="1:5" x14ac:dyDescent="0.25">
      <c r="A42" t="s">
        <v>15</v>
      </c>
      <c r="B42" t="s">
        <v>18</v>
      </c>
      <c r="C42" s="1">
        <v>45735.625</v>
      </c>
      <c r="D42" s="1">
        <v>45786</v>
      </c>
      <c r="E42" s="2">
        <f t="shared" si="0"/>
        <v>50.375</v>
      </c>
    </row>
    <row r="43" spans="1:5" x14ac:dyDescent="0.25">
      <c r="A43" t="s">
        <v>12</v>
      </c>
      <c r="B43" t="s">
        <v>18</v>
      </c>
      <c r="C43" s="1">
        <v>45746.544444444437</v>
      </c>
      <c r="D43" s="1">
        <v>45800.666666666657</v>
      </c>
      <c r="E43" s="2">
        <f t="shared" si="0"/>
        <v>54.122222222220444</v>
      </c>
    </row>
    <row r="44" spans="1:5" x14ac:dyDescent="0.25">
      <c r="A44" t="s">
        <v>16</v>
      </c>
      <c r="B44" t="s">
        <v>6</v>
      </c>
      <c r="C44" s="1">
        <v>45764.879166666673</v>
      </c>
      <c r="D44" s="1">
        <v>45841.255555555559</v>
      </c>
      <c r="E44" s="2">
        <f t="shared" si="0"/>
        <v>76.37638888888614</v>
      </c>
    </row>
    <row r="45" spans="1:5" x14ac:dyDescent="0.25">
      <c r="A45" t="s">
        <v>12</v>
      </c>
      <c r="B45" t="s">
        <v>8</v>
      </c>
      <c r="C45" s="1">
        <v>46000.875</v>
      </c>
      <c r="D45" s="1">
        <v>46054.188194444447</v>
      </c>
      <c r="E45" s="2">
        <f t="shared" si="0"/>
        <v>53.313194444446708</v>
      </c>
    </row>
    <row r="46" spans="1:5" x14ac:dyDescent="0.25">
      <c r="A46" t="s">
        <v>12</v>
      </c>
      <c r="B46" t="s">
        <v>18</v>
      </c>
      <c r="C46" s="1">
        <v>45667.296527777777</v>
      </c>
      <c r="D46" s="1">
        <v>45727.680555555547</v>
      </c>
      <c r="E46" s="2">
        <f t="shared" si="0"/>
        <v>60.384027777770825</v>
      </c>
    </row>
    <row r="47" spans="1:5" x14ac:dyDescent="0.25">
      <c r="A47" t="s">
        <v>28</v>
      </c>
      <c r="B47" t="s">
        <v>18</v>
      </c>
      <c r="C47" s="1">
        <v>46107.872916666667</v>
      </c>
      <c r="D47" s="1">
        <v>46170.275000000001</v>
      </c>
      <c r="E47" s="2">
        <f t="shared" si="0"/>
        <v>62.402083333334303</v>
      </c>
    </row>
    <row r="48" spans="1:5" x14ac:dyDescent="0.25">
      <c r="A48" t="s">
        <v>15</v>
      </c>
      <c r="B48" t="s">
        <v>8</v>
      </c>
      <c r="C48" s="1">
        <v>45937.511805555558</v>
      </c>
      <c r="D48" s="1">
        <v>45984.291666666657</v>
      </c>
      <c r="E48" s="2">
        <f t="shared" si="0"/>
        <v>46.779861111099308</v>
      </c>
    </row>
    <row r="49" spans="1:5" x14ac:dyDescent="0.25">
      <c r="A49" t="s">
        <v>15</v>
      </c>
      <c r="B49" t="s">
        <v>20</v>
      </c>
      <c r="C49" s="1">
        <v>46201.226388888892</v>
      </c>
      <c r="D49" s="1">
        <v>46258.07916666667</v>
      </c>
      <c r="E49" s="2">
        <f t="shared" si="0"/>
        <v>56.852777777778101</v>
      </c>
    </row>
    <row r="50" spans="1:5" x14ac:dyDescent="0.25">
      <c r="A50" t="s">
        <v>15</v>
      </c>
      <c r="B50" t="s">
        <v>8</v>
      </c>
      <c r="C50" s="1">
        <v>46042.207638888889</v>
      </c>
      <c r="D50" s="1">
        <v>46082.083333333343</v>
      </c>
      <c r="E50" s="2">
        <f t="shared" si="0"/>
        <v>39.875694444453984</v>
      </c>
    </row>
    <row r="51" spans="1:5" x14ac:dyDescent="0.25">
      <c r="A51" t="s">
        <v>15</v>
      </c>
      <c r="B51" t="s">
        <v>8</v>
      </c>
      <c r="C51" s="1">
        <v>45669</v>
      </c>
      <c r="D51" s="1">
        <v>45709.625</v>
      </c>
      <c r="E51" s="2">
        <f t="shared" si="0"/>
        <v>40.625</v>
      </c>
    </row>
    <row r="52" spans="1:5" x14ac:dyDescent="0.25">
      <c r="A52" t="s">
        <v>15</v>
      </c>
      <c r="B52" t="s">
        <v>20</v>
      </c>
      <c r="C52" s="1">
        <v>46185.4</v>
      </c>
      <c r="D52" s="1">
        <v>46229.652777777781</v>
      </c>
      <c r="E52" s="2">
        <f t="shared" si="0"/>
        <v>44.252777777779556</v>
      </c>
    </row>
    <row r="53" spans="1:5" x14ac:dyDescent="0.25">
      <c r="A53" t="s">
        <v>15</v>
      </c>
      <c r="B53" t="s">
        <v>16</v>
      </c>
      <c r="C53" s="1">
        <v>46019.780555555553</v>
      </c>
      <c r="D53" s="1">
        <v>46051.433333333327</v>
      </c>
      <c r="E53" s="2">
        <f t="shared" si="0"/>
        <v>31.652777777773736</v>
      </c>
    </row>
    <row r="54" spans="1:5" x14ac:dyDescent="0.25">
      <c r="A54" t="s">
        <v>15</v>
      </c>
      <c r="B54" t="s">
        <v>8</v>
      </c>
      <c r="C54" s="1">
        <v>45734.426388888889</v>
      </c>
      <c r="D54" s="1">
        <v>45777</v>
      </c>
      <c r="E54" s="2">
        <f t="shared" si="0"/>
        <v>42.573611111110949</v>
      </c>
    </row>
    <row r="55" spans="1:5" x14ac:dyDescent="0.25">
      <c r="A55" t="s">
        <v>15</v>
      </c>
      <c r="B55" t="s">
        <v>16</v>
      </c>
      <c r="C55" s="1">
        <v>46098.458333333343</v>
      </c>
      <c r="D55" s="1">
        <v>46114.666666666657</v>
      </c>
      <c r="E55" s="2">
        <f t="shared" si="0"/>
        <v>16.208333333313931</v>
      </c>
    </row>
    <row r="56" spans="1:5" x14ac:dyDescent="0.25">
      <c r="A56" t="s">
        <v>15</v>
      </c>
      <c r="B56" t="s">
        <v>20</v>
      </c>
      <c r="C56" s="1">
        <v>46198.806944444441</v>
      </c>
      <c r="D56" s="1">
        <v>46258.07916666667</v>
      </c>
      <c r="E56" s="2">
        <f t="shared" si="0"/>
        <v>59.272222222229175</v>
      </c>
    </row>
    <row r="57" spans="1:5" x14ac:dyDescent="0.25">
      <c r="A57" t="s">
        <v>15</v>
      </c>
      <c r="B57" t="s">
        <v>16</v>
      </c>
      <c r="C57" s="1">
        <v>46144.999305555553</v>
      </c>
      <c r="D57" s="1">
        <v>46157.333333333343</v>
      </c>
      <c r="E57" s="2">
        <f t="shared" si="0"/>
        <v>12.334027777789743</v>
      </c>
    </row>
    <row r="58" spans="1:5" x14ac:dyDescent="0.25">
      <c r="A58" t="s">
        <v>15</v>
      </c>
      <c r="B58" t="s">
        <v>8</v>
      </c>
      <c r="C58" s="1">
        <v>46135.581250000003</v>
      </c>
      <c r="D58" s="1">
        <v>46173.291666666657</v>
      </c>
      <c r="E58" s="2">
        <f t="shared" si="0"/>
        <v>37.710416666654055</v>
      </c>
    </row>
    <row r="59" spans="1:5" x14ac:dyDescent="0.25">
      <c r="A59" t="s">
        <v>15</v>
      </c>
      <c r="B59" t="s">
        <v>8</v>
      </c>
      <c r="C59" s="1">
        <v>46067.473611111112</v>
      </c>
      <c r="D59" s="1">
        <v>46110.377083333333</v>
      </c>
      <c r="E59" s="2">
        <f t="shared" si="0"/>
        <v>42.903472222220444</v>
      </c>
    </row>
    <row r="60" spans="1:5" x14ac:dyDescent="0.25">
      <c r="A60" t="s">
        <v>15</v>
      </c>
      <c r="B60" t="s">
        <v>8</v>
      </c>
      <c r="C60" s="1">
        <v>46042.207638888889</v>
      </c>
      <c r="D60" s="1">
        <v>46082.083333333343</v>
      </c>
      <c r="E60" s="2">
        <f t="shared" si="0"/>
        <v>39.875694444453984</v>
      </c>
    </row>
    <row r="61" spans="1:5" x14ac:dyDescent="0.25">
      <c r="A61" t="s">
        <v>15</v>
      </c>
      <c r="B61" t="s">
        <v>8</v>
      </c>
      <c r="C61" s="1">
        <v>45967.412499999999</v>
      </c>
      <c r="D61" s="1">
        <v>46004.9</v>
      </c>
      <c r="E61" s="2">
        <f t="shared" si="0"/>
        <v>37.48750000000291</v>
      </c>
    </row>
    <row r="62" spans="1:5" x14ac:dyDescent="0.25">
      <c r="A62" t="s">
        <v>7</v>
      </c>
      <c r="B62" t="s">
        <v>11</v>
      </c>
      <c r="C62" s="1">
        <v>45701.225694444453</v>
      </c>
      <c r="D62" s="1">
        <v>45777.365277777782</v>
      </c>
      <c r="E62" s="2">
        <f t="shared" si="0"/>
        <v>76.139583333329938</v>
      </c>
    </row>
    <row r="63" spans="1:5" x14ac:dyDescent="0.25">
      <c r="A63" t="s">
        <v>15</v>
      </c>
      <c r="B63" t="s">
        <v>8</v>
      </c>
      <c r="C63" s="1">
        <v>46031.183333333327</v>
      </c>
      <c r="D63" s="1">
        <v>46074.836805555547</v>
      </c>
      <c r="E63" s="2">
        <f t="shared" si="0"/>
        <v>43.653472222220444</v>
      </c>
    </row>
    <row r="64" spans="1:5" x14ac:dyDescent="0.25">
      <c r="A64" t="s">
        <v>15</v>
      </c>
      <c r="B64" t="s">
        <v>8</v>
      </c>
      <c r="C64" s="1">
        <v>45937.511805555558</v>
      </c>
      <c r="D64" s="1">
        <v>45984.291666666657</v>
      </c>
      <c r="E64" s="2">
        <f t="shared" si="0"/>
        <v>46.779861111099308</v>
      </c>
    </row>
    <row r="65" spans="1:5" x14ac:dyDescent="0.25">
      <c r="A65" t="s">
        <v>15</v>
      </c>
      <c r="B65" t="s">
        <v>8</v>
      </c>
      <c r="C65" s="1">
        <v>45669</v>
      </c>
      <c r="D65" s="1">
        <v>45709.625</v>
      </c>
      <c r="E65" s="2">
        <f t="shared" si="0"/>
        <v>40.625</v>
      </c>
    </row>
    <row r="66" spans="1:5" x14ac:dyDescent="0.25">
      <c r="A66" t="s">
        <v>15</v>
      </c>
      <c r="B66" t="s">
        <v>8</v>
      </c>
      <c r="C66" s="1">
        <v>46108.948611111111</v>
      </c>
      <c r="D66" s="1">
        <v>46144.908333333333</v>
      </c>
      <c r="E66" s="2">
        <f t="shared" ref="E66:E129" si="1">D66-C66</f>
        <v>35.959722222221899</v>
      </c>
    </row>
    <row r="67" spans="1:5" x14ac:dyDescent="0.25">
      <c r="A67" t="s">
        <v>15</v>
      </c>
      <c r="B67" t="s">
        <v>8</v>
      </c>
      <c r="C67" s="1">
        <v>45680.654166666667</v>
      </c>
      <c r="D67" s="1">
        <v>45724.601388888892</v>
      </c>
      <c r="E67" s="2">
        <f t="shared" si="1"/>
        <v>43.947222222224809</v>
      </c>
    </row>
    <row r="68" spans="1:5" x14ac:dyDescent="0.25">
      <c r="A68" t="s">
        <v>15</v>
      </c>
      <c r="B68" t="s">
        <v>8</v>
      </c>
      <c r="C68" s="1">
        <v>46108.948611111111</v>
      </c>
      <c r="D68" s="1">
        <v>46144.908333333333</v>
      </c>
      <c r="E68" s="2">
        <f t="shared" si="1"/>
        <v>35.959722222221899</v>
      </c>
    </row>
    <row r="69" spans="1:5" x14ac:dyDescent="0.25">
      <c r="A69" t="s">
        <v>15</v>
      </c>
      <c r="B69" t="s">
        <v>8</v>
      </c>
      <c r="C69" s="1">
        <v>45896.723611111112</v>
      </c>
      <c r="D69" s="1">
        <v>45935.75277777778</v>
      </c>
      <c r="E69" s="2">
        <f t="shared" si="1"/>
        <v>39.029166666667152</v>
      </c>
    </row>
    <row r="70" spans="1:5" x14ac:dyDescent="0.25">
      <c r="A70" t="s">
        <v>15</v>
      </c>
      <c r="B70" t="s">
        <v>8</v>
      </c>
      <c r="C70" s="1">
        <v>46031.183333333327</v>
      </c>
      <c r="D70" s="1">
        <v>46074.836805555547</v>
      </c>
      <c r="E70" s="2">
        <f t="shared" si="1"/>
        <v>43.653472222220444</v>
      </c>
    </row>
    <row r="71" spans="1:5" x14ac:dyDescent="0.25">
      <c r="A71" t="s">
        <v>15</v>
      </c>
      <c r="B71" t="s">
        <v>8</v>
      </c>
      <c r="C71" s="1">
        <v>45879.8125</v>
      </c>
      <c r="D71" s="1">
        <v>45920</v>
      </c>
      <c r="E71" s="2">
        <f t="shared" si="1"/>
        <v>40.1875</v>
      </c>
    </row>
    <row r="72" spans="1:5" x14ac:dyDescent="0.25">
      <c r="A72" t="s">
        <v>15</v>
      </c>
      <c r="B72" t="s">
        <v>8</v>
      </c>
      <c r="C72" s="1">
        <v>45688.75</v>
      </c>
      <c r="D72" s="1">
        <v>45724.601388888892</v>
      </c>
      <c r="E72" s="2">
        <f t="shared" si="1"/>
        <v>35.851388888891961</v>
      </c>
    </row>
    <row r="73" spans="1:5" x14ac:dyDescent="0.25">
      <c r="A73" t="s">
        <v>15</v>
      </c>
      <c r="B73" t="s">
        <v>8</v>
      </c>
      <c r="C73" s="1">
        <v>46108.948611111111</v>
      </c>
      <c r="D73" s="1">
        <v>46144.908333333333</v>
      </c>
      <c r="E73" s="2">
        <f t="shared" si="1"/>
        <v>35.959722222221899</v>
      </c>
    </row>
    <row r="74" spans="1:5" x14ac:dyDescent="0.25">
      <c r="A74" t="s">
        <v>15</v>
      </c>
      <c r="B74" t="s">
        <v>8</v>
      </c>
      <c r="C74" s="1">
        <v>45937.511805555558</v>
      </c>
      <c r="D74" s="1">
        <v>45984.291666666657</v>
      </c>
      <c r="E74" s="2">
        <f t="shared" si="1"/>
        <v>46.779861111099308</v>
      </c>
    </row>
    <row r="75" spans="1:5" x14ac:dyDescent="0.25">
      <c r="A75" t="s">
        <v>15</v>
      </c>
      <c r="B75" t="s">
        <v>16</v>
      </c>
      <c r="C75" s="1">
        <v>46069.149305555547</v>
      </c>
      <c r="D75" s="1">
        <v>46081.958333333343</v>
      </c>
      <c r="E75" s="2">
        <f t="shared" si="1"/>
        <v>12.809027777795563</v>
      </c>
    </row>
    <row r="76" spans="1:5" x14ac:dyDescent="0.25">
      <c r="A76" t="s">
        <v>15</v>
      </c>
      <c r="B76" t="s">
        <v>8</v>
      </c>
      <c r="C76" s="1">
        <v>45927.916666666657</v>
      </c>
      <c r="D76" s="1">
        <v>45977.614583333343</v>
      </c>
      <c r="E76" s="2">
        <f t="shared" si="1"/>
        <v>49.697916666686069</v>
      </c>
    </row>
    <row r="77" spans="1:5" x14ac:dyDescent="0.25">
      <c r="A77" t="s">
        <v>15</v>
      </c>
      <c r="B77" t="s">
        <v>8</v>
      </c>
      <c r="C77" s="1">
        <v>46067.473611111112</v>
      </c>
      <c r="D77" s="1">
        <v>46110.377083333333</v>
      </c>
      <c r="E77" s="2">
        <f t="shared" si="1"/>
        <v>42.903472222220444</v>
      </c>
    </row>
    <row r="78" spans="1:5" x14ac:dyDescent="0.25">
      <c r="A78" t="s">
        <v>15</v>
      </c>
      <c r="B78" t="s">
        <v>8</v>
      </c>
      <c r="C78" s="1">
        <v>45967.412499999999</v>
      </c>
      <c r="D78" s="1">
        <v>46004.9</v>
      </c>
      <c r="E78" s="2">
        <f t="shared" si="1"/>
        <v>37.48750000000291</v>
      </c>
    </row>
    <row r="79" spans="1:5" x14ac:dyDescent="0.25">
      <c r="A79" t="s">
        <v>15</v>
      </c>
      <c r="B79" t="s">
        <v>8</v>
      </c>
      <c r="C79" s="1">
        <v>45702</v>
      </c>
      <c r="D79" s="1">
        <v>45738.364583333343</v>
      </c>
      <c r="E79" s="2">
        <f t="shared" si="1"/>
        <v>36.364583333343035</v>
      </c>
    </row>
    <row r="80" spans="1:5" x14ac:dyDescent="0.25">
      <c r="A80" t="s">
        <v>15</v>
      </c>
      <c r="B80" t="s">
        <v>8</v>
      </c>
      <c r="C80" s="1">
        <v>46067.473611111112</v>
      </c>
      <c r="D80" s="1">
        <v>46110.377083333333</v>
      </c>
      <c r="E80" s="2">
        <f t="shared" si="1"/>
        <v>42.903472222220444</v>
      </c>
    </row>
    <row r="81" spans="1:5" x14ac:dyDescent="0.25">
      <c r="A81" t="s">
        <v>15</v>
      </c>
      <c r="B81" t="s">
        <v>16</v>
      </c>
      <c r="C81" s="1">
        <v>46129.458333333343</v>
      </c>
      <c r="D81" s="1">
        <v>46145.75</v>
      </c>
      <c r="E81" s="2">
        <f t="shared" si="1"/>
        <v>16.291666666656965</v>
      </c>
    </row>
    <row r="82" spans="1:5" x14ac:dyDescent="0.25">
      <c r="A82" t="s">
        <v>15</v>
      </c>
      <c r="B82" t="s">
        <v>8</v>
      </c>
      <c r="C82" s="1">
        <v>45724.95416666667</v>
      </c>
      <c r="D82" s="1">
        <v>45777</v>
      </c>
      <c r="E82" s="2">
        <f t="shared" si="1"/>
        <v>52.045833333329938</v>
      </c>
    </row>
    <row r="83" spans="1:5" x14ac:dyDescent="0.25">
      <c r="A83" t="s">
        <v>15</v>
      </c>
      <c r="B83" t="s">
        <v>8</v>
      </c>
      <c r="C83" s="1">
        <v>45889.688888888893</v>
      </c>
      <c r="D83" s="1">
        <v>45928.208333333343</v>
      </c>
      <c r="E83" s="2">
        <f t="shared" si="1"/>
        <v>38.519444444449618</v>
      </c>
    </row>
    <row r="84" spans="1:5" x14ac:dyDescent="0.25">
      <c r="A84" t="s">
        <v>15</v>
      </c>
      <c r="B84" t="s">
        <v>8</v>
      </c>
      <c r="C84" s="1">
        <v>46006.65</v>
      </c>
      <c r="D84" s="1">
        <v>46054.188194444447</v>
      </c>
      <c r="E84" s="2">
        <f t="shared" si="1"/>
        <v>47.538194444445253</v>
      </c>
    </row>
    <row r="85" spans="1:5" x14ac:dyDescent="0.25">
      <c r="A85" t="s">
        <v>15</v>
      </c>
      <c r="B85" t="s">
        <v>8</v>
      </c>
      <c r="C85" s="1">
        <v>45711.422222222223</v>
      </c>
      <c r="D85" s="1">
        <v>45747.796527777777</v>
      </c>
      <c r="E85" s="2">
        <f t="shared" si="1"/>
        <v>36.374305555553292</v>
      </c>
    </row>
    <row r="86" spans="1:5" x14ac:dyDescent="0.25">
      <c r="A86" t="s">
        <v>15</v>
      </c>
      <c r="B86" t="s">
        <v>8</v>
      </c>
      <c r="C86" s="1">
        <v>46084.311111111107</v>
      </c>
      <c r="D86" s="1">
        <v>46124.397222222222</v>
      </c>
      <c r="E86" s="2">
        <f t="shared" si="1"/>
        <v>40.086111111115315</v>
      </c>
    </row>
    <row r="87" spans="1:5" x14ac:dyDescent="0.25">
      <c r="A87" t="s">
        <v>15</v>
      </c>
      <c r="B87" t="s">
        <v>16</v>
      </c>
      <c r="C87" s="1">
        <v>46069.149305555547</v>
      </c>
      <c r="D87" s="1">
        <v>46081.958333333343</v>
      </c>
      <c r="E87" s="2">
        <f t="shared" si="1"/>
        <v>12.809027777795563</v>
      </c>
    </row>
    <row r="88" spans="1:5" x14ac:dyDescent="0.25">
      <c r="A88" t="s">
        <v>15</v>
      </c>
      <c r="B88" t="s">
        <v>8</v>
      </c>
      <c r="C88" s="1">
        <v>45822.490972222222</v>
      </c>
      <c r="D88" s="1">
        <v>45873.418749999997</v>
      </c>
      <c r="E88" s="2">
        <f t="shared" si="1"/>
        <v>50.927777777775191</v>
      </c>
    </row>
    <row r="89" spans="1:5" x14ac:dyDescent="0.25">
      <c r="A89" t="s">
        <v>15</v>
      </c>
      <c r="B89" t="s">
        <v>8</v>
      </c>
      <c r="C89" s="1">
        <v>45967.412499999999</v>
      </c>
      <c r="D89" s="1">
        <v>46004.9</v>
      </c>
      <c r="E89" s="2">
        <f t="shared" si="1"/>
        <v>37.48750000000291</v>
      </c>
    </row>
    <row r="90" spans="1:5" x14ac:dyDescent="0.25">
      <c r="A90" t="s">
        <v>15</v>
      </c>
      <c r="B90" t="s">
        <v>8</v>
      </c>
      <c r="C90" s="1">
        <v>45896.723611111112</v>
      </c>
      <c r="D90" s="1">
        <v>45935.75277777778</v>
      </c>
      <c r="E90" s="2">
        <f t="shared" si="1"/>
        <v>39.029166666667152</v>
      </c>
    </row>
    <row r="91" spans="1:5" x14ac:dyDescent="0.25">
      <c r="A91" t="s">
        <v>15</v>
      </c>
      <c r="B91" t="s">
        <v>18</v>
      </c>
      <c r="C91" s="1">
        <v>46140.572222222218</v>
      </c>
      <c r="D91" s="1">
        <v>46197.100694444453</v>
      </c>
      <c r="E91" s="2">
        <f t="shared" si="1"/>
        <v>56.528472222234996</v>
      </c>
    </row>
    <row r="92" spans="1:5" x14ac:dyDescent="0.25">
      <c r="A92" t="s">
        <v>29</v>
      </c>
      <c r="B92" t="s">
        <v>20</v>
      </c>
      <c r="C92" s="1">
        <v>46086.274305555547</v>
      </c>
      <c r="D92" s="1">
        <v>46115.104166666657</v>
      </c>
      <c r="E92" s="2">
        <f t="shared" si="1"/>
        <v>28.829861111109494</v>
      </c>
    </row>
    <row r="93" spans="1:5" x14ac:dyDescent="0.25">
      <c r="A93" t="s">
        <v>30</v>
      </c>
      <c r="B93" t="s">
        <v>20</v>
      </c>
      <c r="C93" s="1">
        <v>45836.25</v>
      </c>
      <c r="D93" s="1">
        <v>45844.791666666657</v>
      </c>
      <c r="E93" s="2">
        <f t="shared" si="1"/>
        <v>8.5416666666569654</v>
      </c>
    </row>
    <row r="94" spans="1:5" x14ac:dyDescent="0.25">
      <c r="A94" t="s">
        <v>30</v>
      </c>
      <c r="B94" t="s">
        <v>20</v>
      </c>
      <c r="C94" s="1">
        <v>45857.543749999997</v>
      </c>
      <c r="D94" s="1">
        <v>45867.823009259257</v>
      </c>
      <c r="E94" s="2">
        <f t="shared" si="1"/>
        <v>10.279259259259561</v>
      </c>
    </row>
    <row r="95" spans="1:5" x14ac:dyDescent="0.25">
      <c r="A95" t="s">
        <v>29</v>
      </c>
      <c r="B95" t="s">
        <v>20</v>
      </c>
      <c r="C95" s="1">
        <v>46035.754166666673</v>
      </c>
      <c r="D95" s="1">
        <v>46044.84375</v>
      </c>
      <c r="E95" s="2">
        <f t="shared" si="1"/>
        <v>9.0895833333270275</v>
      </c>
    </row>
    <row r="96" spans="1:5" x14ac:dyDescent="0.25">
      <c r="A96" t="s">
        <v>29</v>
      </c>
      <c r="B96" t="s">
        <v>20</v>
      </c>
      <c r="C96" s="1">
        <v>46133.107638888891</v>
      </c>
      <c r="D96" s="1">
        <v>46143.868055555547</v>
      </c>
      <c r="E96" s="2">
        <f t="shared" si="1"/>
        <v>10.760416666656965</v>
      </c>
    </row>
    <row r="97" spans="1:5" x14ac:dyDescent="0.25">
      <c r="A97" t="s">
        <v>30</v>
      </c>
      <c r="B97" t="s">
        <v>31</v>
      </c>
      <c r="C97" s="1">
        <v>45893.488888888889</v>
      </c>
      <c r="D97" s="1">
        <v>45911.751388888893</v>
      </c>
      <c r="E97" s="2">
        <f t="shared" si="1"/>
        <v>18.262500000004366</v>
      </c>
    </row>
    <row r="98" spans="1:5" x14ac:dyDescent="0.25">
      <c r="A98" t="s">
        <v>30</v>
      </c>
      <c r="B98" t="s">
        <v>20</v>
      </c>
      <c r="C98" s="1">
        <v>45804.504166666673</v>
      </c>
      <c r="D98" s="1">
        <v>45813.107708333337</v>
      </c>
      <c r="E98" s="2">
        <f t="shared" si="1"/>
        <v>8.6035416666636593</v>
      </c>
    </row>
    <row r="99" spans="1:5" x14ac:dyDescent="0.25">
      <c r="A99" t="s">
        <v>30</v>
      </c>
      <c r="B99" t="s">
        <v>20</v>
      </c>
      <c r="C99" s="1">
        <v>45836.25</v>
      </c>
      <c r="D99" s="1">
        <v>45844.791666666657</v>
      </c>
      <c r="E99" s="2">
        <f t="shared" si="1"/>
        <v>8.5416666666569654</v>
      </c>
    </row>
    <row r="100" spans="1:5" x14ac:dyDescent="0.25">
      <c r="A100" t="s">
        <v>30</v>
      </c>
      <c r="B100" t="s">
        <v>20</v>
      </c>
      <c r="C100" s="1">
        <v>45885.447916666657</v>
      </c>
      <c r="D100" s="1">
        <v>45893.75</v>
      </c>
      <c r="E100" s="2">
        <f t="shared" si="1"/>
        <v>8.3020833333430346</v>
      </c>
    </row>
    <row r="101" spans="1:5" x14ac:dyDescent="0.25">
      <c r="A101" t="s">
        <v>29</v>
      </c>
      <c r="B101" t="s">
        <v>20</v>
      </c>
      <c r="C101" s="1">
        <v>46000.320243055547</v>
      </c>
      <c r="D101" s="1">
        <v>46008.53125</v>
      </c>
      <c r="E101" s="2">
        <f t="shared" si="1"/>
        <v>8.211006944453402</v>
      </c>
    </row>
    <row r="102" spans="1:5" x14ac:dyDescent="0.25">
      <c r="A102" t="s">
        <v>29</v>
      </c>
      <c r="B102" t="s">
        <v>20</v>
      </c>
      <c r="C102" s="1">
        <v>46035.754166666673</v>
      </c>
      <c r="D102" s="1">
        <v>46044.84375</v>
      </c>
      <c r="E102" s="2">
        <f t="shared" si="1"/>
        <v>9.0895833333270275</v>
      </c>
    </row>
    <row r="103" spans="1:5" x14ac:dyDescent="0.25">
      <c r="A103" t="s">
        <v>30</v>
      </c>
      <c r="B103" t="s">
        <v>20</v>
      </c>
      <c r="C103" s="1">
        <v>45952.819444444453</v>
      </c>
      <c r="D103" s="1">
        <v>45963.694444444453</v>
      </c>
      <c r="E103" s="2">
        <f t="shared" si="1"/>
        <v>10.875</v>
      </c>
    </row>
    <row r="104" spans="1:5" x14ac:dyDescent="0.25">
      <c r="A104" t="s">
        <v>30</v>
      </c>
      <c r="B104" t="s">
        <v>31</v>
      </c>
      <c r="C104" s="1">
        <v>45851.518738425933</v>
      </c>
      <c r="D104" s="1">
        <v>45870.822916666657</v>
      </c>
      <c r="E104" s="2">
        <f t="shared" si="1"/>
        <v>19.304178240723559</v>
      </c>
    </row>
    <row r="105" spans="1:5" x14ac:dyDescent="0.25">
      <c r="A105" t="s">
        <v>30</v>
      </c>
      <c r="B105" t="s">
        <v>20</v>
      </c>
      <c r="C105" s="1">
        <v>45857.543749999997</v>
      </c>
      <c r="D105" s="1">
        <v>45867.8125</v>
      </c>
      <c r="E105" s="2">
        <f t="shared" si="1"/>
        <v>10.26875000000291</v>
      </c>
    </row>
    <row r="106" spans="1:5" x14ac:dyDescent="0.25">
      <c r="A106" t="s">
        <v>29</v>
      </c>
      <c r="B106" t="s">
        <v>20</v>
      </c>
      <c r="C106" s="1">
        <v>46133.107638888891</v>
      </c>
      <c r="D106" s="1">
        <v>46143.868055555547</v>
      </c>
      <c r="E106" s="2">
        <f t="shared" si="1"/>
        <v>10.760416666656965</v>
      </c>
    </row>
    <row r="107" spans="1:5" x14ac:dyDescent="0.25">
      <c r="A107" t="s">
        <v>30</v>
      </c>
      <c r="B107" t="s">
        <v>20</v>
      </c>
      <c r="C107" s="1">
        <v>45864.291666666657</v>
      </c>
      <c r="D107" s="1">
        <v>45875.166666666657</v>
      </c>
      <c r="E107" s="2">
        <f t="shared" si="1"/>
        <v>10.875</v>
      </c>
    </row>
    <row r="108" spans="1:5" x14ac:dyDescent="0.25">
      <c r="A108" t="s">
        <v>30</v>
      </c>
      <c r="B108" t="s">
        <v>20</v>
      </c>
      <c r="C108" s="1">
        <v>45952.874097222222</v>
      </c>
      <c r="D108" s="1">
        <v>45963.694444444453</v>
      </c>
      <c r="E108" s="2">
        <f t="shared" si="1"/>
        <v>10.820347222230339</v>
      </c>
    </row>
    <row r="109" spans="1:5" x14ac:dyDescent="0.25">
      <c r="A109" t="s">
        <v>30</v>
      </c>
      <c r="B109" t="s">
        <v>20</v>
      </c>
      <c r="C109" s="1">
        <v>45857.543749999997</v>
      </c>
      <c r="D109" s="1">
        <v>45867.8125</v>
      </c>
      <c r="E109" s="2">
        <f t="shared" si="1"/>
        <v>10.26875000000291</v>
      </c>
    </row>
    <row r="110" spans="1:5" x14ac:dyDescent="0.25">
      <c r="A110" t="s">
        <v>13</v>
      </c>
      <c r="B110" t="s">
        <v>8</v>
      </c>
      <c r="C110" s="1">
        <v>45725</v>
      </c>
      <c r="D110" s="1">
        <v>45749.63958333333</v>
      </c>
      <c r="E110" s="2">
        <f t="shared" si="1"/>
        <v>24.639583333329938</v>
      </c>
    </row>
    <row r="111" spans="1:5" x14ac:dyDescent="0.25">
      <c r="A111" t="s">
        <v>12</v>
      </c>
      <c r="B111" t="s">
        <v>18</v>
      </c>
      <c r="C111" s="1">
        <v>45764</v>
      </c>
      <c r="D111" s="1">
        <v>45827.402777777781</v>
      </c>
      <c r="E111" s="2">
        <f t="shared" si="1"/>
        <v>63.402777777781012</v>
      </c>
    </row>
    <row r="112" spans="1:5" x14ac:dyDescent="0.25">
      <c r="A112" t="s">
        <v>15</v>
      </c>
      <c r="B112" t="s">
        <v>13</v>
      </c>
      <c r="C112" s="1">
        <v>45666</v>
      </c>
      <c r="D112" s="1">
        <v>45704.333333333343</v>
      </c>
      <c r="E112" s="2">
        <f t="shared" si="1"/>
        <v>38.333333333343035</v>
      </c>
    </row>
    <row r="113" spans="1:5" x14ac:dyDescent="0.25">
      <c r="A113" t="s">
        <v>15</v>
      </c>
      <c r="B113" t="s">
        <v>19</v>
      </c>
      <c r="C113" s="1">
        <v>46179.804166666669</v>
      </c>
      <c r="D113" s="1">
        <v>46216.590636574067</v>
      </c>
      <c r="E113" s="2">
        <f t="shared" si="1"/>
        <v>36.786469907397986</v>
      </c>
    </row>
    <row r="114" spans="1:5" x14ac:dyDescent="0.25">
      <c r="A114" t="s">
        <v>15</v>
      </c>
      <c r="B114" t="s">
        <v>19</v>
      </c>
      <c r="C114" s="1">
        <v>46212.270833333343</v>
      </c>
      <c r="D114" s="1">
        <v>46247.929166666669</v>
      </c>
      <c r="E114" s="2">
        <f t="shared" si="1"/>
        <v>35.658333333325572</v>
      </c>
    </row>
    <row r="115" spans="1:5" x14ac:dyDescent="0.25">
      <c r="A115" t="s">
        <v>27</v>
      </c>
      <c r="B115" t="s">
        <v>18</v>
      </c>
      <c r="C115" s="1">
        <v>45762.64166666667</v>
      </c>
      <c r="D115" s="1">
        <v>45807.625</v>
      </c>
      <c r="E115" s="2">
        <f t="shared" si="1"/>
        <v>44.983333333329938</v>
      </c>
    </row>
    <row r="116" spans="1:5" x14ac:dyDescent="0.25">
      <c r="A116" t="s">
        <v>22</v>
      </c>
      <c r="B116" t="s">
        <v>6</v>
      </c>
      <c r="C116" s="1">
        <v>45763.170138888891</v>
      </c>
      <c r="D116" s="1">
        <v>45824.629166666673</v>
      </c>
      <c r="E116" s="2">
        <f t="shared" si="1"/>
        <v>61.459027777782467</v>
      </c>
    </row>
    <row r="117" spans="1:5" x14ac:dyDescent="0.25">
      <c r="A117" t="s">
        <v>22</v>
      </c>
      <c r="B117" t="s">
        <v>6</v>
      </c>
      <c r="C117" s="1">
        <v>45703.316064814811</v>
      </c>
      <c r="D117" s="1">
        <v>45782</v>
      </c>
      <c r="E117" s="2">
        <f t="shared" si="1"/>
        <v>78.683935185188602</v>
      </c>
    </row>
    <row r="118" spans="1:5" x14ac:dyDescent="0.25">
      <c r="A118" t="s">
        <v>22</v>
      </c>
      <c r="B118" t="s">
        <v>32</v>
      </c>
      <c r="C118" s="1">
        <v>45703.316064814811</v>
      </c>
      <c r="D118" s="1">
        <v>45782</v>
      </c>
      <c r="E118" s="2">
        <f t="shared" si="1"/>
        <v>78.683935185188602</v>
      </c>
    </row>
    <row r="119" spans="1:5" x14ac:dyDescent="0.25">
      <c r="A119" t="s">
        <v>27</v>
      </c>
      <c r="B119" t="s">
        <v>33</v>
      </c>
      <c r="C119" s="1">
        <v>46187.895833333343</v>
      </c>
      <c r="D119" s="1">
        <v>46242.637499999997</v>
      </c>
      <c r="E119" s="2">
        <f t="shared" si="1"/>
        <v>54.741666666654055</v>
      </c>
    </row>
    <row r="120" spans="1:5" x14ac:dyDescent="0.25">
      <c r="A120" t="s">
        <v>15</v>
      </c>
      <c r="B120" t="s">
        <v>13</v>
      </c>
      <c r="C120" s="1">
        <v>45936.479166666657</v>
      </c>
      <c r="D120" s="1">
        <v>45983.504166666673</v>
      </c>
      <c r="E120" s="2">
        <f t="shared" si="1"/>
        <v>47.025000000016007</v>
      </c>
    </row>
    <row r="121" spans="1:5" x14ac:dyDescent="0.25">
      <c r="A121" t="s">
        <v>12</v>
      </c>
      <c r="B121" t="s">
        <v>18</v>
      </c>
      <c r="C121" s="1">
        <v>45788.375</v>
      </c>
      <c r="D121" s="1">
        <v>45854.592361111107</v>
      </c>
      <c r="E121" s="2">
        <f t="shared" si="1"/>
        <v>66.217361111106584</v>
      </c>
    </row>
    <row r="122" spans="1:5" x14ac:dyDescent="0.25">
      <c r="A122" t="s">
        <v>34</v>
      </c>
      <c r="B122" t="s">
        <v>8</v>
      </c>
      <c r="C122" s="1">
        <v>46105</v>
      </c>
      <c r="D122" s="1">
        <v>46135.6</v>
      </c>
      <c r="E122" s="2">
        <f t="shared" si="1"/>
        <v>30.599999999998545</v>
      </c>
    </row>
    <row r="123" spans="1:5" x14ac:dyDescent="0.25">
      <c r="A123" t="s">
        <v>12</v>
      </c>
      <c r="B123" t="s">
        <v>13</v>
      </c>
      <c r="C123" s="1">
        <v>45811.961111111108</v>
      </c>
      <c r="D123" s="1">
        <v>45860.379166666673</v>
      </c>
      <c r="E123" s="2">
        <f t="shared" si="1"/>
        <v>48.418055555564933</v>
      </c>
    </row>
    <row r="124" spans="1:5" x14ac:dyDescent="0.25">
      <c r="A124" t="s">
        <v>8</v>
      </c>
      <c r="B124" t="s">
        <v>13</v>
      </c>
      <c r="C124" s="1">
        <v>45750</v>
      </c>
      <c r="D124" s="1">
        <v>45787</v>
      </c>
      <c r="E124" s="2">
        <f t="shared" si="1"/>
        <v>37</v>
      </c>
    </row>
    <row r="125" spans="1:5" x14ac:dyDescent="0.25">
      <c r="A125" t="s">
        <v>20</v>
      </c>
      <c r="B125" t="s">
        <v>8</v>
      </c>
      <c r="C125" s="1">
        <v>45666.95</v>
      </c>
      <c r="D125" s="1">
        <v>45698.310416666667</v>
      </c>
      <c r="E125" s="2">
        <f t="shared" si="1"/>
        <v>31.360416666670062</v>
      </c>
    </row>
    <row r="126" spans="1:5" x14ac:dyDescent="0.25">
      <c r="A126" t="s">
        <v>6</v>
      </c>
      <c r="B126" t="s">
        <v>8</v>
      </c>
      <c r="C126" s="1">
        <v>45702.237500000003</v>
      </c>
      <c r="D126" s="1">
        <v>45742.319444444453</v>
      </c>
      <c r="E126" s="2">
        <f t="shared" si="1"/>
        <v>40.081944444449618</v>
      </c>
    </row>
    <row r="127" spans="1:5" x14ac:dyDescent="0.25">
      <c r="A127" t="s">
        <v>8</v>
      </c>
      <c r="B127" t="s">
        <v>18</v>
      </c>
      <c r="C127" s="1">
        <v>46212.760416666657</v>
      </c>
      <c r="D127" s="1">
        <v>46269.7</v>
      </c>
      <c r="E127" s="2">
        <f t="shared" si="1"/>
        <v>56.939583333340124</v>
      </c>
    </row>
    <row r="128" spans="1:5" x14ac:dyDescent="0.25">
      <c r="A128" t="s">
        <v>13</v>
      </c>
      <c r="B128" t="s">
        <v>8</v>
      </c>
      <c r="C128" s="1">
        <v>45759.864583333343</v>
      </c>
      <c r="D128" s="1">
        <v>45797.28125</v>
      </c>
      <c r="E128" s="2">
        <f t="shared" si="1"/>
        <v>37.416666666656965</v>
      </c>
    </row>
    <row r="129" spans="1:5" x14ac:dyDescent="0.25">
      <c r="A129" t="s">
        <v>15</v>
      </c>
      <c r="B129" t="s">
        <v>13</v>
      </c>
      <c r="C129" s="1">
        <v>45695</v>
      </c>
      <c r="D129" s="1">
        <v>45732.752083333333</v>
      </c>
      <c r="E129" s="2">
        <f t="shared" si="1"/>
        <v>37.752083333332848</v>
      </c>
    </row>
    <row r="130" spans="1:5" x14ac:dyDescent="0.25">
      <c r="A130" t="s">
        <v>13</v>
      </c>
      <c r="B130" t="s">
        <v>8</v>
      </c>
      <c r="C130" s="1">
        <v>45822.604166666657</v>
      </c>
      <c r="D130" s="1">
        <v>45845.59652777778</v>
      </c>
      <c r="E130" s="2">
        <f t="shared" ref="E130:E193" si="2">D130-C130</f>
        <v>22.992361111122591</v>
      </c>
    </row>
    <row r="131" spans="1:5" x14ac:dyDescent="0.25">
      <c r="A131" t="s">
        <v>12</v>
      </c>
      <c r="B131" t="s">
        <v>18</v>
      </c>
      <c r="C131" s="1">
        <v>45673.537499999999</v>
      </c>
      <c r="D131" s="1">
        <v>45723.833333333343</v>
      </c>
      <c r="E131" s="2">
        <f t="shared" si="2"/>
        <v>50.29583333334449</v>
      </c>
    </row>
    <row r="132" spans="1:5" x14ac:dyDescent="0.25">
      <c r="A132" t="s">
        <v>28</v>
      </c>
      <c r="B132" t="s">
        <v>18</v>
      </c>
      <c r="C132" s="1">
        <v>45803.540277777778</v>
      </c>
      <c r="D132" s="1">
        <v>45875.361805555563</v>
      </c>
      <c r="E132" s="2">
        <f t="shared" si="2"/>
        <v>71.821527777785377</v>
      </c>
    </row>
    <row r="133" spans="1:5" x14ac:dyDescent="0.25">
      <c r="A133" t="s">
        <v>12</v>
      </c>
      <c r="B133" t="s">
        <v>18</v>
      </c>
      <c r="C133" s="1">
        <v>45731.79791666667</v>
      </c>
      <c r="D133" s="1">
        <v>45783.079861111109</v>
      </c>
      <c r="E133" s="2">
        <f t="shared" si="2"/>
        <v>51.281944444439432</v>
      </c>
    </row>
    <row r="134" spans="1:5" x14ac:dyDescent="0.25">
      <c r="A134" t="s">
        <v>11</v>
      </c>
      <c r="B134" t="s">
        <v>21</v>
      </c>
      <c r="C134" s="1">
        <v>45800.404166666667</v>
      </c>
      <c r="D134" s="1">
        <v>45811.915972222218</v>
      </c>
      <c r="E134" s="2">
        <f t="shared" si="2"/>
        <v>11.511805555550382</v>
      </c>
    </row>
    <row r="135" spans="1:5" x14ac:dyDescent="0.25">
      <c r="A135" t="s">
        <v>23</v>
      </c>
      <c r="B135" t="s">
        <v>24</v>
      </c>
      <c r="C135" s="1">
        <v>46090.923611111109</v>
      </c>
      <c r="D135" s="1">
        <v>46142.129166666673</v>
      </c>
      <c r="E135" s="2">
        <f t="shared" si="2"/>
        <v>51.205555555563478</v>
      </c>
    </row>
    <row r="136" spans="1:5" x14ac:dyDescent="0.25">
      <c r="A136" t="s">
        <v>8</v>
      </c>
      <c r="B136" t="s">
        <v>13</v>
      </c>
      <c r="C136" s="1">
        <v>45760.53125</v>
      </c>
      <c r="D136" s="1">
        <v>45802.041666666657</v>
      </c>
      <c r="E136" s="2">
        <f t="shared" si="2"/>
        <v>41.510416666656965</v>
      </c>
    </row>
    <row r="137" spans="1:5" x14ac:dyDescent="0.25">
      <c r="A137" t="s">
        <v>23</v>
      </c>
      <c r="B137" t="s">
        <v>18</v>
      </c>
      <c r="C137" s="1">
        <v>45986.804166666669</v>
      </c>
      <c r="D137" s="1">
        <v>46031.791666666657</v>
      </c>
      <c r="E137" s="2">
        <f t="shared" si="2"/>
        <v>44.987499999988358</v>
      </c>
    </row>
    <row r="138" spans="1:5" x14ac:dyDescent="0.25">
      <c r="A138" t="s">
        <v>12</v>
      </c>
      <c r="B138" t="s">
        <v>18</v>
      </c>
      <c r="C138" s="1">
        <v>45838.333333333343</v>
      </c>
      <c r="D138" s="1">
        <v>45909.30972222222</v>
      </c>
      <c r="E138" s="2">
        <f t="shared" si="2"/>
        <v>70.976388888877409</v>
      </c>
    </row>
    <row r="139" spans="1:5" x14ac:dyDescent="0.25">
      <c r="A139" t="s">
        <v>27</v>
      </c>
      <c r="B139" t="s">
        <v>8</v>
      </c>
      <c r="C139" s="1">
        <v>45876.125</v>
      </c>
      <c r="D139" s="1">
        <v>45920.869444444441</v>
      </c>
      <c r="E139" s="2">
        <f t="shared" si="2"/>
        <v>44.744444444440887</v>
      </c>
    </row>
    <row r="140" spans="1:5" x14ac:dyDescent="0.25">
      <c r="A140" t="s">
        <v>20</v>
      </c>
      <c r="B140" t="s">
        <v>8</v>
      </c>
      <c r="C140" s="1">
        <v>45689.158333333333</v>
      </c>
      <c r="D140" s="1">
        <v>45719.237500000003</v>
      </c>
      <c r="E140" s="2">
        <f t="shared" si="2"/>
        <v>30.079166666670062</v>
      </c>
    </row>
    <row r="141" spans="1:5" x14ac:dyDescent="0.25">
      <c r="A141" t="s">
        <v>12</v>
      </c>
      <c r="B141" t="s">
        <v>13</v>
      </c>
      <c r="C141" s="1">
        <v>45764.756944444453</v>
      </c>
      <c r="D141" s="1">
        <v>45811.083333333343</v>
      </c>
      <c r="E141" s="2">
        <f t="shared" si="2"/>
        <v>46.326388888890506</v>
      </c>
    </row>
    <row r="142" spans="1:5" x14ac:dyDescent="0.25">
      <c r="A142" t="s">
        <v>16</v>
      </c>
      <c r="B142" t="s">
        <v>8</v>
      </c>
      <c r="C142" s="1">
        <v>45744.76666666667</v>
      </c>
      <c r="D142" s="1">
        <v>45809.359027777777</v>
      </c>
      <c r="E142" s="2">
        <f t="shared" si="2"/>
        <v>64.592361111106584</v>
      </c>
    </row>
    <row r="143" spans="1:5" x14ac:dyDescent="0.25">
      <c r="A143" t="s">
        <v>23</v>
      </c>
      <c r="B143" t="s">
        <v>18</v>
      </c>
      <c r="C143" s="1">
        <v>45950.375</v>
      </c>
      <c r="D143" s="1">
        <v>46008.915277777778</v>
      </c>
      <c r="E143" s="2">
        <f t="shared" si="2"/>
        <v>58.540277777778101</v>
      </c>
    </row>
    <row r="144" spans="1:5" x14ac:dyDescent="0.25">
      <c r="A144" t="s">
        <v>11</v>
      </c>
      <c r="B144" t="s">
        <v>19</v>
      </c>
      <c r="C144" s="1">
        <v>45772.25</v>
      </c>
      <c r="D144" s="1">
        <v>45832.020833333343</v>
      </c>
      <c r="E144" s="2">
        <f t="shared" si="2"/>
        <v>59.770833333343035</v>
      </c>
    </row>
    <row r="145" spans="1:5" x14ac:dyDescent="0.25">
      <c r="A145" t="s">
        <v>15</v>
      </c>
      <c r="B145" t="s">
        <v>13</v>
      </c>
      <c r="C145" s="1">
        <v>45973.129166666673</v>
      </c>
      <c r="D145" s="1">
        <v>46012.165972222218</v>
      </c>
      <c r="E145" s="2">
        <f t="shared" si="2"/>
        <v>39.036805555544561</v>
      </c>
    </row>
    <row r="146" spans="1:5" x14ac:dyDescent="0.25">
      <c r="A146" t="s">
        <v>7</v>
      </c>
      <c r="B146" t="s">
        <v>13</v>
      </c>
      <c r="C146" s="1">
        <v>45907.591157407413</v>
      </c>
      <c r="D146" s="1">
        <v>45945.262499999997</v>
      </c>
      <c r="E146" s="2">
        <f t="shared" si="2"/>
        <v>37.671342592584551</v>
      </c>
    </row>
    <row r="147" spans="1:5" x14ac:dyDescent="0.25">
      <c r="A147" t="s">
        <v>34</v>
      </c>
      <c r="B147" t="s">
        <v>13</v>
      </c>
      <c r="C147" s="1">
        <v>46153.245787037027</v>
      </c>
      <c r="D147" s="1">
        <v>46179.444444444453</v>
      </c>
      <c r="E147" s="2">
        <f t="shared" si="2"/>
        <v>26.198657407425344</v>
      </c>
    </row>
    <row r="148" spans="1:5" x14ac:dyDescent="0.25">
      <c r="A148" t="s">
        <v>15</v>
      </c>
      <c r="B148" t="s">
        <v>13</v>
      </c>
      <c r="C148" s="1">
        <v>46093.517361111109</v>
      </c>
      <c r="D148" s="1">
        <v>46131.701388888891</v>
      </c>
      <c r="E148" s="2">
        <f t="shared" si="2"/>
        <v>38.184027777781012</v>
      </c>
    </row>
    <row r="149" spans="1:5" x14ac:dyDescent="0.25">
      <c r="A149" t="s">
        <v>5</v>
      </c>
      <c r="B149" t="s">
        <v>8</v>
      </c>
      <c r="C149" s="1">
        <v>45958.999305555553</v>
      </c>
      <c r="D149" s="1">
        <v>45993.345833333333</v>
      </c>
      <c r="E149" s="2">
        <f t="shared" si="2"/>
        <v>34.346527777779556</v>
      </c>
    </row>
    <row r="150" spans="1:5" x14ac:dyDescent="0.25">
      <c r="A150" t="s">
        <v>7</v>
      </c>
      <c r="B150" t="s">
        <v>11</v>
      </c>
      <c r="C150" s="1">
        <v>46102.293749999997</v>
      </c>
      <c r="D150" s="1">
        <v>46175.283333333333</v>
      </c>
      <c r="E150" s="2">
        <f t="shared" si="2"/>
        <v>72.989583333335759</v>
      </c>
    </row>
    <row r="151" spans="1:5" x14ac:dyDescent="0.25">
      <c r="A151" t="s">
        <v>7</v>
      </c>
      <c r="B151" t="s">
        <v>8</v>
      </c>
      <c r="C151" s="1">
        <v>45931.208333333343</v>
      </c>
      <c r="D151" s="1">
        <v>45966.508333333331</v>
      </c>
      <c r="E151" s="2">
        <f t="shared" si="2"/>
        <v>35.299999999988358</v>
      </c>
    </row>
    <row r="152" spans="1:5" x14ac:dyDescent="0.25">
      <c r="A152" t="s">
        <v>5</v>
      </c>
      <c r="B152" t="s">
        <v>8</v>
      </c>
      <c r="C152" s="1">
        <v>46049.5</v>
      </c>
      <c r="D152" s="1">
        <v>46091.345833333333</v>
      </c>
      <c r="E152" s="2">
        <f t="shared" si="2"/>
        <v>41.845833333332848</v>
      </c>
    </row>
    <row r="153" spans="1:5" x14ac:dyDescent="0.25">
      <c r="A153" t="s">
        <v>5</v>
      </c>
      <c r="B153" t="s">
        <v>8</v>
      </c>
      <c r="C153" s="1">
        <v>45952.57916666667</v>
      </c>
      <c r="D153" s="1">
        <v>45993.345833333333</v>
      </c>
      <c r="E153" s="2">
        <f t="shared" si="2"/>
        <v>40.766666666662786</v>
      </c>
    </row>
    <row r="154" spans="1:5" x14ac:dyDescent="0.25">
      <c r="A154" t="s">
        <v>7</v>
      </c>
      <c r="B154" t="s">
        <v>8</v>
      </c>
      <c r="C154" s="1">
        <v>45847.879166666673</v>
      </c>
      <c r="D154" s="1">
        <v>45910.25</v>
      </c>
      <c r="E154" s="2">
        <f t="shared" si="2"/>
        <v>62.370833333327028</v>
      </c>
    </row>
    <row r="155" spans="1:5" x14ac:dyDescent="0.25">
      <c r="A155" t="s">
        <v>35</v>
      </c>
      <c r="B155" t="s">
        <v>13</v>
      </c>
      <c r="C155" s="1">
        <v>46181.633333333331</v>
      </c>
      <c r="D155" s="1">
        <v>46221.333333333343</v>
      </c>
      <c r="E155" s="2">
        <f t="shared" si="2"/>
        <v>39.700000000011642</v>
      </c>
    </row>
    <row r="156" spans="1:5" x14ac:dyDescent="0.25">
      <c r="A156" t="s">
        <v>34</v>
      </c>
      <c r="B156" t="s">
        <v>13</v>
      </c>
      <c r="C156" s="1">
        <v>46161.190972222219</v>
      </c>
      <c r="D156" s="1">
        <v>46184.606249999997</v>
      </c>
      <c r="E156" s="2">
        <f t="shared" si="2"/>
        <v>23.415277777778101</v>
      </c>
    </row>
    <row r="157" spans="1:5" x14ac:dyDescent="0.25">
      <c r="A157" t="s">
        <v>15</v>
      </c>
      <c r="B157" t="s">
        <v>13</v>
      </c>
      <c r="C157" s="1">
        <v>46099.5</v>
      </c>
      <c r="D157" s="1">
        <v>46139.532638888893</v>
      </c>
      <c r="E157" s="2">
        <f t="shared" si="2"/>
        <v>40.032638888893416</v>
      </c>
    </row>
    <row r="158" spans="1:5" x14ac:dyDescent="0.25">
      <c r="A158" t="s">
        <v>13</v>
      </c>
      <c r="B158" t="s">
        <v>8</v>
      </c>
      <c r="C158" s="1">
        <v>46147.342361111107</v>
      </c>
      <c r="D158" s="1">
        <v>46163.577777777777</v>
      </c>
      <c r="E158" s="2">
        <f t="shared" si="2"/>
        <v>16.235416666670062</v>
      </c>
    </row>
    <row r="159" spans="1:5" x14ac:dyDescent="0.25">
      <c r="A159" t="s">
        <v>11</v>
      </c>
      <c r="B159" t="s">
        <v>21</v>
      </c>
      <c r="C159" s="1">
        <v>46151.317361111112</v>
      </c>
      <c r="D159" s="1">
        <v>46161.458333333343</v>
      </c>
      <c r="E159" s="2">
        <f t="shared" si="2"/>
        <v>10.14097222223063</v>
      </c>
    </row>
    <row r="160" spans="1:5" x14ac:dyDescent="0.25">
      <c r="A160" t="s">
        <v>22</v>
      </c>
      <c r="B160" t="s">
        <v>19</v>
      </c>
      <c r="C160" s="1">
        <v>45754.168738425928</v>
      </c>
      <c r="D160" s="1">
        <v>45816.841666666667</v>
      </c>
      <c r="E160" s="2">
        <f t="shared" si="2"/>
        <v>62.672928240739566</v>
      </c>
    </row>
    <row r="161" spans="1:5" x14ac:dyDescent="0.25">
      <c r="A161" t="s">
        <v>22</v>
      </c>
      <c r="B161" t="s">
        <v>36</v>
      </c>
      <c r="C161" s="1">
        <v>45733.434027777781</v>
      </c>
      <c r="D161" s="1">
        <v>45783.012499999997</v>
      </c>
      <c r="E161" s="2">
        <f t="shared" si="2"/>
        <v>49.578472222216078</v>
      </c>
    </row>
    <row r="162" spans="1:5" x14ac:dyDescent="0.25">
      <c r="A162" t="s">
        <v>11</v>
      </c>
      <c r="B162" t="s">
        <v>37</v>
      </c>
      <c r="C162" s="1">
        <v>45792.484722222223</v>
      </c>
      <c r="D162" s="1">
        <v>45804.3</v>
      </c>
      <c r="E162" s="2">
        <f t="shared" si="2"/>
        <v>11.815277777779556</v>
      </c>
    </row>
    <row r="163" spans="1:5" x14ac:dyDescent="0.25">
      <c r="A163" t="s">
        <v>15</v>
      </c>
      <c r="B163" t="s">
        <v>13</v>
      </c>
      <c r="C163" s="1">
        <v>46075.269444444442</v>
      </c>
      <c r="D163" s="1">
        <v>46115.175000000003</v>
      </c>
      <c r="E163" s="2">
        <f t="shared" si="2"/>
        <v>39.905555555560568</v>
      </c>
    </row>
    <row r="164" spans="1:5" x14ac:dyDescent="0.25">
      <c r="A164" t="s">
        <v>11</v>
      </c>
      <c r="B164" t="s">
        <v>21</v>
      </c>
      <c r="C164" s="1">
        <v>46073.765972222223</v>
      </c>
      <c r="D164" s="1">
        <v>46085.393750000003</v>
      </c>
      <c r="E164" s="2">
        <f t="shared" si="2"/>
        <v>11.627777777779556</v>
      </c>
    </row>
    <row r="165" spans="1:5" x14ac:dyDescent="0.25">
      <c r="A165" t="s">
        <v>23</v>
      </c>
      <c r="B165" t="s">
        <v>18</v>
      </c>
      <c r="C165" s="1">
        <v>46041.916666666657</v>
      </c>
      <c r="D165" s="1">
        <v>46087.666666666657</v>
      </c>
      <c r="E165" s="2">
        <f t="shared" si="2"/>
        <v>45.75</v>
      </c>
    </row>
    <row r="166" spans="1:5" x14ac:dyDescent="0.25">
      <c r="A166" t="s">
        <v>16</v>
      </c>
      <c r="B166" t="s">
        <v>13</v>
      </c>
      <c r="C166" s="1">
        <v>45674.50277777778</v>
      </c>
      <c r="D166" s="1">
        <v>45714.583333333343</v>
      </c>
      <c r="E166" s="2">
        <f t="shared" si="2"/>
        <v>40.080555555563478</v>
      </c>
    </row>
    <row r="167" spans="1:5" x14ac:dyDescent="0.25">
      <c r="A167" t="s">
        <v>11</v>
      </c>
      <c r="B167" t="s">
        <v>37</v>
      </c>
      <c r="C167" s="1">
        <v>45663.672048611108</v>
      </c>
      <c r="D167" s="1">
        <v>45678.612500000003</v>
      </c>
      <c r="E167" s="2">
        <f t="shared" si="2"/>
        <v>14.940451388894871</v>
      </c>
    </row>
    <row r="168" spans="1:5" x14ac:dyDescent="0.25">
      <c r="A168" t="s">
        <v>19</v>
      </c>
      <c r="B168" t="s">
        <v>11</v>
      </c>
      <c r="C168" s="1">
        <v>46233.271064814813</v>
      </c>
      <c r="D168" s="1">
        <v>46274.036805555559</v>
      </c>
      <c r="E168" s="2">
        <f t="shared" si="2"/>
        <v>40.765740740745969</v>
      </c>
    </row>
    <row r="169" spans="1:5" x14ac:dyDescent="0.25">
      <c r="A169" t="s">
        <v>15</v>
      </c>
      <c r="B169" t="s">
        <v>38</v>
      </c>
      <c r="C169" s="1">
        <v>46171.477083333331</v>
      </c>
      <c r="D169" s="1">
        <v>46215.740277777782</v>
      </c>
      <c r="E169" s="2">
        <f t="shared" si="2"/>
        <v>44.263194444451074</v>
      </c>
    </row>
    <row r="170" spans="1:5" x14ac:dyDescent="0.25">
      <c r="A170" t="s">
        <v>10</v>
      </c>
      <c r="B170" t="s">
        <v>11</v>
      </c>
      <c r="C170" s="1">
        <v>45989.95416666667</v>
      </c>
      <c r="D170" s="1">
        <v>46022.333333333343</v>
      </c>
      <c r="E170" s="2">
        <f t="shared" si="2"/>
        <v>32.379166666672972</v>
      </c>
    </row>
    <row r="171" spans="1:5" x14ac:dyDescent="0.25">
      <c r="A171" t="s">
        <v>15</v>
      </c>
      <c r="B171" t="s">
        <v>38</v>
      </c>
      <c r="C171" s="1">
        <v>46218.020833333343</v>
      </c>
      <c r="D171" s="1">
        <v>46263.936111111107</v>
      </c>
      <c r="E171" s="2">
        <f t="shared" si="2"/>
        <v>45.915277777763549</v>
      </c>
    </row>
    <row r="172" spans="1:5" x14ac:dyDescent="0.25">
      <c r="A172" t="s">
        <v>14</v>
      </c>
      <c r="B172" t="s">
        <v>22</v>
      </c>
      <c r="C172" s="1">
        <v>45952.129166666673</v>
      </c>
      <c r="D172" s="1">
        <v>46041.96875</v>
      </c>
      <c r="E172" s="2">
        <f t="shared" si="2"/>
        <v>89.839583333327028</v>
      </c>
    </row>
    <row r="173" spans="1:5" x14ac:dyDescent="0.25">
      <c r="A173" t="s">
        <v>8</v>
      </c>
      <c r="B173" t="s">
        <v>18</v>
      </c>
      <c r="C173" s="1">
        <v>46227.745833333327</v>
      </c>
      <c r="D173" s="1">
        <v>46269.7</v>
      </c>
      <c r="E173" s="2">
        <f t="shared" si="2"/>
        <v>41.954166666670062</v>
      </c>
    </row>
    <row r="174" spans="1:5" x14ac:dyDescent="0.25">
      <c r="A174" t="s">
        <v>8</v>
      </c>
      <c r="B174" t="s">
        <v>18</v>
      </c>
      <c r="C174" s="1">
        <v>46220.605555555558</v>
      </c>
      <c r="D174" s="1">
        <v>46269.7</v>
      </c>
      <c r="E174" s="2">
        <f t="shared" si="2"/>
        <v>49.094444444439432</v>
      </c>
    </row>
    <row r="175" spans="1:5" x14ac:dyDescent="0.25">
      <c r="A175" t="s">
        <v>10</v>
      </c>
      <c r="B175" t="s">
        <v>8</v>
      </c>
      <c r="C175" s="1">
        <v>46218.225949074083</v>
      </c>
      <c r="D175" s="1">
        <v>46236.118055555547</v>
      </c>
      <c r="E175" s="2">
        <f t="shared" si="2"/>
        <v>17.892106481463998</v>
      </c>
    </row>
    <row r="176" spans="1:5" x14ac:dyDescent="0.25">
      <c r="A176" t="s">
        <v>27</v>
      </c>
      <c r="B176" t="s">
        <v>39</v>
      </c>
      <c r="C176" s="1">
        <v>45702.770833333343</v>
      </c>
      <c r="D176" s="1">
        <v>45782.85</v>
      </c>
      <c r="E176" s="2">
        <f t="shared" si="2"/>
        <v>80.07916666665551</v>
      </c>
    </row>
    <row r="177" spans="1:5" x14ac:dyDescent="0.25">
      <c r="A177" t="s">
        <v>40</v>
      </c>
      <c r="B177" t="s">
        <v>37</v>
      </c>
      <c r="C177" s="1">
        <v>45938.546898148154</v>
      </c>
      <c r="D177" s="1">
        <v>45951.966666666667</v>
      </c>
      <c r="E177" s="2">
        <f t="shared" si="2"/>
        <v>13.419768518513592</v>
      </c>
    </row>
    <row r="178" spans="1:5" x14ac:dyDescent="0.25">
      <c r="A178" t="s">
        <v>34</v>
      </c>
      <c r="B178" t="s">
        <v>13</v>
      </c>
      <c r="C178" s="1">
        <v>45992.475694444453</v>
      </c>
      <c r="D178" s="1">
        <v>46024.011111111111</v>
      </c>
      <c r="E178" s="2">
        <f t="shared" si="2"/>
        <v>31.535416666658421</v>
      </c>
    </row>
    <row r="179" spans="1:5" x14ac:dyDescent="0.25">
      <c r="A179" t="s">
        <v>22</v>
      </c>
      <c r="B179" t="s">
        <v>19</v>
      </c>
      <c r="C179" s="1">
        <v>45726.180520833332</v>
      </c>
      <c r="D179" s="1">
        <v>45794.54583333333</v>
      </c>
      <c r="E179" s="2">
        <f t="shared" si="2"/>
        <v>68.365312499998254</v>
      </c>
    </row>
    <row r="180" spans="1:5" x14ac:dyDescent="0.25">
      <c r="A180" t="s">
        <v>10</v>
      </c>
      <c r="B180" t="s">
        <v>11</v>
      </c>
      <c r="C180" s="1">
        <v>46045.619444444441</v>
      </c>
      <c r="D180" s="1">
        <v>46077.911111111112</v>
      </c>
      <c r="E180" s="2">
        <f t="shared" si="2"/>
        <v>32.291666666671517</v>
      </c>
    </row>
    <row r="181" spans="1:5" x14ac:dyDescent="0.25">
      <c r="A181" t="s">
        <v>10</v>
      </c>
      <c r="B181" t="s">
        <v>11</v>
      </c>
      <c r="C181" s="1">
        <v>45709.441666666673</v>
      </c>
      <c r="D181" s="1">
        <v>45742.291666666657</v>
      </c>
      <c r="E181" s="2">
        <f t="shared" si="2"/>
        <v>32.849999999983993</v>
      </c>
    </row>
    <row r="182" spans="1:5" x14ac:dyDescent="0.25">
      <c r="A182" t="s">
        <v>18</v>
      </c>
      <c r="B182" t="s">
        <v>27</v>
      </c>
      <c r="C182" s="1">
        <v>45848.173773148148</v>
      </c>
      <c r="D182" s="1">
        <v>45917.083333333343</v>
      </c>
      <c r="E182" s="2">
        <f t="shared" si="2"/>
        <v>68.909560185195005</v>
      </c>
    </row>
    <row r="183" spans="1:5" x14ac:dyDescent="0.25">
      <c r="A183" t="s">
        <v>22</v>
      </c>
      <c r="B183" t="s">
        <v>14</v>
      </c>
      <c r="C183" s="1">
        <v>45936.666666666657</v>
      </c>
      <c r="D183" s="1">
        <v>45980.79583333333</v>
      </c>
      <c r="E183" s="2">
        <f t="shared" si="2"/>
        <v>44.129166666672972</v>
      </c>
    </row>
    <row r="184" spans="1:5" x14ac:dyDescent="0.25">
      <c r="A184" t="s">
        <v>15</v>
      </c>
      <c r="B184" t="s">
        <v>13</v>
      </c>
      <c r="C184" s="1">
        <v>46219.958333333343</v>
      </c>
      <c r="D184" s="1">
        <v>46257.863888888889</v>
      </c>
      <c r="E184" s="2">
        <f t="shared" si="2"/>
        <v>37.905555555546016</v>
      </c>
    </row>
    <row r="185" spans="1:5" x14ac:dyDescent="0.25">
      <c r="A185" t="s">
        <v>22</v>
      </c>
      <c r="B185" t="s">
        <v>19</v>
      </c>
      <c r="C185" s="1">
        <v>45797.0625</v>
      </c>
      <c r="D185" s="1">
        <v>45847.847916666673</v>
      </c>
      <c r="E185" s="2">
        <f t="shared" si="2"/>
        <v>50.785416666672972</v>
      </c>
    </row>
    <row r="186" spans="1:5" x14ac:dyDescent="0.25">
      <c r="A186" t="s">
        <v>22</v>
      </c>
      <c r="B186" t="s">
        <v>19</v>
      </c>
      <c r="C186" s="1">
        <v>45922.167361111111</v>
      </c>
      <c r="D186" s="1">
        <v>45977.818055555559</v>
      </c>
      <c r="E186" s="2">
        <f t="shared" si="2"/>
        <v>55.650694444448163</v>
      </c>
    </row>
    <row r="187" spans="1:5" x14ac:dyDescent="0.25">
      <c r="A187" t="s">
        <v>15</v>
      </c>
      <c r="B187" t="s">
        <v>18</v>
      </c>
      <c r="C187" s="1">
        <v>45933.670138888891</v>
      </c>
      <c r="D187" s="1">
        <v>45983.708333333343</v>
      </c>
      <c r="E187" s="2">
        <f t="shared" si="2"/>
        <v>50.038194444452529</v>
      </c>
    </row>
    <row r="188" spans="1:5" x14ac:dyDescent="0.25">
      <c r="A188" t="s">
        <v>23</v>
      </c>
      <c r="B188" t="s">
        <v>12</v>
      </c>
      <c r="C188" s="1">
        <v>46097.924305555563</v>
      </c>
      <c r="D188" s="1">
        <v>46111.496527777781</v>
      </c>
      <c r="E188" s="2">
        <f t="shared" si="2"/>
        <v>13.572222222217533</v>
      </c>
    </row>
    <row r="189" spans="1:5" x14ac:dyDescent="0.25">
      <c r="A189" t="s">
        <v>22</v>
      </c>
      <c r="B189" t="s">
        <v>14</v>
      </c>
      <c r="C189" s="1">
        <v>46114.819444444453</v>
      </c>
      <c r="D189" s="1">
        <v>46190.75277777778</v>
      </c>
      <c r="E189" s="2">
        <f t="shared" si="2"/>
        <v>75.933333333327028</v>
      </c>
    </row>
    <row r="190" spans="1:5" x14ac:dyDescent="0.25">
      <c r="A190" t="s">
        <v>41</v>
      </c>
      <c r="B190" t="s">
        <v>8</v>
      </c>
      <c r="C190" s="1">
        <v>46187.908333333333</v>
      </c>
      <c r="D190" s="1">
        <v>46225.791666666657</v>
      </c>
      <c r="E190" s="2">
        <f t="shared" si="2"/>
        <v>37.883333333324117</v>
      </c>
    </row>
    <row r="191" spans="1:5" x14ac:dyDescent="0.25">
      <c r="A191" t="s">
        <v>5</v>
      </c>
      <c r="B191" t="s">
        <v>8</v>
      </c>
      <c r="C191" s="1">
        <v>46243.275000000001</v>
      </c>
      <c r="D191" s="1">
        <v>46282.215277777781</v>
      </c>
      <c r="E191" s="2">
        <f t="shared" si="2"/>
        <v>38.940277777779556</v>
      </c>
    </row>
    <row r="192" spans="1:5" x14ac:dyDescent="0.25">
      <c r="A192" t="s">
        <v>42</v>
      </c>
      <c r="B192" t="s">
        <v>18</v>
      </c>
      <c r="C192" s="1">
        <v>46130.666666666657</v>
      </c>
      <c r="D192" s="1">
        <v>46179.385416666657</v>
      </c>
      <c r="E192" s="2">
        <f t="shared" si="2"/>
        <v>48.71875</v>
      </c>
    </row>
    <row r="193" spans="1:5" x14ac:dyDescent="0.25">
      <c r="A193" t="s">
        <v>11</v>
      </c>
      <c r="B193" t="s">
        <v>37</v>
      </c>
      <c r="C193" s="1">
        <v>46098.109027777777</v>
      </c>
      <c r="D193" s="1">
        <v>46116.626388888893</v>
      </c>
      <c r="E193" s="2">
        <f t="shared" si="2"/>
        <v>18.51736111111677</v>
      </c>
    </row>
    <row r="194" spans="1:5" x14ac:dyDescent="0.25">
      <c r="A194" t="s">
        <v>5</v>
      </c>
      <c r="B194" t="s">
        <v>43</v>
      </c>
      <c r="C194" s="1">
        <v>45871.590277777781</v>
      </c>
      <c r="D194" s="1">
        <v>45919.249305555553</v>
      </c>
      <c r="E194" s="2">
        <f t="shared" ref="E194:E257" si="3">D194-C194</f>
        <v>47.65902777777228</v>
      </c>
    </row>
    <row r="195" spans="1:5" x14ac:dyDescent="0.25">
      <c r="A195" t="s">
        <v>15</v>
      </c>
      <c r="B195" t="s">
        <v>13</v>
      </c>
      <c r="C195" s="1">
        <v>46208.202581018522</v>
      </c>
      <c r="D195" s="1">
        <v>46245.265277777777</v>
      </c>
      <c r="E195" s="2">
        <f t="shared" si="3"/>
        <v>37.062696759254322</v>
      </c>
    </row>
    <row r="196" spans="1:5" x14ac:dyDescent="0.25">
      <c r="A196" t="s">
        <v>40</v>
      </c>
      <c r="B196" t="s">
        <v>37</v>
      </c>
      <c r="C196" s="1">
        <v>45953.154803240737</v>
      </c>
      <c r="D196" s="1">
        <v>45970.345833333333</v>
      </c>
      <c r="E196" s="2">
        <f t="shared" si="3"/>
        <v>17.191030092595611</v>
      </c>
    </row>
    <row r="197" spans="1:5" x14ac:dyDescent="0.25">
      <c r="A197" t="s">
        <v>11</v>
      </c>
      <c r="B197" t="s">
        <v>37</v>
      </c>
      <c r="C197" s="1">
        <v>46012.908333333333</v>
      </c>
      <c r="D197" s="1">
        <v>46022.511805555558</v>
      </c>
      <c r="E197" s="2">
        <f t="shared" si="3"/>
        <v>9.6034722222248092</v>
      </c>
    </row>
    <row r="198" spans="1:5" x14ac:dyDescent="0.25">
      <c r="A198" t="s">
        <v>23</v>
      </c>
      <c r="B198" t="s">
        <v>8</v>
      </c>
      <c r="C198" s="1">
        <v>46107.208333333343</v>
      </c>
      <c r="D198" s="1">
        <v>46144.908333333333</v>
      </c>
      <c r="E198" s="2">
        <f t="shared" si="3"/>
        <v>37.699999999989814</v>
      </c>
    </row>
    <row r="199" spans="1:5" x14ac:dyDescent="0.25">
      <c r="A199" t="s">
        <v>12</v>
      </c>
      <c r="B199" t="s">
        <v>18</v>
      </c>
      <c r="C199" s="1">
        <v>45736.462500000001</v>
      </c>
      <c r="D199" s="1">
        <v>45800.666666666657</v>
      </c>
      <c r="E199" s="2">
        <f t="shared" si="3"/>
        <v>64.20416666665551</v>
      </c>
    </row>
    <row r="200" spans="1:5" x14ac:dyDescent="0.25">
      <c r="A200" t="s">
        <v>5</v>
      </c>
      <c r="B200" t="s">
        <v>8</v>
      </c>
      <c r="C200" s="1">
        <v>46049.5</v>
      </c>
      <c r="D200" s="1">
        <v>46091.345833333333</v>
      </c>
      <c r="E200" s="2">
        <f t="shared" si="3"/>
        <v>41.845833333332848</v>
      </c>
    </row>
    <row r="201" spans="1:5" x14ac:dyDescent="0.25">
      <c r="A201" t="s">
        <v>5</v>
      </c>
      <c r="B201" t="s">
        <v>8</v>
      </c>
      <c r="C201" s="1">
        <v>46049.5</v>
      </c>
      <c r="D201" s="1">
        <v>46091.345833333333</v>
      </c>
      <c r="E201" s="2">
        <f t="shared" si="3"/>
        <v>41.845833333332848</v>
      </c>
    </row>
    <row r="202" spans="1:5" x14ac:dyDescent="0.25">
      <c r="A202" t="s">
        <v>5</v>
      </c>
      <c r="B202" t="s">
        <v>8</v>
      </c>
      <c r="C202" s="1">
        <v>45995.0625</v>
      </c>
      <c r="D202" s="1">
        <v>46028.791666666657</v>
      </c>
      <c r="E202" s="2">
        <f t="shared" si="3"/>
        <v>33.729166666656965</v>
      </c>
    </row>
    <row r="203" spans="1:5" x14ac:dyDescent="0.25">
      <c r="A203" t="s">
        <v>22</v>
      </c>
      <c r="B203" t="s">
        <v>19</v>
      </c>
      <c r="C203" s="1">
        <v>45852.130555555559</v>
      </c>
      <c r="D203" s="1">
        <v>45909.9375</v>
      </c>
      <c r="E203" s="2">
        <f t="shared" si="3"/>
        <v>57.806944444440887</v>
      </c>
    </row>
    <row r="204" spans="1:5" x14ac:dyDescent="0.25">
      <c r="A204" t="s">
        <v>9</v>
      </c>
      <c r="B204" t="s">
        <v>8</v>
      </c>
      <c r="C204" s="1">
        <v>45962.966666666667</v>
      </c>
      <c r="D204" s="1">
        <v>45997.95</v>
      </c>
      <c r="E204" s="2">
        <f t="shared" si="3"/>
        <v>34.983333333329938</v>
      </c>
    </row>
    <row r="205" spans="1:5" x14ac:dyDescent="0.25">
      <c r="A205" t="s">
        <v>5</v>
      </c>
      <c r="B205" t="s">
        <v>8</v>
      </c>
      <c r="C205" s="1">
        <v>46025.436111111107</v>
      </c>
      <c r="D205" s="1">
        <v>46071.058333333327</v>
      </c>
      <c r="E205" s="2">
        <f t="shared" si="3"/>
        <v>45.622222222220444</v>
      </c>
    </row>
    <row r="206" spans="1:5" x14ac:dyDescent="0.25">
      <c r="A206" t="s">
        <v>8</v>
      </c>
      <c r="B206" t="s">
        <v>7</v>
      </c>
      <c r="C206" s="1">
        <v>45879.145833333343</v>
      </c>
      <c r="D206" s="1">
        <v>45908.73333333333</v>
      </c>
      <c r="E206" s="2">
        <f t="shared" si="3"/>
        <v>29.587499999986903</v>
      </c>
    </row>
    <row r="207" spans="1:5" x14ac:dyDescent="0.25">
      <c r="A207" t="s">
        <v>5</v>
      </c>
      <c r="B207" t="s">
        <v>8</v>
      </c>
      <c r="C207" s="1">
        <v>46078.916666666657</v>
      </c>
      <c r="D207" s="1">
        <v>46113.395833333343</v>
      </c>
      <c r="E207" s="2">
        <f t="shared" si="3"/>
        <v>34.479166666686069</v>
      </c>
    </row>
    <row r="208" spans="1:5" x14ac:dyDescent="0.25">
      <c r="A208" t="s">
        <v>5</v>
      </c>
      <c r="B208" t="s">
        <v>8</v>
      </c>
      <c r="C208" s="1">
        <v>46088.612500000003</v>
      </c>
      <c r="D208" s="1">
        <v>46141.354166666657</v>
      </c>
      <c r="E208" s="2">
        <f t="shared" si="3"/>
        <v>52.741666666654055</v>
      </c>
    </row>
    <row r="209" spans="1:5" x14ac:dyDescent="0.25">
      <c r="A209" t="s">
        <v>14</v>
      </c>
      <c r="B209" t="s">
        <v>22</v>
      </c>
      <c r="C209" s="1">
        <v>45904.558333333327</v>
      </c>
      <c r="D209" s="1">
        <v>45968.791666666657</v>
      </c>
      <c r="E209" s="2">
        <f t="shared" si="3"/>
        <v>64.233333333329938</v>
      </c>
    </row>
    <row r="210" spans="1:5" x14ac:dyDescent="0.25">
      <c r="A210" t="s">
        <v>12</v>
      </c>
      <c r="B210" t="s">
        <v>13</v>
      </c>
      <c r="C210" s="1">
        <v>45928.541666666657</v>
      </c>
      <c r="D210" s="1">
        <v>45975.791666666657</v>
      </c>
      <c r="E210" s="2">
        <f t="shared" si="3"/>
        <v>47.25</v>
      </c>
    </row>
    <row r="211" spans="1:5" x14ac:dyDescent="0.25">
      <c r="A211" t="s">
        <v>15</v>
      </c>
      <c r="B211" t="s">
        <v>18</v>
      </c>
      <c r="C211" s="1">
        <v>45957.560416666667</v>
      </c>
      <c r="D211" s="1">
        <v>46008.915277777778</v>
      </c>
      <c r="E211" s="2">
        <f t="shared" si="3"/>
        <v>51.354861111110949</v>
      </c>
    </row>
    <row r="212" spans="1:5" x14ac:dyDescent="0.25">
      <c r="A212" t="s">
        <v>8</v>
      </c>
      <c r="B212" t="s">
        <v>18</v>
      </c>
      <c r="C212" s="1">
        <v>46227.745833333327</v>
      </c>
      <c r="D212" s="1">
        <v>46269.7</v>
      </c>
      <c r="E212" s="2">
        <f t="shared" si="3"/>
        <v>41.954166666670062</v>
      </c>
    </row>
    <row r="213" spans="1:5" x14ac:dyDescent="0.25">
      <c r="A213" t="s">
        <v>20</v>
      </c>
      <c r="B213" t="s">
        <v>8</v>
      </c>
      <c r="C213" s="1">
        <v>45704.82916666667</v>
      </c>
      <c r="D213" s="1">
        <v>45742.319444444453</v>
      </c>
      <c r="E213" s="2">
        <f t="shared" si="3"/>
        <v>37.490277777782467</v>
      </c>
    </row>
    <row r="214" spans="1:5" x14ac:dyDescent="0.25">
      <c r="A214" t="s">
        <v>22</v>
      </c>
      <c r="B214" t="s">
        <v>19</v>
      </c>
      <c r="C214" s="1">
        <v>46209.820138888892</v>
      </c>
      <c r="D214" s="1">
        <v>46264.548715277779</v>
      </c>
      <c r="E214" s="2">
        <f t="shared" si="3"/>
        <v>54.728576388886722</v>
      </c>
    </row>
    <row r="215" spans="1:5" x14ac:dyDescent="0.25">
      <c r="A215" t="s">
        <v>8</v>
      </c>
      <c r="B215" t="s">
        <v>16</v>
      </c>
      <c r="C215" s="1">
        <v>46174.049305555563</v>
      </c>
      <c r="D215" s="1">
        <v>46215.625</v>
      </c>
      <c r="E215" s="2">
        <f t="shared" si="3"/>
        <v>41.575694444436522</v>
      </c>
    </row>
    <row r="216" spans="1:5" x14ac:dyDescent="0.25">
      <c r="A216" t="s">
        <v>27</v>
      </c>
      <c r="B216" t="s">
        <v>8</v>
      </c>
      <c r="C216" s="1">
        <v>46053.75</v>
      </c>
      <c r="D216" s="1">
        <v>46104.254166666673</v>
      </c>
      <c r="E216" s="2">
        <f t="shared" si="3"/>
        <v>50.504166666672972</v>
      </c>
    </row>
    <row r="217" spans="1:5" x14ac:dyDescent="0.25">
      <c r="A217" t="s">
        <v>8</v>
      </c>
      <c r="B217" t="s">
        <v>16</v>
      </c>
      <c r="C217" s="1">
        <v>46174.049305555563</v>
      </c>
      <c r="D217" s="1">
        <v>46215.625</v>
      </c>
      <c r="E217" s="2">
        <f t="shared" si="3"/>
        <v>41.575694444436522</v>
      </c>
    </row>
    <row r="218" spans="1:5" x14ac:dyDescent="0.25">
      <c r="A218" t="s">
        <v>14</v>
      </c>
      <c r="B218" t="s">
        <v>22</v>
      </c>
      <c r="C218" s="1">
        <v>45968.87222222222</v>
      </c>
      <c r="D218" s="1">
        <v>46047.783333333333</v>
      </c>
      <c r="E218" s="2">
        <f t="shared" si="3"/>
        <v>78.911111111112405</v>
      </c>
    </row>
    <row r="219" spans="1:5" x14ac:dyDescent="0.25">
      <c r="A219" t="s">
        <v>8</v>
      </c>
      <c r="B219" t="s">
        <v>44</v>
      </c>
      <c r="C219" s="1">
        <v>45764.249305555553</v>
      </c>
      <c r="D219" s="1">
        <v>45800.575694444437</v>
      </c>
      <c r="E219" s="2">
        <f t="shared" si="3"/>
        <v>36.32638888888323</v>
      </c>
    </row>
    <row r="220" spans="1:5" x14ac:dyDescent="0.25">
      <c r="A220" t="s">
        <v>45</v>
      </c>
      <c r="B220" t="s">
        <v>19</v>
      </c>
      <c r="C220" s="1">
        <v>45992.241666666669</v>
      </c>
      <c r="D220" s="1">
        <v>46031.813888888893</v>
      </c>
      <c r="E220" s="2">
        <f t="shared" si="3"/>
        <v>39.572222222224809</v>
      </c>
    </row>
    <row r="221" spans="1:5" x14ac:dyDescent="0.25">
      <c r="A221" t="s">
        <v>8</v>
      </c>
      <c r="B221" t="s">
        <v>18</v>
      </c>
      <c r="C221" s="1">
        <v>46093.904861111107</v>
      </c>
      <c r="D221" s="1">
        <v>46129.805555555547</v>
      </c>
      <c r="E221" s="2">
        <f t="shared" si="3"/>
        <v>35.900694444440887</v>
      </c>
    </row>
    <row r="222" spans="1:5" x14ac:dyDescent="0.25">
      <c r="A222" t="s">
        <v>8</v>
      </c>
      <c r="B222" t="s">
        <v>18</v>
      </c>
      <c r="C222" s="1">
        <v>45863.043055555558</v>
      </c>
      <c r="D222" s="1">
        <v>45897.579861111109</v>
      </c>
      <c r="E222" s="2">
        <f t="shared" si="3"/>
        <v>34.536805555551837</v>
      </c>
    </row>
    <row r="223" spans="1:5" x14ac:dyDescent="0.25">
      <c r="A223" t="s">
        <v>17</v>
      </c>
      <c r="B223" t="s">
        <v>18</v>
      </c>
      <c r="C223" s="1">
        <v>45777.75</v>
      </c>
      <c r="D223" s="1">
        <v>45832.666666666657</v>
      </c>
      <c r="E223" s="2">
        <f t="shared" si="3"/>
        <v>54.916666666656965</v>
      </c>
    </row>
    <row r="224" spans="1:5" x14ac:dyDescent="0.25">
      <c r="A224" t="s">
        <v>27</v>
      </c>
      <c r="B224" t="s">
        <v>18</v>
      </c>
      <c r="C224" s="1">
        <v>45994.537499999999</v>
      </c>
      <c r="D224" s="1">
        <v>46050.520833333343</v>
      </c>
      <c r="E224" s="2">
        <f t="shared" si="3"/>
        <v>55.98333333334449</v>
      </c>
    </row>
    <row r="225" spans="1:5" x14ac:dyDescent="0.25">
      <c r="A225" t="s">
        <v>27</v>
      </c>
      <c r="B225" t="s">
        <v>8</v>
      </c>
      <c r="C225" s="1">
        <v>45972.5</v>
      </c>
      <c r="D225" s="1">
        <v>46040.083333333343</v>
      </c>
      <c r="E225" s="2">
        <f t="shared" si="3"/>
        <v>67.583333333343035</v>
      </c>
    </row>
    <row r="226" spans="1:5" x14ac:dyDescent="0.25">
      <c r="A226" t="s">
        <v>7</v>
      </c>
      <c r="B226" t="s">
        <v>20</v>
      </c>
      <c r="C226" s="1">
        <v>46089.84375</v>
      </c>
      <c r="D226" s="1">
        <v>46143.824999999997</v>
      </c>
      <c r="E226" s="2">
        <f t="shared" si="3"/>
        <v>53.98124999999709</v>
      </c>
    </row>
    <row r="227" spans="1:5" x14ac:dyDescent="0.25">
      <c r="A227" t="s">
        <v>22</v>
      </c>
      <c r="B227" t="s">
        <v>19</v>
      </c>
      <c r="C227" s="1">
        <v>46168.135416666657</v>
      </c>
      <c r="D227" s="1">
        <v>46235.900694444441</v>
      </c>
      <c r="E227" s="2">
        <f t="shared" si="3"/>
        <v>67.765277777783922</v>
      </c>
    </row>
    <row r="228" spans="1:5" x14ac:dyDescent="0.25">
      <c r="A228" t="s">
        <v>7</v>
      </c>
      <c r="B228" t="s">
        <v>20</v>
      </c>
      <c r="C228" s="1">
        <v>46125.738761574074</v>
      </c>
      <c r="D228" s="1">
        <v>46169.038888888892</v>
      </c>
      <c r="E228" s="2">
        <f t="shared" si="3"/>
        <v>43.300127314818383</v>
      </c>
    </row>
    <row r="229" spans="1:5" x14ac:dyDescent="0.25">
      <c r="A229" t="s">
        <v>41</v>
      </c>
      <c r="B229" t="s">
        <v>43</v>
      </c>
      <c r="C229" s="1">
        <v>46000.693055555559</v>
      </c>
      <c r="D229" s="1">
        <v>46050.925000000003</v>
      </c>
      <c r="E229" s="2">
        <f t="shared" si="3"/>
        <v>50.231944444443798</v>
      </c>
    </row>
    <row r="230" spans="1:5" x14ac:dyDescent="0.25">
      <c r="A230" t="s">
        <v>22</v>
      </c>
      <c r="B230" t="s">
        <v>19</v>
      </c>
      <c r="C230" s="1">
        <v>46219.763888888891</v>
      </c>
      <c r="D230" s="1">
        <v>46279.8125</v>
      </c>
      <c r="E230" s="2">
        <f t="shared" si="3"/>
        <v>60.048611111109494</v>
      </c>
    </row>
    <row r="231" spans="1:5" x14ac:dyDescent="0.25">
      <c r="A231" t="s">
        <v>12</v>
      </c>
      <c r="B231" t="s">
        <v>13</v>
      </c>
      <c r="C231" s="1">
        <v>46214.213194444441</v>
      </c>
      <c r="D231" s="1">
        <v>46272.236805555563</v>
      </c>
      <c r="E231" s="2">
        <f t="shared" si="3"/>
        <v>58.023611111122591</v>
      </c>
    </row>
    <row r="232" spans="1:5" x14ac:dyDescent="0.25">
      <c r="A232" t="s">
        <v>15</v>
      </c>
      <c r="B232" t="s">
        <v>18</v>
      </c>
      <c r="C232" s="1">
        <v>45883.15625</v>
      </c>
      <c r="D232" s="1">
        <v>45945.475694444453</v>
      </c>
      <c r="E232" s="2">
        <f t="shared" si="3"/>
        <v>62.319444444452529</v>
      </c>
    </row>
    <row r="233" spans="1:5" x14ac:dyDescent="0.25">
      <c r="A233" t="s">
        <v>12</v>
      </c>
      <c r="B233" t="s">
        <v>8</v>
      </c>
      <c r="C233" s="1">
        <v>46094.051388888889</v>
      </c>
      <c r="D233" s="1">
        <v>46138.175000000003</v>
      </c>
      <c r="E233" s="2">
        <f t="shared" si="3"/>
        <v>44.12361111111386</v>
      </c>
    </row>
    <row r="234" spans="1:5" x14ac:dyDescent="0.25">
      <c r="A234" t="s">
        <v>34</v>
      </c>
      <c r="B234" t="s">
        <v>8</v>
      </c>
      <c r="C234" s="1">
        <v>46096.131944444453</v>
      </c>
      <c r="D234" s="1">
        <v>46127.416666666657</v>
      </c>
      <c r="E234" s="2">
        <f t="shared" si="3"/>
        <v>31.284722222204437</v>
      </c>
    </row>
    <row r="235" spans="1:5" x14ac:dyDescent="0.25">
      <c r="A235" t="s">
        <v>9</v>
      </c>
      <c r="B235" t="s">
        <v>8</v>
      </c>
      <c r="C235" s="1">
        <v>45945.275000000001</v>
      </c>
      <c r="D235" s="1">
        <v>45989.166666666657</v>
      </c>
      <c r="E235" s="2">
        <f t="shared" si="3"/>
        <v>43.89166666665551</v>
      </c>
    </row>
    <row r="236" spans="1:5" x14ac:dyDescent="0.25">
      <c r="A236" t="s">
        <v>23</v>
      </c>
      <c r="B236" t="s">
        <v>19</v>
      </c>
      <c r="C236" s="1">
        <v>45822.758333333331</v>
      </c>
      <c r="D236" s="1">
        <v>45862.57916666667</v>
      </c>
      <c r="E236" s="2">
        <f t="shared" si="3"/>
        <v>39.820833333338669</v>
      </c>
    </row>
    <row r="237" spans="1:5" x14ac:dyDescent="0.25">
      <c r="A237" t="s">
        <v>12</v>
      </c>
      <c r="B237" t="s">
        <v>13</v>
      </c>
      <c r="C237" s="1">
        <v>45805.083333333343</v>
      </c>
      <c r="D237" s="1">
        <v>45851.433333333327</v>
      </c>
      <c r="E237" s="2">
        <f t="shared" si="3"/>
        <v>46.349999999983993</v>
      </c>
    </row>
    <row r="238" spans="1:5" x14ac:dyDescent="0.25">
      <c r="A238" t="s">
        <v>7</v>
      </c>
      <c r="B238" t="s">
        <v>13</v>
      </c>
      <c r="C238" s="1">
        <v>45901.830555555563</v>
      </c>
      <c r="D238" s="1">
        <v>45938.104861111111</v>
      </c>
      <c r="E238" s="2">
        <f t="shared" si="3"/>
        <v>36.274305555547471</v>
      </c>
    </row>
    <row r="239" spans="1:5" x14ac:dyDescent="0.25">
      <c r="A239" t="s">
        <v>9</v>
      </c>
      <c r="B239" t="s">
        <v>11</v>
      </c>
      <c r="C239" s="1">
        <v>46066.324999999997</v>
      </c>
      <c r="D239" s="1">
        <v>46126.425000000003</v>
      </c>
      <c r="E239" s="2">
        <f t="shared" si="3"/>
        <v>60.100000000005821</v>
      </c>
    </row>
    <row r="240" spans="1:5" x14ac:dyDescent="0.25">
      <c r="A240" t="s">
        <v>15</v>
      </c>
      <c r="B240" t="s">
        <v>16</v>
      </c>
      <c r="C240" s="1">
        <v>46129.458333333343</v>
      </c>
      <c r="D240" s="1">
        <v>46145.75</v>
      </c>
      <c r="E240" s="2">
        <f t="shared" si="3"/>
        <v>16.291666666656965</v>
      </c>
    </row>
    <row r="241" spans="1:5" x14ac:dyDescent="0.25">
      <c r="A241" t="s">
        <v>15</v>
      </c>
      <c r="B241" t="s">
        <v>8</v>
      </c>
      <c r="C241" s="1">
        <v>46006.65</v>
      </c>
      <c r="D241" s="1">
        <v>46054.188194444447</v>
      </c>
      <c r="E241" s="2">
        <f t="shared" si="3"/>
        <v>47.538194444445253</v>
      </c>
    </row>
    <row r="242" spans="1:5" x14ac:dyDescent="0.25">
      <c r="A242" t="s">
        <v>15</v>
      </c>
      <c r="B242" t="s">
        <v>20</v>
      </c>
      <c r="C242" s="1">
        <v>46209.827777777777</v>
      </c>
      <c r="D242" s="1">
        <v>46255.308333333327</v>
      </c>
      <c r="E242" s="2">
        <f t="shared" si="3"/>
        <v>45.480555555550382</v>
      </c>
    </row>
    <row r="243" spans="1:5" x14ac:dyDescent="0.25">
      <c r="A243" t="s">
        <v>15</v>
      </c>
      <c r="B243" t="s">
        <v>8</v>
      </c>
      <c r="C243" s="1">
        <v>45711.422222222223</v>
      </c>
      <c r="D243" s="1">
        <v>45747.796527777777</v>
      </c>
      <c r="E243" s="2">
        <f t="shared" si="3"/>
        <v>36.374305555553292</v>
      </c>
    </row>
    <row r="244" spans="1:5" x14ac:dyDescent="0.25">
      <c r="A244" t="s">
        <v>15</v>
      </c>
      <c r="B244" t="s">
        <v>8</v>
      </c>
      <c r="C244" s="1">
        <v>45752.875</v>
      </c>
      <c r="D244" s="1">
        <v>45791.916666666657</v>
      </c>
      <c r="E244" s="2">
        <f t="shared" si="3"/>
        <v>39.041666666656965</v>
      </c>
    </row>
    <row r="245" spans="1:5" x14ac:dyDescent="0.25">
      <c r="A245" t="s">
        <v>15</v>
      </c>
      <c r="B245" t="s">
        <v>38</v>
      </c>
      <c r="C245" s="1">
        <v>46218.13789351852</v>
      </c>
      <c r="D245" s="1">
        <v>46274.261631944442</v>
      </c>
      <c r="E245" s="2">
        <f t="shared" si="3"/>
        <v>56.123738425922056</v>
      </c>
    </row>
    <row r="246" spans="1:5" x14ac:dyDescent="0.25">
      <c r="A246" t="s">
        <v>5</v>
      </c>
      <c r="B246" t="s">
        <v>8</v>
      </c>
      <c r="C246" s="1">
        <v>46072.658333333333</v>
      </c>
      <c r="D246" s="1">
        <v>46107.929166666669</v>
      </c>
      <c r="E246" s="2">
        <f t="shared" si="3"/>
        <v>35.270833333335759</v>
      </c>
    </row>
    <row r="247" spans="1:5" x14ac:dyDescent="0.25">
      <c r="A247" t="s">
        <v>5</v>
      </c>
      <c r="B247" t="s">
        <v>8</v>
      </c>
      <c r="C247" s="1">
        <v>46011.283333333333</v>
      </c>
      <c r="D247" s="1">
        <v>46047.712500000001</v>
      </c>
      <c r="E247" s="2">
        <f t="shared" si="3"/>
        <v>36.429166666668607</v>
      </c>
    </row>
    <row r="248" spans="1:5" x14ac:dyDescent="0.25">
      <c r="A248" t="s">
        <v>46</v>
      </c>
      <c r="B248" t="s">
        <v>11</v>
      </c>
      <c r="C248" s="1">
        <v>45833.7</v>
      </c>
      <c r="D248" s="1">
        <v>45840.959027777782</v>
      </c>
      <c r="E248" s="2">
        <f t="shared" si="3"/>
        <v>7.2590277777853771</v>
      </c>
    </row>
    <row r="249" spans="1:5" x14ac:dyDescent="0.25">
      <c r="A249" t="s">
        <v>5</v>
      </c>
      <c r="B249" t="s">
        <v>8</v>
      </c>
      <c r="C249" s="1">
        <v>45722.147222222222</v>
      </c>
      <c r="D249" s="1">
        <v>45749.925694444442</v>
      </c>
      <c r="E249" s="2">
        <f t="shared" si="3"/>
        <v>27.778472222220444</v>
      </c>
    </row>
    <row r="250" spans="1:5" x14ac:dyDescent="0.25">
      <c r="A250" t="s">
        <v>15</v>
      </c>
      <c r="B250" t="s">
        <v>18</v>
      </c>
      <c r="C250" s="1">
        <v>46100.165972222218</v>
      </c>
      <c r="D250" s="1">
        <v>46156.002083333333</v>
      </c>
      <c r="E250" s="2">
        <f t="shared" si="3"/>
        <v>55.836111111115315</v>
      </c>
    </row>
    <row r="251" spans="1:5" x14ac:dyDescent="0.25">
      <c r="A251" t="s">
        <v>15</v>
      </c>
      <c r="B251" t="s">
        <v>18</v>
      </c>
      <c r="C251" s="1">
        <v>45944.166666666657</v>
      </c>
      <c r="D251" s="1">
        <v>45996.541666666657</v>
      </c>
      <c r="E251" s="2">
        <f t="shared" si="3"/>
        <v>52.375</v>
      </c>
    </row>
    <row r="252" spans="1:5" x14ac:dyDescent="0.25">
      <c r="A252" t="s">
        <v>16</v>
      </c>
      <c r="B252" t="s">
        <v>20</v>
      </c>
      <c r="C252" s="1">
        <v>45718.625</v>
      </c>
      <c r="D252" s="1">
        <v>45796.529166666667</v>
      </c>
      <c r="E252" s="2">
        <f t="shared" si="3"/>
        <v>77.904166666667152</v>
      </c>
    </row>
    <row r="253" spans="1:5" x14ac:dyDescent="0.25">
      <c r="A253" t="s">
        <v>11</v>
      </c>
      <c r="B253" t="s">
        <v>19</v>
      </c>
      <c r="C253" s="1">
        <v>45716.503472222219</v>
      </c>
      <c r="D253" s="1">
        <v>45771.574999999997</v>
      </c>
      <c r="E253" s="2">
        <f t="shared" si="3"/>
        <v>55.071527777778101</v>
      </c>
    </row>
    <row r="254" spans="1:5" x14ac:dyDescent="0.25">
      <c r="A254" t="s">
        <v>23</v>
      </c>
      <c r="B254" t="s">
        <v>24</v>
      </c>
      <c r="C254" s="1">
        <v>46026.05</v>
      </c>
      <c r="D254" s="1">
        <v>46110.945833333331</v>
      </c>
      <c r="E254" s="2">
        <f t="shared" si="3"/>
        <v>84.895833333328483</v>
      </c>
    </row>
    <row r="255" spans="1:5" x14ac:dyDescent="0.25">
      <c r="A255" t="s">
        <v>5</v>
      </c>
      <c r="B255" t="s">
        <v>8</v>
      </c>
      <c r="C255" s="1">
        <v>46115.291666666657</v>
      </c>
      <c r="D255" s="1">
        <v>46188.845833333333</v>
      </c>
      <c r="E255" s="2">
        <f t="shared" si="3"/>
        <v>73.554166666675883</v>
      </c>
    </row>
    <row r="256" spans="1:5" x14ac:dyDescent="0.25">
      <c r="A256" t="s">
        <v>11</v>
      </c>
      <c r="B256" t="s">
        <v>21</v>
      </c>
      <c r="C256" s="1">
        <v>45717.094583333332</v>
      </c>
      <c r="D256" s="1">
        <v>45728.362500000003</v>
      </c>
      <c r="E256" s="2">
        <f t="shared" si="3"/>
        <v>11.267916666671226</v>
      </c>
    </row>
    <row r="257" spans="1:5" x14ac:dyDescent="0.25">
      <c r="A257" t="s">
        <v>22</v>
      </c>
      <c r="B257" t="s">
        <v>19</v>
      </c>
      <c r="C257" s="1">
        <v>45719.029166666667</v>
      </c>
      <c r="D257" s="1">
        <v>45794</v>
      </c>
      <c r="E257" s="2">
        <f t="shared" si="3"/>
        <v>74.970833333332848</v>
      </c>
    </row>
    <row r="258" spans="1:5" x14ac:dyDescent="0.25">
      <c r="A258" t="s">
        <v>15</v>
      </c>
      <c r="B258" t="s">
        <v>13</v>
      </c>
      <c r="C258" s="1">
        <v>45826.35833333333</v>
      </c>
      <c r="D258" s="1">
        <v>45864.770833333343</v>
      </c>
      <c r="E258" s="2">
        <f t="shared" ref="E258:E321" si="4">D258-C258</f>
        <v>38.412500000013097</v>
      </c>
    </row>
    <row r="259" spans="1:5" x14ac:dyDescent="0.25">
      <c r="A259" t="s">
        <v>5</v>
      </c>
      <c r="B259" t="s">
        <v>8</v>
      </c>
      <c r="C259" s="1">
        <v>46088.612500000003</v>
      </c>
      <c r="D259" s="1">
        <v>46141.354166666657</v>
      </c>
      <c r="E259" s="2">
        <f t="shared" si="4"/>
        <v>52.741666666654055</v>
      </c>
    </row>
    <row r="260" spans="1:5" x14ac:dyDescent="0.25">
      <c r="A260" t="s">
        <v>8</v>
      </c>
      <c r="B260" t="s">
        <v>13</v>
      </c>
      <c r="C260" s="1">
        <v>46113.336805555547</v>
      </c>
      <c r="D260" s="1">
        <v>46147.401388888888</v>
      </c>
      <c r="E260" s="2">
        <f t="shared" si="4"/>
        <v>34.064583333340124</v>
      </c>
    </row>
    <row r="261" spans="1:5" x14ac:dyDescent="0.25">
      <c r="A261" t="s">
        <v>5</v>
      </c>
      <c r="B261" t="s">
        <v>8</v>
      </c>
      <c r="C261" s="1">
        <v>46128.754166666673</v>
      </c>
      <c r="D261" s="1">
        <v>46162.866666666669</v>
      </c>
      <c r="E261" s="2">
        <f t="shared" si="4"/>
        <v>34.112499999995634</v>
      </c>
    </row>
    <row r="262" spans="1:5" x14ac:dyDescent="0.25">
      <c r="A262" t="s">
        <v>34</v>
      </c>
      <c r="B262" t="s">
        <v>8</v>
      </c>
      <c r="C262" s="1">
        <v>45844.324999999997</v>
      </c>
      <c r="D262" s="1">
        <v>45879.787499999999</v>
      </c>
      <c r="E262" s="2">
        <f t="shared" si="4"/>
        <v>35.462500000001455</v>
      </c>
    </row>
    <row r="263" spans="1:5" x14ac:dyDescent="0.25">
      <c r="A263" t="s">
        <v>34</v>
      </c>
      <c r="B263" t="s">
        <v>13</v>
      </c>
      <c r="C263" s="1">
        <v>45908.512499999997</v>
      </c>
      <c r="D263" s="1">
        <v>45933.445833333331</v>
      </c>
      <c r="E263" s="2">
        <f t="shared" si="4"/>
        <v>24.933333333334303</v>
      </c>
    </row>
    <row r="264" spans="1:5" x14ac:dyDescent="0.25">
      <c r="A264" t="s">
        <v>7</v>
      </c>
      <c r="B264" t="s">
        <v>8</v>
      </c>
      <c r="C264" s="1">
        <v>45910.99722222222</v>
      </c>
      <c r="D264" s="1">
        <v>45948.104166666657</v>
      </c>
      <c r="E264" s="2">
        <f t="shared" si="4"/>
        <v>37.106944444436522</v>
      </c>
    </row>
    <row r="265" spans="1:5" x14ac:dyDescent="0.25">
      <c r="A265" t="s">
        <v>40</v>
      </c>
      <c r="B265" t="s">
        <v>37</v>
      </c>
      <c r="C265" s="1">
        <v>45876.970833333333</v>
      </c>
      <c r="D265" s="1">
        <v>45889.158333333333</v>
      </c>
      <c r="E265" s="2">
        <f t="shared" si="4"/>
        <v>12.1875</v>
      </c>
    </row>
    <row r="266" spans="1:5" x14ac:dyDescent="0.25">
      <c r="A266" t="s">
        <v>22</v>
      </c>
      <c r="B266" t="s">
        <v>36</v>
      </c>
      <c r="C266" s="1">
        <v>45740.175000000003</v>
      </c>
      <c r="D266" s="1">
        <v>45789.629166666673</v>
      </c>
      <c r="E266" s="2">
        <f t="shared" si="4"/>
        <v>49.454166666670062</v>
      </c>
    </row>
    <row r="267" spans="1:5" x14ac:dyDescent="0.25">
      <c r="A267" t="s">
        <v>10</v>
      </c>
      <c r="B267" t="s">
        <v>11</v>
      </c>
      <c r="C267" s="1">
        <v>45748.583333333343</v>
      </c>
      <c r="D267" s="1">
        <v>45777.362500000003</v>
      </c>
      <c r="E267" s="2">
        <f t="shared" si="4"/>
        <v>28.779166666659876</v>
      </c>
    </row>
    <row r="268" spans="1:5" x14ac:dyDescent="0.25">
      <c r="A268" t="s">
        <v>22</v>
      </c>
      <c r="B268" t="s">
        <v>6</v>
      </c>
      <c r="C268" s="1">
        <v>45815.336886574078</v>
      </c>
      <c r="D268" s="1">
        <v>45883.979872685188</v>
      </c>
      <c r="E268" s="2">
        <f t="shared" si="4"/>
        <v>68.642986111110076</v>
      </c>
    </row>
    <row r="269" spans="1:5" x14ac:dyDescent="0.25">
      <c r="A269" t="s">
        <v>5</v>
      </c>
      <c r="B269" t="s">
        <v>8</v>
      </c>
      <c r="C269" s="1">
        <v>45735.674305555563</v>
      </c>
      <c r="D269" s="1">
        <v>45764.537499999999</v>
      </c>
      <c r="E269" s="2">
        <f t="shared" si="4"/>
        <v>28.863194444435067</v>
      </c>
    </row>
    <row r="270" spans="1:5" x14ac:dyDescent="0.25">
      <c r="A270" t="s">
        <v>5</v>
      </c>
      <c r="B270" t="s">
        <v>8</v>
      </c>
      <c r="C270" s="1">
        <v>45715.841666666667</v>
      </c>
      <c r="D270" s="1">
        <v>45741.816666666673</v>
      </c>
      <c r="E270" s="2">
        <f t="shared" si="4"/>
        <v>25.975000000005821</v>
      </c>
    </row>
    <row r="271" spans="1:5" x14ac:dyDescent="0.25">
      <c r="A271" t="s">
        <v>5</v>
      </c>
      <c r="B271" t="s">
        <v>8</v>
      </c>
      <c r="C271" s="1">
        <v>45681.762499999997</v>
      </c>
      <c r="D271" s="1">
        <v>45706.875439814823</v>
      </c>
      <c r="E271" s="2">
        <f t="shared" si="4"/>
        <v>25.11293981482595</v>
      </c>
    </row>
    <row r="272" spans="1:5" x14ac:dyDescent="0.25">
      <c r="A272" t="s">
        <v>5</v>
      </c>
      <c r="B272" t="s">
        <v>8</v>
      </c>
      <c r="C272" s="1">
        <v>46260.259722222218</v>
      </c>
      <c r="D272" s="1">
        <v>46285.342361111107</v>
      </c>
      <c r="E272" s="2">
        <f t="shared" si="4"/>
        <v>25.082638888889051</v>
      </c>
    </row>
    <row r="273" spans="1:5" x14ac:dyDescent="0.25">
      <c r="A273" t="s">
        <v>5</v>
      </c>
      <c r="B273" t="s">
        <v>8</v>
      </c>
      <c r="C273" s="1">
        <v>45777.362500000003</v>
      </c>
      <c r="D273" s="1">
        <v>45808.425081018519</v>
      </c>
      <c r="E273" s="2">
        <f t="shared" si="4"/>
        <v>31.06258101851563</v>
      </c>
    </row>
    <row r="274" spans="1:5" x14ac:dyDescent="0.25">
      <c r="A274" t="s">
        <v>14</v>
      </c>
      <c r="B274" t="s">
        <v>11</v>
      </c>
      <c r="C274" s="1">
        <v>45683.375</v>
      </c>
      <c r="D274" s="1">
        <v>45735.212500000001</v>
      </c>
      <c r="E274" s="2">
        <f t="shared" si="4"/>
        <v>51.837500000001455</v>
      </c>
    </row>
    <row r="275" spans="1:5" x14ac:dyDescent="0.25">
      <c r="A275" t="s">
        <v>27</v>
      </c>
      <c r="B275" t="s">
        <v>20</v>
      </c>
      <c r="C275" s="1">
        <v>45748.5625</v>
      </c>
      <c r="D275" s="1">
        <v>45813.379166666673</v>
      </c>
      <c r="E275" s="2">
        <f t="shared" si="4"/>
        <v>64.816666666672972</v>
      </c>
    </row>
    <row r="276" spans="1:5" x14ac:dyDescent="0.25">
      <c r="A276" t="s">
        <v>27</v>
      </c>
      <c r="B276" t="s">
        <v>8</v>
      </c>
      <c r="C276" s="1">
        <v>45879.625</v>
      </c>
      <c r="D276" s="1">
        <v>45928.208333333343</v>
      </c>
      <c r="E276" s="2">
        <f t="shared" si="4"/>
        <v>48.583333333343035</v>
      </c>
    </row>
    <row r="277" spans="1:5" x14ac:dyDescent="0.25">
      <c r="A277" t="s">
        <v>13</v>
      </c>
      <c r="B277" t="s">
        <v>8</v>
      </c>
      <c r="C277" s="1">
        <v>46060.12222222222</v>
      </c>
      <c r="D277" s="1">
        <v>46085.457638888889</v>
      </c>
      <c r="E277" s="2">
        <f t="shared" si="4"/>
        <v>25.335416666668607</v>
      </c>
    </row>
    <row r="278" spans="1:5" x14ac:dyDescent="0.25">
      <c r="A278" t="s">
        <v>12</v>
      </c>
      <c r="B278" t="s">
        <v>13</v>
      </c>
      <c r="C278" s="1">
        <v>45973.463888888888</v>
      </c>
      <c r="D278" s="1">
        <v>46022.405555555553</v>
      </c>
      <c r="E278" s="2">
        <f t="shared" si="4"/>
        <v>48.941666666665697</v>
      </c>
    </row>
    <row r="279" spans="1:5" x14ac:dyDescent="0.25">
      <c r="A279" t="s">
        <v>13</v>
      </c>
      <c r="B279" t="s">
        <v>8</v>
      </c>
      <c r="C279" s="1">
        <v>46037.32708333333</v>
      </c>
      <c r="D279" s="1">
        <v>46078.697916666657</v>
      </c>
      <c r="E279" s="2">
        <f t="shared" si="4"/>
        <v>41.370833333327028</v>
      </c>
    </row>
    <row r="280" spans="1:5" x14ac:dyDescent="0.25">
      <c r="A280" t="s">
        <v>7</v>
      </c>
      <c r="B280" t="s">
        <v>11</v>
      </c>
      <c r="C280" s="1">
        <v>45676.804166666669</v>
      </c>
      <c r="D280" s="1">
        <v>45755.904166666667</v>
      </c>
      <c r="E280" s="2">
        <f t="shared" si="4"/>
        <v>79.099999999998545</v>
      </c>
    </row>
    <row r="281" spans="1:5" x14ac:dyDescent="0.25">
      <c r="A281" t="s">
        <v>8</v>
      </c>
      <c r="B281" t="s">
        <v>18</v>
      </c>
      <c r="C281" s="1">
        <v>46170.131249999999</v>
      </c>
      <c r="D281" s="1">
        <v>46210.020833333343</v>
      </c>
      <c r="E281" s="2">
        <f t="shared" si="4"/>
        <v>39.88958333334449</v>
      </c>
    </row>
    <row r="282" spans="1:5" x14ac:dyDescent="0.25">
      <c r="A282" t="s">
        <v>7</v>
      </c>
      <c r="B282" t="s">
        <v>13</v>
      </c>
      <c r="C282" s="1">
        <v>45952.229166666657</v>
      </c>
      <c r="D282" s="1">
        <v>46001.25</v>
      </c>
      <c r="E282" s="2">
        <f t="shared" si="4"/>
        <v>49.020833333343035</v>
      </c>
    </row>
    <row r="283" spans="1:5" x14ac:dyDescent="0.25">
      <c r="A283" t="s">
        <v>28</v>
      </c>
      <c r="B283" t="s">
        <v>13</v>
      </c>
      <c r="C283" s="1">
        <v>45898.520833333343</v>
      </c>
      <c r="D283" s="1">
        <v>45958.50277777778</v>
      </c>
      <c r="E283" s="2">
        <f t="shared" si="4"/>
        <v>59.981944444436522</v>
      </c>
    </row>
    <row r="284" spans="1:5" x14ac:dyDescent="0.25">
      <c r="A284" t="s">
        <v>12</v>
      </c>
      <c r="B284" t="s">
        <v>18</v>
      </c>
      <c r="C284" s="1">
        <v>45835.017361111109</v>
      </c>
      <c r="D284" s="1">
        <v>45897.833333333343</v>
      </c>
      <c r="E284" s="2">
        <f t="shared" si="4"/>
        <v>62.81597222223354</v>
      </c>
    </row>
    <row r="285" spans="1:5" x14ac:dyDescent="0.25">
      <c r="A285" t="s">
        <v>12</v>
      </c>
      <c r="B285" t="s">
        <v>13</v>
      </c>
      <c r="C285" s="1">
        <v>45915.885416666657</v>
      </c>
      <c r="D285" s="1">
        <v>45968.697222222218</v>
      </c>
      <c r="E285" s="2">
        <f t="shared" si="4"/>
        <v>52.811805555560568</v>
      </c>
    </row>
    <row r="286" spans="1:5" x14ac:dyDescent="0.25">
      <c r="A286" t="s">
        <v>12</v>
      </c>
      <c r="B286" t="s">
        <v>18</v>
      </c>
      <c r="C286" s="1">
        <v>46019.85</v>
      </c>
      <c r="D286" s="1">
        <v>46079.863888888889</v>
      </c>
      <c r="E286" s="2">
        <f t="shared" si="4"/>
        <v>60.013888888890506</v>
      </c>
    </row>
    <row r="287" spans="1:5" x14ac:dyDescent="0.25">
      <c r="A287" t="s">
        <v>34</v>
      </c>
      <c r="B287" t="s">
        <v>8</v>
      </c>
      <c r="C287" s="1">
        <v>45960.416666666657</v>
      </c>
      <c r="D287" s="1">
        <v>45989.183333333327</v>
      </c>
      <c r="E287" s="2">
        <f t="shared" si="4"/>
        <v>28.766666666670062</v>
      </c>
    </row>
    <row r="288" spans="1:5" x14ac:dyDescent="0.25">
      <c r="A288" t="s">
        <v>11</v>
      </c>
      <c r="B288" t="s">
        <v>37</v>
      </c>
      <c r="C288" s="1">
        <v>46105.210416666669</v>
      </c>
      <c r="D288" s="1">
        <v>46120.533935185187</v>
      </c>
      <c r="E288" s="2">
        <f t="shared" si="4"/>
        <v>15.32351851851854</v>
      </c>
    </row>
    <row r="289" spans="1:5" x14ac:dyDescent="0.25">
      <c r="A289" t="s">
        <v>7</v>
      </c>
      <c r="B289" t="s">
        <v>8</v>
      </c>
      <c r="C289" s="1">
        <v>45834.537499999999</v>
      </c>
      <c r="D289" s="1">
        <v>45885.791666666657</v>
      </c>
      <c r="E289" s="2">
        <f t="shared" si="4"/>
        <v>51.254166666658421</v>
      </c>
    </row>
    <row r="290" spans="1:5" x14ac:dyDescent="0.25">
      <c r="A290" t="s">
        <v>7</v>
      </c>
      <c r="B290" t="s">
        <v>8</v>
      </c>
      <c r="C290" s="1">
        <v>45808.775000000001</v>
      </c>
      <c r="D290" s="1">
        <v>45853.816666666673</v>
      </c>
      <c r="E290" s="2">
        <f t="shared" si="4"/>
        <v>45.041666666671517</v>
      </c>
    </row>
    <row r="291" spans="1:5" x14ac:dyDescent="0.25">
      <c r="A291" t="s">
        <v>5</v>
      </c>
      <c r="B291" t="s">
        <v>8</v>
      </c>
      <c r="C291" s="1">
        <v>46049.5</v>
      </c>
      <c r="D291" s="1">
        <v>46091.345833333333</v>
      </c>
      <c r="E291" s="2">
        <f t="shared" si="4"/>
        <v>41.845833333332848</v>
      </c>
    </row>
    <row r="292" spans="1:5" x14ac:dyDescent="0.25">
      <c r="A292" t="s">
        <v>7</v>
      </c>
      <c r="B292" t="s">
        <v>11</v>
      </c>
      <c r="C292" s="1">
        <v>45800.645833333343</v>
      </c>
      <c r="D292" s="1">
        <v>45880.270833333343</v>
      </c>
      <c r="E292" s="2">
        <f t="shared" si="4"/>
        <v>79.625</v>
      </c>
    </row>
    <row r="293" spans="1:5" x14ac:dyDescent="0.25">
      <c r="A293" t="s">
        <v>12</v>
      </c>
      <c r="B293" t="s">
        <v>18</v>
      </c>
      <c r="C293" s="1">
        <v>45855.097222222219</v>
      </c>
      <c r="D293" s="1">
        <v>45917.230555555558</v>
      </c>
      <c r="E293" s="2">
        <f t="shared" si="4"/>
        <v>62.133333333338669</v>
      </c>
    </row>
    <row r="294" spans="1:5" x14ac:dyDescent="0.25">
      <c r="A294" t="s">
        <v>11</v>
      </c>
      <c r="B294" t="s">
        <v>37</v>
      </c>
      <c r="C294" s="1">
        <v>46130.855856481481</v>
      </c>
      <c r="D294" s="1">
        <v>46148.272916666669</v>
      </c>
      <c r="E294" s="2">
        <f t="shared" si="4"/>
        <v>17.417060185187438</v>
      </c>
    </row>
    <row r="295" spans="1:5" x14ac:dyDescent="0.25">
      <c r="A295" t="s">
        <v>34</v>
      </c>
      <c r="B295" t="s">
        <v>13</v>
      </c>
      <c r="C295" s="1">
        <v>46173.881585648152</v>
      </c>
      <c r="D295" s="1">
        <v>46198.293055555558</v>
      </c>
      <c r="E295" s="2">
        <f t="shared" si="4"/>
        <v>24.411469907405262</v>
      </c>
    </row>
    <row r="296" spans="1:5" x14ac:dyDescent="0.25">
      <c r="A296" t="s">
        <v>15</v>
      </c>
      <c r="B296" t="s">
        <v>13</v>
      </c>
      <c r="C296" s="1">
        <v>46208.188194444447</v>
      </c>
      <c r="D296" s="1">
        <v>46245.265277777777</v>
      </c>
      <c r="E296" s="2">
        <f t="shared" si="4"/>
        <v>37.077083333329938</v>
      </c>
    </row>
    <row r="297" spans="1:5" x14ac:dyDescent="0.25">
      <c r="A297" t="s">
        <v>34</v>
      </c>
      <c r="B297" t="s">
        <v>13</v>
      </c>
      <c r="C297" s="1">
        <v>45781.413981481477</v>
      </c>
      <c r="D297" s="1">
        <v>45807.245833333327</v>
      </c>
      <c r="E297" s="2">
        <f t="shared" si="4"/>
        <v>25.831851851849933</v>
      </c>
    </row>
    <row r="298" spans="1:5" x14ac:dyDescent="0.25">
      <c r="A298" t="s">
        <v>34</v>
      </c>
      <c r="B298" t="s">
        <v>13</v>
      </c>
      <c r="C298" s="1">
        <v>46134.074837962973</v>
      </c>
      <c r="D298" s="1">
        <v>46158.063194444447</v>
      </c>
      <c r="E298" s="2">
        <f t="shared" si="4"/>
        <v>23.988356481473602</v>
      </c>
    </row>
    <row r="299" spans="1:5" x14ac:dyDescent="0.25">
      <c r="A299" t="s">
        <v>7</v>
      </c>
      <c r="B299" t="s">
        <v>8</v>
      </c>
      <c r="C299" s="1">
        <v>45911.065972222219</v>
      </c>
      <c r="D299" s="1">
        <v>45948.104166666657</v>
      </c>
      <c r="E299" s="2">
        <f t="shared" si="4"/>
        <v>37.038194444437977</v>
      </c>
    </row>
    <row r="300" spans="1:5" x14ac:dyDescent="0.25">
      <c r="A300" t="s">
        <v>17</v>
      </c>
      <c r="B300" t="s">
        <v>18</v>
      </c>
      <c r="C300" s="1">
        <v>45672.722916666673</v>
      </c>
      <c r="D300" s="1">
        <v>45723.833333333343</v>
      </c>
      <c r="E300" s="2">
        <f t="shared" si="4"/>
        <v>51.110416666670062</v>
      </c>
    </row>
    <row r="301" spans="1:5" x14ac:dyDescent="0.25">
      <c r="A301" t="s">
        <v>7</v>
      </c>
      <c r="B301" t="s">
        <v>11</v>
      </c>
      <c r="C301" s="1">
        <v>45708.135416666657</v>
      </c>
      <c r="D301" s="1">
        <v>45783.73333333333</v>
      </c>
      <c r="E301" s="2">
        <f t="shared" si="4"/>
        <v>75.597916666672972</v>
      </c>
    </row>
    <row r="302" spans="1:5" x14ac:dyDescent="0.25">
      <c r="A302" t="s">
        <v>12</v>
      </c>
      <c r="B302" t="s">
        <v>13</v>
      </c>
      <c r="C302" s="1">
        <v>46152.279861111107</v>
      </c>
      <c r="D302" s="1">
        <v>46202.015277777777</v>
      </c>
      <c r="E302" s="2">
        <f t="shared" si="4"/>
        <v>49.735416666670062</v>
      </c>
    </row>
    <row r="303" spans="1:5" x14ac:dyDescent="0.25">
      <c r="A303" t="s">
        <v>22</v>
      </c>
      <c r="B303" t="s">
        <v>19</v>
      </c>
      <c r="C303" s="1">
        <v>45733.434027777781</v>
      </c>
      <c r="D303" s="1">
        <v>45815.25</v>
      </c>
      <c r="E303" s="2">
        <f t="shared" si="4"/>
        <v>81.815972222218988</v>
      </c>
    </row>
    <row r="304" spans="1:5" x14ac:dyDescent="0.25">
      <c r="A304" t="s">
        <v>11</v>
      </c>
      <c r="B304" t="s">
        <v>21</v>
      </c>
      <c r="C304" s="1">
        <v>46122.958333333343</v>
      </c>
      <c r="D304" s="1">
        <v>46133.551388888889</v>
      </c>
      <c r="E304" s="2">
        <f t="shared" si="4"/>
        <v>10.593055555546016</v>
      </c>
    </row>
    <row r="305" spans="1:5" x14ac:dyDescent="0.25">
      <c r="A305" t="s">
        <v>5</v>
      </c>
      <c r="B305" t="s">
        <v>8</v>
      </c>
      <c r="C305" s="1">
        <v>45945.658333333333</v>
      </c>
      <c r="D305" s="1">
        <v>45993.345833333333</v>
      </c>
      <c r="E305" s="2">
        <f t="shared" si="4"/>
        <v>47.6875</v>
      </c>
    </row>
    <row r="306" spans="1:5" x14ac:dyDescent="0.25">
      <c r="A306" t="s">
        <v>7</v>
      </c>
      <c r="B306" t="s">
        <v>8</v>
      </c>
      <c r="C306" s="1">
        <v>45834.537499999999</v>
      </c>
      <c r="D306" s="1">
        <v>45885.783333333333</v>
      </c>
      <c r="E306" s="2">
        <f t="shared" si="4"/>
        <v>51.245833333334303</v>
      </c>
    </row>
    <row r="307" spans="1:5" x14ac:dyDescent="0.25">
      <c r="A307" t="s">
        <v>5</v>
      </c>
      <c r="B307" t="s">
        <v>8</v>
      </c>
      <c r="C307" s="1">
        <v>46115.291666666657</v>
      </c>
      <c r="D307" s="1">
        <v>46188.845833333333</v>
      </c>
      <c r="E307" s="2">
        <f t="shared" si="4"/>
        <v>73.554166666675883</v>
      </c>
    </row>
    <row r="308" spans="1:5" x14ac:dyDescent="0.25">
      <c r="A308" t="s">
        <v>22</v>
      </c>
      <c r="B308" t="s">
        <v>14</v>
      </c>
      <c r="C308" s="1">
        <v>45929.566701388889</v>
      </c>
      <c r="D308" s="1">
        <v>45974.012499999997</v>
      </c>
      <c r="E308" s="2">
        <f t="shared" si="4"/>
        <v>44.44579861110833</v>
      </c>
    </row>
    <row r="309" spans="1:5" x14ac:dyDescent="0.25">
      <c r="A309" t="s">
        <v>12</v>
      </c>
      <c r="B309" t="s">
        <v>18</v>
      </c>
      <c r="C309" s="1">
        <v>45788.375</v>
      </c>
      <c r="D309" s="1">
        <v>45854.592361111107</v>
      </c>
      <c r="E309" s="2">
        <f t="shared" si="4"/>
        <v>66.217361111106584</v>
      </c>
    </row>
    <row r="310" spans="1:5" x14ac:dyDescent="0.25">
      <c r="A310" t="s">
        <v>8</v>
      </c>
      <c r="B310" t="s">
        <v>18</v>
      </c>
      <c r="C310" s="1">
        <v>46220.605555555558</v>
      </c>
      <c r="D310" s="1">
        <v>46269.7</v>
      </c>
      <c r="E310" s="2">
        <f t="shared" si="4"/>
        <v>49.094444444439432</v>
      </c>
    </row>
    <row r="311" spans="1:5" x14ac:dyDescent="0.25">
      <c r="A311" t="s">
        <v>11</v>
      </c>
      <c r="B311" t="s">
        <v>19</v>
      </c>
      <c r="C311" s="1">
        <v>45806.916666666657</v>
      </c>
      <c r="D311" s="1">
        <v>45858.938888888893</v>
      </c>
      <c r="E311" s="2">
        <f t="shared" si="4"/>
        <v>52.022222222236451</v>
      </c>
    </row>
    <row r="312" spans="1:5" x14ac:dyDescent="0.25">
      <c r="A312" t="s">
        <v>13</v>
      </c>
      <c r="B312" t="s">
        <v>8</v>
      </c>
      <c r="C312" s="1">
        <v>46109.458333333343</v>
      </c>
      <c r="D312" s="1">
        <v>46134.082638888889</v>
      </c>
      <c r="E312" s="2">
        <f t="shared" si="4"/>
        <v>24.624305555546016</v>
      </c>
    </row>
    <row r="313" spans="1:5" x14ac:dyDescent="0.25">
      <c r="A313" t="s">
        <v>7</v>
      </c>
      <c r="B313" t="s">
        <v>11</v>
      </c>
      <c r="C313" s="1">
        <v>46029.259722222218</v>
      </c>
      <c r="D313" s="1">
        <v>46097.9375</v>
      </c>
      <c r="E313" s="2">
        <f t="shared" si="4"/>
        <v>68.677777777782467</v>
      </c>
    </row>
    <row r="314" spans="1:5" x14ac:dyDescent="0.25">
      <c r="A314" t="s">
        <v>7</v>
      </c>
      <c r="B314" t="s">
        <v>8</v>
      </c>
      <c r="C314" s="1">
        <v>45808.775000000001</v>
      </c>
      <c r="D314" s="1">
        <v>45853.816666666673</v>
      </c>
      <c r="E314" s="2">
        <f t="shared" si="4"/>
        <v>45.041666666671517</v>
      </c>
    </row>
    <row r="315" spans="1:5" x14ac:dyDescent="0.25">
      <c r="A315" t="s">
        <v>5</v>
      </c>
      <c r="B315" t="s">
        <v>47</v>
      </c>
      <c r="C315" s="1">
        <v>46049.5</v>
      </c>
      <c r="D315" s="1">
        <v>46079.145833333343</v>
      </c>
      <c r="E315" s="2">
        <f t="shared" si="4"/>
        <v>29.645833333343035</v>
      </c>
    </row>
    <row r="316" spans="1:5" x14ac:dyDescent="0.25">
      <c r="A316" t="s">
        <v>7</v>
      </c>
      <c r="B316" t="s">
        <v>8</v>
      </c>
      <c r="C316" s="1">
        <v>45822.8</v>
      </c>
      <c r="D316" s="1">
        <v>45875.612500000003</v>
      </c>
      <c r="E316" s="2">
        <f t="shared" si="4"/>
        <v>52.8125</v>
      </c>
    </row>
    <row r="317" spans="1:5" x14ac:dyDescent="0.25">
      <c r="A317" t="s">
        <v>12</v>
      </c>
      <c r="B317" t="s">
        <v>13</v>
      </c>
      <c r="C317" s="1">
        <v>46043.625</v>
      </c>
      <c r="D317" s="1">
        <v>46087.020833333343</v>
      </c>
      <c r="E317" s="2">
        <f t="shared" si="4"/>
        <v>43.395833333343035</v>
      </c>
    </row>
    <row r="318" spans="1:5" x14ac:dyDescent="0.25">
      <c r="A318" t="s">
        <v>7</v>
      </c>
      <c r="B318" t="s">
        <v>8</v>
      </c>
      <c r="C318" s="1">
        <v>45785.595833333333</v>
      </c>
      <c r="D318" s="1">
        <v>45818.433333333327</v>
      </c>
      <c r="E318" s="2">
        <f t="shared" si="4"/>
        <v>32.837499999994179</v>
      </c>
    </row>
    <row r="319" spans="1:5" x14ac:dyDescent="0.25">
      <c r="A319" t="s">
        <v>13</v>
      </c>
      <c r="B319" t="s">
        <v>11</v>
      </c>
      <c r="C319" s="1">
        <v>45708.916666666657</v>
      </c>
      <c r="D319" s="1">
        <v>45769</v>
      </c>
      <c r="E319" s="2">
        <f t="shared" si="4"/>
        <v>60.083333333343035</v>
      </c>
    </row>
    <row r="320" spans="1:5" x14ac:dyDescent="0.25">
      <c r="A320" t="s">
        <v>23</v>
      </c>
      <c r="B320" t="s">
        <v>8</v>
      </c>
      <c r="C320" s="1">
        <v>46018.10833333333</v>
      </c>
      <c r="D320" s="1">
        <v>46054.188194444447</v>
      </c>
      <c r="E320" s="2">
        <f t="shared" si="4"/>
        <v>36.07986111111677</v>
      </c>
    </row>
    <row r="321" spans="1:5" x14ac:dyDescent="0.25">
      <c r="A321" t="s">
        <v>11</v>
      </c>
      <c r="B321" t="s">
        <v>19</v>
      </c>
      <c r="C321" s="1">
        <v>45716.490972222222</v>
      </c>
      <c r="D321" s="1">
        <v>45771.574999999997</v>
      </c>
      <c r="E321" s="2">
        <f t="shared" si="4"/>
        <v>55.084027777775191</v>
      </c>
    </row>
    <row r="322" spans="1:5" x14ac:dyDescent="0.25">
      <c r="A322" t="s">
        <v>8</v>
      </c>
      <c r="B322" t="s">
        <v>18</v>
      </c>
      <c r="C322" s="1">
        <v>46212.760416666657</v>
      </c>
      <c r="D322" s="1">
        <v>46269.7</v>
      </c>
      <c r="E322" s="2">
        <f t="shared" ref="E322:E385" si="5">D322-C322</f>
        <v>56.939583333340124</v>
      </c>
    </row>
    <row r="323" spans="1:5" x14ac:dyDescent="0.25">
      <c r="A323" t="s">
        <v>22</v>
      </c>
      <c r="B323" t="s">
        <v>14</v>
      </c>
      <c r="C323" s="1">
        <v>45712.171527777777</v>
      </c>
      <c r="D323" s="1">
        <v>45756.854166666657</v>
      </c>
      <c r="E323" s="2">
        <f t="shared" si="5"/>
        <v>44.682638888880319</v>
      </c>
    </row>
    <row r="324" spans="1:5" x14ac:dyDescent="0.25">
      <c r="A324" t="s">
        <v>7</v>
      </c>
      <c r="B324" t="s">
        <v>8</v>
      </c>
      <c r="C324" s="1">
        <v>45903.083333333343</v>
      </c>
      <c r="D324" s="1">
        <v>45938.662499999999</v>
      </c>
      <c r="E324" s="2">
        <f t="shared" si="5"/>
        <v>35.57916666665551</v>
      </c>
    </row>
    <row r="325" spans="1:5" x14ac:dyDescent="0.25">
      <c r="A325" t="s">
        <v>5</v>
      </c>
      <c r="B325" t="s">
        <v>8</v>
      </c>
      <c r="C325" s="1">
        <v>46035.520833333343</v>
      </c>
      <c r="D325" s="1">
        <v>46073.45416666667</v>
      </c>
      <c r="E325" s="2">
        <f t="shared" si="5"/>
        <v>37.933333333327028</v>
      </c>
    </row>
    <row r="326" spans="1:5" x14ac:dyDescent="0.25">
      <c r="A326" t="s">
        <v>8</v>
      </c>
      <c r="B326" t="s">
        <v>13</v>
      </c>
      <c r="C326" s="1">
        <v>45764.5</v>
      </c>
      <c r="D326" s="1">
        <v>45802</v>
      </c>
      <c r="E326" s="2">
        <f t="shared" si="5"/>
        <v>37.5</v>
      </c>
    </row>
    <row r="327" spans="1:5" x14ac:dyDescent="0.25">
      <c r="A327" t="s">
        <v>7</v>
      </c>
      <c r="B327" t="s">
        <v>11</v>
      </c>
      <c r="C327" s="1">
        <v>45836.792361111111</v>
      </c>
      <c r="D327" s="1">
        <v>45909.995833333327</v>
      </c>
      <c r="E327" s="2">
        <f t="shared" si="5"/>
        <v>73.203472222216078</v>
      </c>
    </row>
    <row r="328" spans="1:5" x14ac:dyDescent="0.25">
      <c r="A328" t="s">
        <v>48</v>
      </c>
      <c r="B328" t="s">
        <v>12</v>
      </c>
      <c r="C328" s="1">
        <v>45841.020833333343</v>
      </c>
      <c r="D328" s="1">
        <v>45898.416666666657</v>
      </c>
      <c r="E328" s="2">
        <f t="shared" si="5"/>
        <v>57.395833333313931</v>
      </c>
    </row>
    <row r="329" spans="1:5" x14ac:dyDescent="0.25">
      <c r="A329" t="s">
        <v>34</v>
      </c>
      <c r="B329" t="s">
        <v>8</v>
      </c>
      <c r="C329" s="1">
        <v>45858.670138888891</v>
      </c>
      <c r="D329" s="1">
        <v>45890.958333333343</v>
      </c>
      <c r="E329" s="2">
        <f t="shared" si="5"/>
        <v>32.288194444452529</v>
      </c>
    </row>
    <row r="330" spans="1:5" x14ac:dyDescent="0.25">
      <c r="A330" t="s">
        <v>34</v>
      </c>
      <c r="B330" t="s">
        <v>13</v>
      </c>
      <c r="C330" s="1">
        <v>45985.14166666667</v>
      </c>
      <c r="D330" s="1">
        <v>46009.745833333327</v>
      </c>
      <c r="E330" s="2">
        <f t="shared" si="5"/>
        <v>24.604166666656965</v>
      </c>
    </row>
    <row r="331" spans="1:5" x14ac:dyDescent="0.25">
      <c r="A331" t="s">
        <v>8</v>
      </c>
      <c r="B331" t="s">
        <v>13</v>
      </c>
      <c r="C331" s="1">
        <v>46019.675000000003</v>
      </c>
      <c r="D331" s="1">
        <v>46048.083333333343</v>
      </c>
      <c r="E331" s="2">
        <f t="shared" si="5"/>
        <v>28.408333333340124</v>
      </c>
    </row>
    <row r="332" spans="1:5" x14ac:dyDescent="0.25">
      <c r="A332" t="s">
        <v>7</v>
      </c>
      <c r="B332" t="s">
        <v>11</v>
      </c>
      <c r="C332" s="1">
        <v>46016.234722222223</v>
      </c>
      <c r="D332" s="1">
        <v>46097.9375</v>
      </c>
      <c r="E332" s="2">
        <f t="shared" si="5"/>
        <v>81.702777777776646</v>
      </c>
    </row>
    <row r="333" spans="1:5" x14ac:dyDescent="0.25">
      <c r="A333" t="s">
        <v>22</v>
      </c>
      <c r="B333" t="s">
        <v>14</v>
      </c>
      <c r="C333" s="1">
        <v>45776.180555555547</v>
      </c>
      <c r="D333" s="1">
        <v>45822.563888888893</v>
      </c>
      <c r="E333" s="2">
        <f t="shared" si="5"/>
        <v>46.383333333345945</v>
      </c>
    </row>
    <row r="334" spans="1:5" x14ac:dyDescent="0.25">
      <c r="A334" t="s">
        <v>34</v>
      </c>
      <c r="B334" t="s">
        <v>13</v>
      </c>
      <c r="C334" s="1">
        <v>45985.14166666667</v>
      </c>
      <c r="D334" s="1">
        <v>46009.745833333327</v>
      </c>
      <c r="E334" s="2">
        <f t="shared" si="5"/>
        <v>24.604166666656965</v>
      </c>
    </row>
    <row r="335" spans="1:5" x14ac:dyDescent="0.25">
      <c r="A335" t="s">
        <v>22</v>
      </c>
      <c r="B335" t="s">
        <v>19</v>
      </c>
      <c r="C335" s="1">
        <v>45733.434027777781</v>
      </c>
      <c r="D335" s="1">
        <v>45815.247777777768</v>
      </c>
      <c r="E335" s="2">
        <f t="shared" si="5"/>
        <v>81.813749999986612</v>
      </c>
    </row>
    <row r="336" spans="1:5" x14ac:dyDescent="0.25">
      <c r="A336" t="s">
        <v>22</v>
      </c>
      <c r="B336" t="s">
        <v>14</v>
      </c>
      <c r="C336" s="1">
        <v>45690.94027777778</v>
      </c>
      <c r="D336" s="1">
        <v>45735.804166666669</v>
      </c>
      <c r="E336" s="2">
        <f t="shared" si="5"/>
        <v>44.863888888889051</v>
      </c>
    </row>
    <row r="337" spans="1:5" x14ac:dyDescent="0.25">
      <c r="A337" t="s">
        <v>7</v>
      </c>
      <c r="B337" t="s">
        <v>8</v>
      </c>
      <c r="C337" s="1">
        <v>45777.64166666667</v>
      </c>
      <c r="D337" s="1">
        <v>45818.433333333327</v>
      </c>
      <c r="E337" s="2">
        <f t="shared" si="5"/>
        <v>40.791666666656965</v>
      </c>
    </row>
    <row r="338" spans="1:5" x14ac:dyDescent="0.25">
      <c r="A338" t="s">
        <v>23</v>
      </c>
      <c r="B338" t="s">
        <v>19</v>
      </c>
      <c r="C338" s="1">
        <v>45822.758333333331</v>
      </c>
      <c r="D338" s="1">
        <v>45862.57916666667</v>
      </c>
      <c r="E338" s="2">
        <f t="shared" si="5"/>
        <v>39.820833333338669</v>
      </c>
    </row>
    <row r="339" spans="1:5" x14ac:dyDescent="0.25">
      <c r="A339" t="s">
        <v>13</v>
      </c>
      <c r="B339" t="s">
        <v>8</v>
      </c>
      <c r="C339" s="1">
        <v>45753.333333333343</v>
      </c>
      <c r="D339" s="1">
        <v>45777.254861111112</v>
      </c>
      <c r="E339" s="2">
        <f t="shared" si="5"/>
        <v>23.92152777776937</v>
      </c>
    </row>
    <row r="340" spans="1:5" x14ac:dyDescent="0.25">
      <c r="A340" t="s">
        <v>46</v>
      </c>
      <c r="B340" t="s">
        <v>11</v>
      </c>
      <c r="C340" s="1">
        <v>46180.365277777782</v>
      </c>
      <c r="D340" s="1">
        <v>46189.916666666657</v>
      </c>
      <c r="E340" s="2">
        <f t="shared" si="5"/>
        <v>9.5513888888744987</v>
      </c>
    </row>
    <row r="341" spans="1:5" x14ac:dyDescent="0.25">
      <c r="A341" t="s">
        <v>7</v>
      </c>
      <c r="B341" t="s">
        <v>8</v>
      </c>
      <c r="C341" s="1">
        <v>45792.854166666657</v>
      </c>
      <c r="D341" s="1">
        <v>45839.3125</v>
      </c>
      <c r="E341" s="2">
        <f t="shared" si="5"/>
        <v>46.458333333343035</v>
      </c>
    </row>
    <row r="342" spans="1:5" x14ac:dyDescent="0.25">
      <c r="A342" t="s">
        <v>5</v>
      </c>
      <c r="B342" t="s">
        <v>8</v>
      </c>
      <c r="C342" s="1">
        <v>46093.616666666669</v>
      </c>
      <c r="D342" s="1">
        <v>46141.354166666657</v>
      </c>
      <c r="E342" s="2">
        <f t="shared" si="5"/>
        <v>47.737499999988358</v>
      </c>
    </row>
    <row r="343" spans="1:5" x14ac:dyDescent="0.25">
      <c r="A343" t="s">
        <v>5</v>
      </c>
      <c r="B343" t="s">
        <v>8</v>
      </c>
      <c r="C343" s="1">
        <v>46078.916666666657</v>
      </c>
      <c r="D343" s="1">
        <v>46113.395833333343</v>
      </c>
      <c r="E343" s="2">
        <f t="shared" si="5"/>
        <v>34.479166666686069</v>
      </c>
    </row>
    <row r="344" spans="1:5" x14ac:dyDescent="0.25">
      <c r="A344" t="s">
        <v>9</v>
      </c>
      <c r="B344" t="s">
        <v>8</v>
      </c>
      <c r="C344" s="1">
        <v>45920.783333333333</v>
      </c>
      <c r="D344" s="1">
        <v>45965.662499999999</v>
      </c>
      <c r="E344" s="2">
        <f t="shared" si="5"/>
        <v>44.879166666665697</v>
      </c>
    </row>
    <row r="345" spans="1:5" x14ac:dyDescent="0.25">
      <c r="A345" t="s">
        <v>5</v>
      </c>
      <c r="B345" t="s">
        <v>8</v>
      </c>
      <c r="C345" s="1">
        <v>46011.283333333333</v>
      </c>
      <c r="D345" s="1">
        <v>46047.712500000001</v>
      </c>
      <c r="E345" s="2">
        <f t="shared" si="5"/>
        <v>36.429166666668607</v>
      </c>
    </row>
    <row r="346" spans="1:5" x14ac:dyDescent="0.25">
      <c r="A346" t="s">
        <v>5</v>
      </c>
      <c r="B346" t="s">
        <v>8</v>
      </c>
      <c r="C346" s="1">
        <v>46018.725694444453</v>
      </c>
      <c r="D346" s="1">
        <v>46071.058333333327</v>
      </c>
      <c r="E346" s="2">
        <f t="shared" si="5"/>
        <v>52.332638888874499</v>
      </c>
    </row>
    <row r="347" spans="1:5" x14ac:dyDescent="0.25">
      <c r="A347" t="s">
        <v>5</v>
      </c>
      <c r="B347" t="s">
        <v>8</v>
      </c>
      <c r="C347" s="1">
        <v>46018.725694444453</v>
      </c>
      <c r="D347" s="1">
        <v>46071.058333333327</v>
      </c>
      <c r="E347" s="2">
        <f t="shared" si="5"/>
        <v>52.332638888874499</v>
      </c>
    </row>
    <row r="348" spans="1:5" x14ac:dyDescent="0.25">
      <c r="A348" t="s">
        <v>34</v>
      </c>
      <c r="B348" t="s">
        <v>8</v>
      </c>
      <c r="C348" s="1">
        <v>45893.448611111111</v>
      </c>
      <c r="D348" s="1">
        <v>45932.708333333343</v>
      </c>
      <c r="E348" s="2">
        <f t="shared" si="5"/>
        <v>39.259722222232085</v>
      </c>
    </row>
    <row r="349" spans="1:5" x14ac:dyDescent="0.25">
      <c r="A349" t="s">
        <v>5</v>
      </c>
      <c r="B349" t="s">
        <v>8</v>
      </c>
      <c r="C349" s="1">
        <v>46028.258333333331</v>
      </c>
      <c r="D349" s="1">
        <v>46071.058333333327</v>
      </c>
      <c r="E349" s="2">
        <f t="shared" si="5"/>
        <v>42.799999999995634</v>
      </c>
    </row>
    <row r="350" spans="1:5" x14ac:dyDescent="0.25">
      <c r="A350" t="s">
        <v>7</v>
      </c>
      <c r="B350" t="s">
        <v>8</v>
      </c>
      <c r="C350" s="1">
        <v>45800.666666666657</v>
      </c>
      <c r="D350" s="1">
        <v>45839.333333333343</v>
      </c>
      <c r="E350" s="2">
        <f t="shared" si="5"/>
        <v>38.666666666686069</v>
      </c>
    </row>
    <row r="351" spans="1:5" x14ac:dyDescent="0.25">
      <c r="A351" t="s">
        <v>5</v>
      </c>
      <c r="B351" t="s">
        <v>8</v>
      </c>
      <c r="C351" s="1">
        <v>45982.8</v>
      </c>
      <c r="D351" s="1">
        <v>46011</v>
      </c>
      <c r="E351" s="2">
        <f t="shared" si="5"/>
        <v>28.19999999999709</v>
      </c>
    </row>
    <row r="352" spans="1:5" x14ac:dyDescent="0.25">
      <c r="A352" t="s">
        <v>5</v>
      </c>
      <c r="B352" t="s">
        <v>8</v>
      </c>
      <c r="C352" s="1">
        <v>45958.999305555553</v>
      </c>
      <c r="D352" s="1">
        <v>45993.345833333333</v>
      </c>
      <c r="E352" s="2">
        <f t="shared" si="5"/>
        <v>34.346527777779556</v>
      </c>
    </row>
    <row r="353" spans="1:5" x14ac:dyDescent="0.25">
      <c r="A353" t="s">
        <v>12</v>
      </c>
      <c r="B353" t="s">
        <v>13</v>
      </c>
      <c r="C353" s="1">
        <v>45770.025000000001</v>
      </c>
      <c r="D353" s="1">
        <v>45817.291666666657</v>
      </c>
      <c r="E353" s="2">
        <f t="shared" si="5"/>
        <v>47.26666666665551</v>
      </c>
    </row>
    <row r="354" spans="1:5" x14ac:dyDescent="0.25">
      <c r="A354" t="s">
        <v>26</v>
      </c>
      <c r="B354" t="s">
        <v>21</v>
      </c>
      <c r="C354" s="1">
        <v>46035.944444444453</v>
      </c>
      <c r="D354" s="1">
        <v>46081.354166666657</v>
      </c>
      <c r="E354" s="2">
        <f t="shared" si="5"/>
        <v>45.409722222204437</v>
      </c>
    </row>
    <row r="355" spans="1:5" x14ac:dyDescent="0.25">
      <c r="A355" t="s">
        <v>7</v>
      </c>
      <c r="B355" t="s">
        <v>49</v>
      </c>
      <c r="C355" s="1">
        <v>46005.17083333333</v>
      </c>
      <c r="D355" s="1">
        <v>46070.457638888889</v>
      </c>
      <c r="E355" s="2">
        <f t="shared" si="5"/>
        <v>65.286805555559113</v>
      </c>
    </row>
    <row r="356" spans="1:5" x14ac:dyDescent="0.25">
      <c r="A356" t="s">
        <v>12</v>
      </c>
      <c r="B356" t="s">
        <v>18</v>
      </c>
      <c r="C356" s="1">
        <v>45680.126388888893</v>
      </c>
      <c r="D356" s="1">
        <v>45744.01458333333</v>
      </c>
      <c r="E356" s="2">
        <f t="shared" si="5"/>
        <v>63.888194444436522</v>
      </c>
    </row>
    <row r="357" spans="1:5" x14ac:dyDescent="0.25">
      <c r="A357" t="s">
        <v>5</v>
      </c>
      <c r="B357" t="s">
        <v>43</v>
      </c>
      <c r="C357" s="1">
        <v>45894.670138888891</v>
      </c>
      <c r="D357" s="1">
        <v>45939.913888888892</v>
      </c>
      <c r="E357" s="2">
        <f t="shared" si="5"/>
        <v>45.243750000001455</v>
      </c>
    </row>
    <row r="358" spans="1:5" x14ac:dyDescent="0.25">
      <c r="A358" t="s">
        <v>12</v>
      </c>
      <c r="B358" t="s">
        <v>13</v>
      </c>
      <c r="C358" s="1">
        <v>45895.17083333333</v>
      </c>
      <c r="D358" s="1">
        <v>45949.119444444441</v>
      </c>
      <c r="E358" s="2">
        <f t="shared" si="5"/>
        <v>53.948611111110949</v>
      </c>
    </row>
    <row r="359" spans="1:5" x14ac:dyDescent="0.25">
      <c r="A359" t="s">
        <v>12</v>
      </c>
      <c r="B359" t="s">
        <v>8</v>
      </c>
      <c r="C359" s="1">
        <v>46000.875</v>
      </c>
      <c r="D359" s="1">
        <v>46054.188194444447</v>
      </c>
      <c r="E359" s="2">
        <f t="shared" si="5"/>
        <v>53.313194444446708</v>
      </c>
    </row>
    <row r="360" spans="1:5" x14ac:dyDescent="0.25">
      <c r="A360" t="s">
        <v>14</v>
      </c>
      <c r="B360" t="s">
        <v>22</v>
      </c>
      <c r="C360" s="1">
        <v>46125.162499999999</v>
      </c>
      <c r="D360" s="1">
        <v>46177.5</v>
      </c>
      <c r="E360" s="2">
        <f t="shared" si="5"/>
        <v>52.337500000001455</v>
      </c>
    </row>
    <row r="361" spans="1:5" x14ac:dyDescent="0.25">
      <c r="A361" t="s">
        <v>28</v>
      </c>
      <c r="B361" t="s">
        <v>8</v>
      </c>
      <c r="C361" s="1">
        <v>45834.243055555547</v>
      </c>
      <c r="D361" s="1">
        <v>45901.583333333343</v>
      </c>
      <c r="E361" s="2">
        <f t="shared" si="5"/>
        <v>67.340277777795563</v>
      </c>
    </row>
    <row r="362" spans="1:5" x14ac:dyDescent="0.25">
      <c r="A362" t="s">
        <v>6</v>
      </c>
      <c r="B362" t="s">
        <v>8</v>
      </c>
      <c r="C362" s="1">
        <v>46084.915277777778</v>
      </c>
      <c r="D362" s="1">
        <v>46118.716666666667</v>
      </c>
      <c r="E362" s="2">
        <f t="shared" si="5"/>
        <v>33.801388888889051</v>
      </c>
    </row>
    <row r="363" spans="1:5" x14ac:dyDescent="0.25">
      <c r="A363" t="s">
        <v>15</v>
      </c>
      <c r="B363" t="s">
        <v>13</v>
      </c>
      <c r="C363" s="1">
        <v>45911.773819444446</v>
      </c>
      <c r="D363" s="1">
        <v>45952.446863425917</v>
      </c>
      <c r="E363" s="2">
        <f t="shared" si="5"/>
        <v>40.673043981470983</v>
      </c>
    </row>
    <row r="364" spans="1:5" x14ac:dyDescent="0.25">
      <c r="A364" t="s">
        <v>22</v>
      </c>
      <c r="B364" t="s">
        <v>19</v>
      </c>
      <c r="C364" s="1">
        <v>45763.170138888891</v>
      </c>
      <c r="D364" s="1">
        <v>45816.841666666667</v>
      </c>
      <c r="E364" s="2">
        <f t="shared" si="5"/>
        <v>53.671527777776646</v>
      </c>
    </row>
    <row r="365" spans="1:5" x14ac:dyDescent="0.25">
      <c r="A365" t="s">
        <v>22</v>
      </c>
      <c r="B365" t="s">
        <v>19</v>
      </c>
      <c r="C365" s="1">
        <v>45698.170138888891</v>
      </c>
      <c r="D365" s="1">
        <v>45760.508333333331</v>
      </c>
      <c r="E365" s="2">
        <f t="shared" si="5"/>
        <v>62.338194444440887</v>
      </c>
    </row>
    <row r="366" spans="1:5" x14ac:dyDescent="0.25">
      <c r="A366" t="s">
        <v>22</v>
      </c>
      <c r="B366" t="s">
        <v>36</v>
      </c>
      <c r="C366" s="1">
        <v>45698.170138888891</v>
      </c>
      <c r="D366" s="1">
        <v>45760.508333333331</v>
      </c>
      <c r="E366" s="2">
        <f t="shared" si="5"/>
        <v>62.338194444440887</v>
      </c>
    </row>
    <row r="367" spans="1:5" x14ac:dyDescent="0.25">
      <c r="A367" t="s">
        <v>22</v>
      </c>
      <c r="B367" t="s">
        <v>19</v>
      </c>
      <c r="C367" s="1">
        <v>46006.477777777778</v>
      </c>
      <c r="D367" s="1">
        <v>46069.90625</v>
      </c>
      <c r="E367" s="2">
        <f t="shared" si="5"/>
        <v>63.428472222221899</v>
      </c>
    </row>
    <row r="368" spans="1:5" x14ac:dyDescent="0.25">
      <c r="A368" t="s">
        <v>5</v>
      </c>
      <c r="B368" t="s">
        <v>8</v>
      </c>
      <c r="C368" s="1">
        <v>45750.686111111107</v>
      </c>
      <c r="D368" s="1">
        <v>45782.683333333327</v>
      </c>
      <c r="E368" s="2">
        <f t="shared" si="5"/>
        <v>31.997222222220444</v>
      </c>
    </row>
    <row r="369" spans="1:5" x14ac:dyDescent="0.25">
      <c r="A369" t="s">
        <v>5</v>
      </c>
      <c r="B369" t="s">
        <v>8</v>
      </c>
      <c r="C369" s="1">
        <v>45707.716666666667</v>
      </c>
      <c r="D369" s="1">
        <v>45734.840219907397</v>
      </c>
      <c r="E369" s="2">
        <f t="shared" si="5"/>
        <v>27.123553240729962</v>
      </c>
    </row>
    <row r="370" spans="1:5" x14ac:dyDescent="0.25">
      <c r="A370" t="s">
        <v>5</v>
      </c>
      <c r="B370" t="s">
        <v>8</v>
      </c>
      <c r="C370" s="1">
        <v>45731.86041666667</v>
      </c>
      <c r="D370" s="1">
        <v>45761.405555555553</v>
      </c>
      <c r="E370" s="2">
        <f t="shared" si="5"/>
        <v>29.54513888888323</v>
      </c>
    </row>
    <row r="371" spans="1:5" x14ac:dyDescent="0.25">
      <c r="A371" t="s">
        <v>5</v>
      </c>
      <c r="B371" t="s">
        <v>8</v>
      </c>
      <c r="C371" s="1">
        <v>45701.708333333343</v>
      </c>
      <c r="D371" s="1">
        <v>45730.227777777778</v>
      </c>
      <c r="E371" s="2">
        <f t="shared" si="5"/>
        <v>28.519444444435067</v>
      </c>
    </row>
    <row r="372" spans="1:5" x14ac:dyDescent="0.25">
      <c r="A372" t="s">
        <v>14</v>
      </c>
      <c r="B372" t="s">
        <v>22</v>
      </c>
      <c r="C372" s="1">
        <v>45913.491666666669</v>
      </c>
      <c r="D372" s="1">
        <v>45968.791666666657</v>
      </c>
      <c r="E372" s="2">
        <f t="shared" si="5"/>
        <v>55.299999999988358</v>
      </c>
    </row>
    <row r="373" spans="1:5" x14ac:dyDescent="0.25">
      <c r="A373" t="s">
        <v>11</v>
      </c>
      <c r="B373" t="s">
        <v>37</v>
      </c>
      <c r="C373" s="1">
        <v>45752.929166666669</v>
      </c>
      <c r="D373" s="1">
        <v>45771.879166666673</v>
      </c>
      <c r="E373" s="2">
        <f t="shared" si="5"/>
        <v>18.950000000004366</v>
      </c>
    </row>
    <row r="374" spans="1:5" x14ac:dyDescent="0.25">
      <c r="A374" t="s">
        <v>12</v>
      </c>
      <c r="B374" t="s">
        <v>18</v>
      </c>
      <c r="C374" s="1">
        <v>45659.754166666673</v>
      </c>
      <c r="D374" s="1">
        <v>45714.549305555563</v>
      </c>
      <c r="E374" s="2">
        <f t="shared" si="5"/>
        <v>54.795138888890506</v>
      </c>
    </row>
    <row r="375" spans="1:5" x14ac:dyDescent="0.25">
      <c r="A375" t="s">
        <v>15</v>
      </c>
      <c r="B375" t="s">
        <v>13</v>
      </c>
      <c r="C375" s="1">
        <v>45826.372384259259</v>
      </c>
      <c r="D375" s="1">
        <v>45864.752395833333</v>
      </c>
      <c r="E375" s="2">
        <f t="shared" si="5"/>
        <v>38.38001157407416</v>
      </c>
    </row>
    <row r="376" spans="1:5" x14ac:dyDescent="0.25">
      <c r="A376" t="s">
        <v>5</v>
      </c>
      <c r="B376" t="s">
        <v>8</v>
      </c>
      <c r="C376" s="1">
        <v>46194.835023148153</v>
      </c>
      <c r="D376" s="1">
        <v>46216.121527777781</v>
      </c>
      <c r="E376" s="2">
        <f t="shared" si="5"/>
        <v>21.286504629628325</v>
      </c>
    </row>
    <row r="377" spans="1:5" x14ac:dyDescent="0.25">
      <c r="A377" t="s">
        <v>5</v>
      </c>
      <c r="B377" t="s">
        <v>8</v>
      </c>
      <c r="C377" s="1">
        <v>45671.125</v>
      </c>
      <c r="D377" s="1">
        <v>45697.265277777777</v>
      </c>
      <c r="E377" s="2">
        <f t="shared" si="5"/>
        <v>26.140277777776646</v>
      </c>
    </row>
    <row r="378" spans="1:5" x14ac:dyDescent="0.25">
      <c r="A378" t="s">
        <v>34</v>
      </c>
      <c r="B378" t="s">
        <v>13</v>
      </c>
      <c r="C378" s="1">
        <v>45886.647847222222</v>
      </c>
      <c r="D378" s="1">
        <v>45912.216666666667</v>
      </c>
      <c r="E378" s="2">
        <f t="shared" si="5"/>
        <v>25.568819444444671</v>
      </c>
    </row>
    <row r="379" spans="1:5" x14ac:dyDescent="0.25">
      <c r="A379" t="s">
        <v>22</v>
      </c>
      <c r="B379" t="s">
        <v>14</v>
      </c>
      <c r="C379" s="1">
        <v>45957.631215277783</v>
      </c>
      <c r="D379" s="1">
        <v>46001.541666666657</v>
      </c>
      <c r="E379" s="2">
        <f t="shared" si="5"/>
        <v>43.910451388874208</v>
      </c>
    </row>
    <row r="380" spans="1:5" x14ac:dyDescent="0.25">
      <c r="A380" t="s">
        <v>23</v>
      </c>
      <c r="B380" t="s">
        <v>12</v>
      </c>
      <c r="C380" s="1">
        <v>46089.09375</v>
      </c>
      <c r="D380" s="1">
        <v>46100.930555555547</v>
      </c>
      <c r="E380" s="2">
        <f t="shared" si="5"/>
        <v>11.836805555547471</v>
      </c>
    </row>
    <row r="381" spans="1:5" x14ac:dyDescent="0.25">
      <c r="A381" t="s">
        <v>10</v>
      </c>
      <c r="B381" t="s">
        <v>11</v>
      </c>
      <c r="C381" s="1">
        <v>46028.529861111107</v>
      </c>
      <c r="D381" s="1">
        <v>46056.852777777778</v>
      </c>
      <c r="E381" s="2">
        <f t="shared" si="5"/>
        <v>28.322916666671517</v>
      </c>
    </row>
    <row r="382" spans="1:5" x14ac:dyDescent="0.25">
      <c r="A382" t="s">
        <v>5</v>
      </c>
      <c r="B382" t="s">
        <v>8</v>
      </c>
      <c r="C382" s="1">
        <v>46236.188888888893</v>
      </c>
      <c r="D382" s="1">
        <v>46278.113888888889</v>
      </c>
      <c r="E382" s="2">
        <f t="shared" si="5"/>
        <v>41.924999999995634</v>
      </c>
    </row>
    <row r="383" spans="1:5" x14ac:dyDescent="0.25">
      <c r="A383" t="s">
        <v>10</v>
      </c>
      <c r="B383" t="s">
        <v>11</v>
      </c>
      <c r="C383" s="1">
        <v>45773.447916666657</v>
      </c>
      <c r="D383" s="1">
        <v>45804.654421296298</v>
      </c>
      <c r="E383" s="2">
        <f t="shared" si="5"/>
        <v>31.206504629641131</v>
      </c>
    </row>
    <row r="384" spans="1:5" x14ac:dyDescent="0.25">
      <c r="A384" t="s">
        <v>22</v>
      </c>
      <c r="B384" t="s">
        <v>19</v>
      </c>
      <c r="C384" s="1">
        <v>45688.381249999999</v>
      </c>
      <c r="D384" s="1">
        <v>45755.558333333327</v>
      </c>
      <c r="E384" s="2">
        <f t="shared" si="5"/>
        <v>67.177083333328483</v>
      </c>
    </row>
    <row r="385" spans="1:5" x14ac:dyDescent="0.25">
      <c r="A385" t="s">
        <v>22</v>
      </c>
      <c r="B385" t="s">
        <v>19</v>
      </c>
      <c r="C385" s="1">
        <v>45748.2</v>
      </c>
      <c r="D385" s="1">
        <v>45816.841666666667</v>
      </c>
      <c r="E385" s="2">
        <f t="shared" si="5"/>
        <v>68.641666666670062</v>
      </c>
    </row>
    <row r="386" spans="1:5" x14ac:dyDescent="0.25">
      <c r="A386" t="s">
        <v>5</v>
      </c>
      <c r="B386" t="s">
        <v>8</v>
      </c>
      <c r="C386" s="1">
        <v>45715.841666666667</v>
      </c>
      <c r="D386" s="1">
        <v>45741.816666666673</v>
      </c>
      <c r="E386" s="2">
        <f t="shared" ref="E386:E449" si="6">D386-C386</f>
        <v>25.975000000005821</v>
      </c>
    </row>
    <row r="387" spans="1:5" x14ac:dyDescent="0.25">
      <c r="A387" t="s">
        <v>5</v>
      </c>
      <c r="B387" t="s">
        <v>8</v>
      </c>
      <c r="C387" s="1">
        <v>45681.762499999997</v>
      </c>
      <c r="D387" s="1">
        <v>45706.871527777781</v>
      </c>
      <c r="E387" s="2">
        <f t="shared" si="6"/>
        <v>25.109027777783922</v>
      </c>
    </row>
    <row r="388" spans="1:5" x14ac:dyDescent="0.25">
      <c r="A388" t="s">
        <v>5</v>
      </c>
      <c r="B388" t="s">
        <v>47</v>
      </c>
      <c r="C388" s="1">
        <v>46236.134722222218</v>
      </c>
      <c r="D388" s="1">
        <v>46256.568749999999</v>
      </c>
      <c r="E388" s="2">
        <f t="shared" si="6"/>
        <v>20.434027777781012</v>
      </c>
    </row>
    <row r="389" spans="1:5" x14ac:dyDescent="0.25">
      <c r="A389" t="s">
        <v>5</v>
      </c>
      <c r="B389" t="s">
        <v>8</v>
      </c>
      <c r="C389" s="1">
        <v>45671.125</v>
      </c>
      <c r="D389" s="1">
        <v>45697.265277777777</v>
      </c>
      <c r="E389" s="2">
        <f t="shared" si="6"/>
        <v>26.140277777776646</v>
      </c>
    </row>
    <row r="390" spans="1:5" x14ac:dyDescent="0.25">
      <c r="A390" t="s">
        <v>5</v>
      </c>
      <c r="B390" t="s">
        <v>8</v>
      </c>
      <c r="C390" s="1">
        <v>46191.063888888893</v>
      </c>
      <c r="D390" s="1">
        <v>46214.830520833333</v>
      </c>
      <c r="E390" s="2">
        <f t="shared" si="6"/>
        <v>23.766631944439723</v>
      </c>
    </row>
    <row r="391" spans="1:5" x14ac:dyDescent="0.25">
      <c r="A391" t="s">
        <v>5</v>
      </c>
      <c r="B391" t="s">
        <v>8</v>
      </c>
      <c r="C391" s="1">
        <v>45659.054166666669</v>
      </c>
      <c r="D391" s="1">
        <v>45685.674305555563</v>
      </c>
      <c r="E391" s="2">
        <f t="shared" si="6"/>
        <v>26.620138888894871</v>
      </c>
    </row>
    <row r="392" spans="1:5" x14ac:dyDescent="0.25">
      <c r="A392" t="s">
        <v>7</v>
      </c>
      <c r="B392" t="s">
        <v>20</v>
      </c>
      <c r="C392" s="1">
        <v>46082.811655092592</v>
      </c>
      <c r="D392" s="1">
        <v>46143.824999999997</v>
      </c>
      <c r="E392" s="2">
        <f t="shared" si="6"/>
        <v>61.013344907405553</v>
      </c>
    </row>
    <row r="393" spans="1:5" x14ac:dyDescent="0.25">
      <c r="A393" t="s">
        <v>50</v>
      </c>
      <c r="B393" t="s">
        <v>8</v>
      </c>
      <c r="C393" s="1">
        <v>46231.393125000002</v>
      </c>
      <c r="D393" s="1">
        <v>46260.602083333331</v>
      </c>
      <c r="E393" s="2">
        <f t="shared" si="6"/>
        <v>29.208958333329065</v>
      </c>
    </row>
    <row r="394" spans="1:5" x14ac:dyDescent="0.25">
      <c r="A394" t="s">
        <v>22</v>
      </c>
      <c r="B394" t="s">
        <v>19</v>
      </c>
      <c r="C394" s="1">
        <v>46138.895833333343</v>
      </c>
      <c r="D394" s="1">
        <v>46198.275694444441</v>
      </c>
      <c r="E394" s="2">
        <f t="shared" si="6"/>
        <v>59.379861111097853</v>
      </c>
    </row>
    <row r="395" spans="1:5" x14ac:dyDescent="0.25">
      <c r="A395" t="s">
        <v>34</v>
      </c>
      <c r="B395" t="s">
        <v>8</v>
      </c>
      <c r="C395" s="1">
        <v>45831.274305555547</v>
      </c>
      <c r="D395" s="1">
        <v>45862.79583333333</v>
      </c>
      <c r="E395" s="2">
        <f t="shared" si="6"/>
        <v>31.521527777782467</v>
      </c>
    </row>
    <row r="396" spans="1:5" x14ac:dyDescent="0.25">
      <c r="A396" t="s">
        <v>22</v>
      </c>
      <c r="B396" t="s">
        <v>51</v>
      </c>
      <c r="C396" s="1">
        <v>46181.931250000001</v>
      </c>
      <c r="D396" s="1">
        <v>46236.302777777782</v>
      </c>
      <c r="E396" s="2">
        <f t="shared" si="6"/>
        <v>54.371527777781012</v>
      </c>
    </row>
    <row r="397" spans="1:5" x14ac:dyDescent="0.25">
      <c r="A397" t="s">
        <v>15</v>
      </c>
      <c r="B397" t="s">
        <v>13</v>
      </c>
      <c r="C397" s="1">
        <v>45826.372384259259</v>
      </c>
      <c r="D397" s="1">
        <v>45864.770833333343</v>
      </c>
      <c r="E397" s="2">
        <f t="shared" si="6"/>
        <v>38.398449074084056</v>
      </c>
    </row>
    <row r="398" spans="1:5" x14ac:dyDescent="0.25">
      <c r="A398" t="s">
        <v>22</v>
      </c>
      <c r="B398" t="s">
        <v>6</v>
      </c>
      <c r="C398" s="1">
        <v>45712.171527777777</v>
      </c>
      <c r="D398" s="1">
        <v>45773.51666666667</v>
      </c>
      <c r="E398" s="2">
        <f t="shared" si="6"/>
        <v>61.345138888893416</v>
      </c>
    </row>
    <row r="399" spans="1:5" x14ac:dyDescent="0.25">
      <c r="A399" t="s">
        <v>7</v>
      </c>
      <c r="B399" t="s">
        <v>20</v>
      </c>
      <c r="C399" s="1">
        <v>46140.259027777778</v>
      </c>
      <c r="D399" s="1">
        <v>46199.279861111107</v>
      </c>
      <c r="E399" s="2">
        <f t="shared" si="6"/>
        <v>59.020833333328483</v>
      </c>
    </row>
    <row r="400" spans="1:5" x14ac:dyDescent="0.25">
      <c r="A400" t="s">
        <v>28</v>
      </c>
      <c r="B400" t="s">
        <v>12</v>
      </c>
      <c r="C400" s="1">
        <v>45945.591666666667</v>
      </c>
      <c r="D400" s="1">
        <v>45951.413194444453</v>
      </c>
      <c r="E400" s="2">
        <f t="shared" si="6"/>
        <v>5.8215277777853771</v>
      </c>
    </row>
    <row r="401" spans="1:5" x14ac:dyDescent="0.25">
      <c r="A401" t="s">
        <v>22</v>
      </c>
      <c r="B401" t="s">
        <v>19</v>
      </c>
      <c r="C401" s="1">
        <v>46168.129861111112</v>
      </c>
      <c r="D401" s="1">
        <v>46220.279166666667</v>
      </c>
      <c r="E401" s="2">
        <f t="shared" si="6"/>
        <v>52.149305555554747</v>
      </c>
    </row>
    <row r="402" spans="1:5" x14ac:dyDescent="0.25">
      <c r="A402" t="s">
        <v>12</v>
      </c>
      <c r="B402" t="s">
        <v>13</v>
      </c>
      <c r="C402" s="1">
        <v>46056.25277777778</v>
      </c>
      <c r="D402" s="1">
        <v>46095.833333333343</v>
      </c>
      <c r="E402" s="2">
        <f t="shared" si="6"/>
        <v>39.580555555563478</v>
      </c>
    </row>
    <row r="403" spans="1:5" x14ac:dyDescent="0.25">
      <c r="A403" t="s">
        <v>22</v>
      </c>
      <c r="B403" t="s">
        <v>19</v>
      </c>
      <c r="C403" s="1">
        <v>46237.129166666673</v>
      </c>
      <c r="D403" s="1">
        <v>46285.245833333327</v>
      </c>
      <c r="E403" s="2">
        <f t="shared" si="6"/>
        <v>48.116666666654055</v>
      </c>
    </row>
    <row r="404" spans="1:5" x14ac:dyDescent="0.25">
      <c r="A404" t="s">
        <v>27</v>
      </c>
      <c r="B404" t="s">
        <v>18</v>
      </c>
      <c r="C404" s="1">
        <v>46098.783333333333</v>
      </c>
      <c r="D404" s="1">
        <v>46156.002083333333</v>
      </c>
      <c r="E404" s="2">
        <f t="shared" si="6"/>
        <v>57.21875</v>
      </c>
    </row>
    <row r="405" spans="1:5" x14ac:dyDescent="0.25">
      <c r="A405" t="s">
        <v>22</v>
      </c>
      <c r="B405" t="s">
        <v>51</v>
      </c>
      <c r="C405" s="1">
        <v>46191.074305555558</v>
      </c>
      <c r="D405" s="1">
        <v>46245.237500000003</v>
      </c>
      <c r="E405" s="2">
        <f t="shared" si="6"/>
        <v>54.163194444445253</v>
      </c>
    </row>
    <row r="406" spans="1:5" x14ac:dyDescent="0.25">
      <c r="A406" t="s">
        <v>22</v>
      </c>
      <c r="B406" t="s">
        <v>19</v>
      </c>
      <c r="C406" s="1">
        <v>46173.790972222218</v>
      </c>
      <c r="D406" s="1">
        <v>46228.611805555563</v>
      </c>
      <c r="E406" s="2">
        <f t="shared" si="6"/>
        <v>54.820833333345945</v>
      </c>
    </row>
    <row r="407" spans="1:5" x14ac:dyDescent="0.25">
      <c r="A407" t="s">
        <v>22</v>
      </c>
      <c r="B407" t="s">
        <v>52</v>
      </c>
      <c r="C407" s="1">
        <v>46167.645833333343</v>
      </c>
      <c r="D407" s="1">
        <v>46217.004166666673</v>
      </c>
      <c r="E407" s="2">
        <f t="shared" si="6"/>
        <v>49.358333333329938</v>
      </c>
    </row>
    <row r="408" spans="1:5" x14ac:dyDescent="0.25">
      <c r="A408" t="s">
        <v>8</v>
      </c>
      <c r="B408" t="s">
        <v>18</v>
      </c>
      <c r="C408" s="1">
        <v>46199.770833333343</v>
      </c>
      <c r="D408" s="1">
        <v>46241.870833333327</v>
      </c>
      <c r="E408" s="2">
        <f t="shared" si="6"/>
        <v>42.099999999983993</v>
      </c>
    </row>
    <row r="409" spans="1:5" x14ac:dyDescent="0.25">
      <c r="A409" t="s">
        <v>8</v>
      </c>
      <c r="B409" t="s">
        <v>18</v>
      </c>
      <c r="C409" s="1">
        <v>46206.283333333333</v>
      </c>
      <c r="D409" s="1">
        <v>46251.208333333343</v>
      </c>
      <c r="E409" s="2">
        <f t="shared" si="6"/>
        <v>44.925000000010186</v>
      </c>
    </row>
    <row r="410" spans="1:5" x14ac:dyDescent="0.25">
      <c r="A410" t="s">
        <v>45</v>
      </c>
      <c r="B410" t="s">
        <v>19</v>
      </c>
      <c r="C410" s="1">
        <v>45943.593055555553</v>
      </c>
      <c r="D410" s="1">
        <v>45983.279166666667</v>
      </c>
      <c r="E410" s="2">
        <f t="shared" si="6"/>
        <v>39.68611111111386</v>
      </c>
    </row>
    <row r="411" spans="1:5" x14ac:dyDescent="0.25">
      <c r="A411" t="s">
        <v>22</v>
      </c>
      <c r="B411" t="s">
        <v>19</v>
      </c>
      <c r="C411" s="1">
        <v>46034.720833333333</v>
      </c>
      <c r="D411" s="1">
        <v>46088.423611111109</v>
      </c>
      <c r="E411" s="2">
        <f t="shared" si="6"/>
        <v>53.702777777776646</v>
      </c>
    </row>
    <row r="412" spans="1:5" x14ac:dyDescent="0.25">
      <c r="A412" t="s">
        <v>22</v>
      </c>
      <c r="B412" t="s">
        <v>51</v>
      </c>
      <c r="C412" s="1">
        <v>46181.931250000001</v>
      </c>
      <c r="D412" s="1">
        <v>46236.302777777782</v>
      </c>
      <c r="E412" s="2">
        <f t="shared" si="6"/>
        <v>54.371527777781012</v>
      </c>
    </row>
    <row r="413" spans="1:5" x14ac:dyDescent="0.25">
      <c r="A413" t="s">
        <v>15</v>
      </c>
      <c r="B413" t="s">
        <v>6</v>
      </c>
      <c r="C413" s="1">
        <v>46028.887499999997</v>
      </c>
      <c r="D413" s="1">
        <v>46091.758333333331</v>
      </c>
      <c r="E413" s="2">
        <f t="shared" si="6"/>
        <v>62.870833333334303</v>
      </c>
    </row>
    <row r="414" spans="1:5" x14ac:dyDescent="0.25">
      <c r="A414" t="s">
        <v>5</v>
      </c>
      <c r="B414" t="s">
        <v>8</v>
      </c>
      <c r="C414" s="1">
        <v>46121.404166666667</v>
      </c>
      <c r="D414" s="1">
        <v>46162.866666666669</v>
      </c>
      <c r="E414" s="2">
        <f t="shared" si="6"/>
        <v>41.462500000001455</v>
      </c>
    </row>
    <row r="415" spans="1:5" x14ac:dyDescent="0.25">
      <c r="A415" t="s">
        <v>5</v>
      </c>
      <c r="B415" t="s">
        <v>8</v>
      </c>
      <c r="C415" s="1">
        <v>46121.404166666667</v>
      </c>
      <c r="D415" s="1">
        <v>46162.866666666669</v>
      </c>
      <c r="E415" s="2">
        <f t="shared" si="6"/>
        <v>41.462500000001455</v>
      </c>
    </row>
    <row r="416" spans="1:5" x14ac:dyDescent="0.25">
      <c r="A416" t="s">
        <v>8</v>
      </c>
      <c r="B416" t="s">
        <v>7</v>
      </c>
      <c r="C416" s="1">
        <v>45928.775000000001</v>
      </c>
      <c r="D416" s="1">
        <v>45968.229166666657</v>
      </c>
      <c r="E416" s="2">
        <f t="shared" si="6"/>
        <v>39.45416666665551</v>
      </c>
    </row>
    <row r="417" spans="1:5" x14ac:dyDescent="0.25">
      <c r="A417" t="s">
        <v>7</v>
      </c>
      <c r="B417" t="s">
        <v>11</v>
      </c>
      <c r="C417" s="1">
        <v>45934.720833333333</v>
      </c>
      <c r="D417" s="1">
        <v>45995.345833333333</v>
      </c>
      <c r="E417" s="2">
        <f t="shared" si="6"/>
        <v>60.625</v>
      </c>
    </row>
    <row r="418" spans="1:5" x14ac:dyDescent="0.25">
      <c r="A418" t="s">
        <v>5</v>
      </c>
      <c r="B418" t="s">
        <v>8</v>
      </c>
      <c r="C418" s="1">
        <v>46159.081250000003</v>
      </c>
      <c r="D418" s="1">
        <v>46181.674305555563</v>
      </c>
      <c r="E418" s="2">
        <f t="shared" si="6"/>
        <v>22.593055555560568</v>
      </c>
    </row>
    <row r="419" spans="1:5" x14ac:dyDescent="0.25">
      <c r="A419" t="s">
        <v>22</v>
      </c>
      <c r="B419" t="s">
        <v>51</v>
      </c>
      <c r="C419" s="1">
        <v>46084.957638888889</v>
      </c>
      <c r="D419" s="1">
        <v>46148.975694444453</v>
      </c>
      <c r="E419" s="2">
        <f t="shared" si="6"/>
        <v>64.018055555563478</v>
      </c>
    </row>
    <row r="420" spans="1:5" x14ac:dyDescent="0.25">
      <c r="A420" t="s">
        <v>5</v>
      </c>
      <c r="B420" t="s">
        <v>8</v>
      </c>
      <c r="C420" s="1">
        <v>45707.716666666667</v>
      </c>
      <c r="D420" s="1">
        <v>45734.852777777778</v>
      </c>
      <c r="E420" s="2">
        <f t="shared" si="6"/>
        <v>27.136111111110949</v>
      </c>
    </row>
    <row r="421" spans="1:5" x14ac:dyDescent="0.25">
      <c r="A421" t="s">
        <v>5</v>
      </c>
      <c r="B421" t="s">
        <v>8</v>
      </c>
      <c r="C421" s="1">
        <v>45659.054166666669</v>
      </c>
      <c r="D421" s="1">
        <v>45685.674305555563</v>
      </c>
      <c r="E421" s="2">
        <f t="shared" si="6"/>
        <v>26.620138888894871</v>
      </c>
    </row>
    <row r="422" spans="1:5" x14ac:dyDescent="0.25">
      <c r="A422" t="s">
        <v>22</v>
      </c>
      <c r="B422" t="s">
        <v>51</v>
      </c>
      <c r="C422" s="1">
        <v>46138.895833333343</v>
      </c>
      <c r="D422" s="1">
        <v>46195.614583333343</v>
      </c>
      <c r="E422" s="2">
        <f t="shared" si="6"/>
        <v>56.71875</v>
      </c>
    </row>
    <row r="423" spans="1:5" x14ac:dyDescent="0.25">
      <c r="A423" t="s">
        <v>23</v>
      </c>
      <c r="B423" t="s">
        <v>12</v>
      </c>
      <c r="C423" s="1">
        <v>45981.856944444437</v>
      </c>
      <c r="D423" s="1">
        <v>45994.013888888891</v>
      </c>
      <c r="E423" s="2">
        <f t="shared" si="6"/>
        <v>12.156944444453984</v>
      </c>
    </row>
    <row r="424" spans="1:5" x14ac:dyDescent="0.25">
      <c r="A424" t="s">
        <v>6</v>
      </c>
      <c r="B424" t="s">
        <v>8</v>
      </c>
      <c r="C424" s="1">
        <v>45859.069444444453</v>
      </c>
      <c r="D424" s="1">
        <v>45895.902083333327</v>
      </c>
      <c r="E424" s="2">
        <f t="shared" si="6"/>
        <v>36.832638888874499</v>
      </c>
    </row>
    <row r="425" spans="1:5" x14ac:dyDescent="0.25">
      <c r="A425" t="s">
        <v>23</v>
      </c>
      <c r="B425" t="s">
        <v>19</v>
      </c>
      <c r="C425" s="1">
        <v>45759</v>
      </c>
      <c r="D425" s="1">
        <v>45792.094166666669</v>
      </c>
      <c r="E425" s="2">
        <f t="shared" si="6"/>
        <v>33.09416666666948</v>
      </c>
    </row>
    <row r="426" spans="1:5" x14ac:dyDescent="0.25">
      <c r="A426" t="s">
        <v>8</v>
      </c>
      <c r="B426" t="s">
        <v>18</v>
      </c>
      <c r="C426" s="1">
        <v>46135.317361111112</v>
      </c>
      <c r="D426" s="1">
        <v>46183.138194444437</v>
      </c>
      <c r="E426" s="2">
        <f t="shared" si="6"/>
        <v>47.820833333324117</v>
      </c>
    </row>
    <row r="427" spans="1:5" x14ac:dyDescent="0.25">
      <c r="A427" t="s">
        <v>5</v>
      </c>
      <c r="B427" t="s">
        <v>8</v>
      </c>
      <c r="C427" s="1">
        <v>46061.962500000001</v>
      </c>
      <c r="D427" s="1">
        <v>46112.529166666667</v>
      </c>
      <c r="E427" s="2">
        <f t="shared" si="6"/>
        <v>50.566666666665697</v>
      </c>
    </row>
    <row r="428" spans="1:5" x14ac:dyDescent="0.25">
      <c r="A428" t="s">
        <v>7</v>
      </c>
      <c r="B428" t="s">
        <v>8</v>
      </c>
      <c r="C428" s="1">
        <v>45822.8</v>
      </c>
      <c r="D428" s="1">
        <v>45875.612500000003</v>
      </c>
      <c r="E428" s="2">
        <f t="shared" si="6"/>
        <v>52.8125</v>
      </c>
    </row>
    <row r="429" spans="1:5" x14ac:dyDescent="0.25">
      <c r="A429" t="s">
        <v>15</v>
      </c>
      <c r="B429" t="s">
        <v>38</v>
      </c>
      <c r="C429" s="1">
        <v>46232.938194444447</v>
      </c>
      <c r="D429" s="1">
        <v>46276.415277777778</v>
      </c>
      <c r="E429" s="2">
        <f t="shared" si="6"/>
        <v>43.477083333331393</v>
      </c>
    </row>
    <row r="430" spans="1:5" x14ac:dyDescent="0.25">
      <c r="A430" t="s">
        <v>8</v>
      </c>
      <c r="B430" t="s">
        <v>13</v>
      </c>
      <c r="C430" s="1">
        <v>45852.020833333343</v>
      </c>
      <c r="D430" s="1">
        <v>45892.79583333333</v>
      </c>
      <c r="E430" s="2">
        <f t="shared" si="6"/>
        <v>40.774999999986903</v>
      </c>
    </row>
    <row r="431" spans="1:5" x14ac:dyDescent="0.25">
      <c r="A431" t="s">
        <v>22</v>
      </c>
      <c r="B431" t="s">
        <v>14</v>
      </c>
      <c r="C431" s="1">
        <v>45929.566701388889</v>
      </c>
      <c r="D431" s="1">
        <v>45974.012499999997</v>
      </c>
      <c r="E431" s="2">
        <f t="shared" si="6"/>
        <v>44.44579861110833</v>
      </c>
    </row>
    <row r="432" spans="1:5" x14ac:dyDescent="0.25">
      <c r="A432" t="s">
        <v>15</v>
      </c>
      <c r="B432" t="s">
        <v>6</v>
      </c>
      <c r="C432" s="1">
        <v>46108.824999999997</v>
      </c>
      <c r="D432" s="1">
        <v>46184.916666666657</v>
      </c>
      <c r="E432" s="2">
        <f t="shared" si="6"/>
        <v>76.091666666659876</v>
      </c>
    </row>
    <row r="433" spans="1:5" x14ac:dyDescent="0.25">
      <c r="A433" t="s">
        <v>12</v>
      </c>
      <c r="B433" t="s">
        <v>13</v>
      </c>
      <c r="C433" s="1">
        <v>46192.33189814815</v>
      </c>
      <c r="D433" s="1">
        <v>46245.265277777777</v>
      </c>
      <c r="E433" s="2">
        <f t="shared" si="6"/>
        <v>52.93337962962687</v>
      </c>
    </row>
    <row r="434" spans="1:5" x14ac:dyDescent="0.25">
      <c r="A434" t="s">
        <v>27</v>
      </c>
      <c r="B434" t="s">
        <v>8</v>
      </c>
      <c r="C434" s="1">
        <v>45833.729166666657</v>
      </c>
      <c r="D434" s="1">
        <v>45889.556944444441</v>
      </c>
      <c r="E434" s="2">
        <f t="shared" si="6"/>
        <v>55.827777777783922</v>
      </c>
    </row>
    <row r="435" spans="1:5" x14ac:dyDescent="0.25">
      <c r="A435" t="s">
        <v>22</v>
      </c>
      <c r="B435" t="s">
        <v>19</v>
      </c>
      <c r="C435" s="1">
        <v>45908.334918981483</v>
      </c>
      <c r="D435" s="1">
        <v>45961.661469907413</v>
      </c>
      <c r="E435" s="2">
        <f t="shared" si="6"/>
        <v>53.326550925929041</v>
      </c>
    </row>
    <row r="436" spans="1:5" x14ac:dyDescent="0.25">
      <c r="A436" t="s">
        <v>23</v>
      </c>
      <c r="B436" t="s">
        <v>19</v>
      </c>
      <c r="C436" s="1">
        <v>45745.08320601852</v>
      </c>
      <c r="D436" s="1">
        <v>45778.993958333333</v>
      </c>
      <c r="E436" s="2">
        <f t="shared" si="6"/>
        <v>33.910752314812271</v>
      </c>
    </row>
    <row r="437" spans="1:5" x14ac:dyDescent="0.25">
      <c r="A437" t="s">
        <v>34</v>
      </c>
      <c r="B437" t="s">
        <v>13</v>
      </c>
      <c r="C437" s="1">
        <v>46057.396527777782</v>
      </c>
      <c r="D437" s="1">
        <v>46076.161111111112</v>
      </c>
      <c r="E437" s="2">
        <f t="shared" si="6"/>
        <v>18.764583333329938</v>
      </c>
    </row>
    <row r="438" spans="1:5" x14ac:dyDescent="0.25">
      <c r="A438" t="s">
        <v>5</v>
      </c>
      <c r="B438" t="s">
        <v>8</v>
      </c>
      <c r="C438" s="1">
        <v>46115.291666666657</v>
      </c>
      <c r="D438" s="1">
        <v>46188.845833333333</v>
      </c>
      <c r="E438" s="2">
        <f t="shared" si="6"/>
        <v>73.554166666675883</v>
      </c>
    </row>
    <row r="439" spans="1:5" x14ac:dyDescent="0.25">
      <c r="A439" t="s">
        <v>22</v>
      </c>
      <c r="B439" t="s">
        <v>6</v>
      </c>
      <c r="C439" s="1">
        <v>45852.130555555559</v>
      </c>
      <c r="D439" s="1">
        <v>45918.086805555547</v>
      </c>
      <c r="E439" s="2">
        <f t="shared" si="6"/>
        <v>65.956249999988358</v>
      </c>
    </row>
    <row r="440" spans="1:5" x14ac:dyDescent="0.25">
      <c r="A440" t="s">
        <v>9</v>
      </c>
      <c r="B440" t="s">
        <v>11</v>
      </c>
      <c r="C440" s="1">
        <v>46121.341666666667</v>
      </c>
      <c r="D440" s="1">
        <v>46175.283333333333</v>
      </c>
      <c r="E440" s="2">
        <f t="shared" si="6"/>
        <v>53.941666666665697</v>
      </c>
    </row>
    <row r="441" spans="1:5" x14ac:dyDescent="0.25">
      <c r="A441" t="s">
        <v>22</v>
      </c>
      <c r="B441" t="s">
        <v>19</v>
      </c>
      <c r="C441" s="1">
        <v>45913.750393518523</v>
      </c>
      <c r="D441" s="1">
        <v>45961.661469907413</v>
      </c>
      <c r="E441" s="2">
        <f t="shared" si="6"/>
        <v>47.911076388889342</v>
      </c>
    </row>
    <row r="442" spans="1:5" x14ac:dyDescent="0.25">
      <c r="A442" t="s">
        <v>22</v>
      </c>
      <c r="B442" t="s">
        <v>6</v>
      </c>
      <c r="C442" s="1">
        <v>45799.20652777778</v>
      </c>
      <c r="D442" s="1">
        <v>45872.409398148149</v>
      </c>
      <c r="E442" s="2">
        <f t="shared" si="6"/>
        <v>73.202870370369055</v>
      </c>
    </row>
    <row r="443" spans="1:5" x14ac:dyDescent="0.25">
      <c r="A443" t="s">
        <v>5</v>
      </c>
      <c r="B443" t="s">
        <v>8</v>
      </c>
      <c r="C443" s="1">
        <v>46121.404166666667</v>
      </c>
      <c r="D443" s="1">
        <v>46162.866666666669</v>
      </c>
      <c r="E443" s="2">
        <f t="shared" si="6"/>
        <v>41.462500000001455</v>
      </c>
    </row>
    <row r="444" spans="1:5" x14ac:dyDescent="0.25">
      <c r="A444" t="s">
        <v>5</v>
      </c>
      <c r="B444" t="s">
        <v>8</v>
      </c>
      <c r="C444" s="1">
        <v>45945.658333333333</v>
      </c>
      <c r="D444" s="1">
        <v>45993.345833333333</v>
      </c>
      <c r="E444" s="2">
        <f t="shared" si="6"/>
        <v>47.6875</v>
      </c>
    </row>
    <row r="445" spans="1:5" x14ac:dyDescent="0.25">
      <c r="A445" t="s">
        <v>10</v>
      </c>
      <c r="B445" t="s">
        <v>8</v>
      </c>
      <c r="C445" s="1">
        <v>45951.932638888888</v>
      </c>
      <c r="D445" s="1">
        <v>45978</v>
      </c>
      <c r="E445" s="2">
        <f t="shared" si="6"/>
        <v>26.067361111112405</v>
      </c>
    </row>
    <row r="446" spans="1:5" x14ac:dyDescent="0.25">
      <c r="A446" t="s">
        <v>13</v>
      </c>
      <c r="B446" t="s">
        <v>8</v>
      </c>
      <c r="C446" s="1">
        <v>45797.741666666669</v>
      </c>
      <c r="D446" s="1">
        <v>45824.51458333333</v>
      </c>
      <c r="E446" s="2">
        <f t="shared" si="6"/>
        <v>26.772916666661331</v>
      </c>
    </row>
    <row r="447" spans="1:5" x14ac:dyDescent="0.25">
      <c r="A447" t="s">
        <v>22</v>
      </c>
      <c r="B447" t="s">
        <v>19</v>
      </c>
      <c r="C447" s="1">
        <v>45831.472916666673</v>
      </c>
      <c r="D447" s="1">
        <v>45886.305555555547</v>
      </c>
      <c r="E447" s="2">
        <f t="shared" si="6"/>
        <v>54.832638888874499</v>
      </c>
    </row>
    <row r="448" spans="1:5" x14ac:dyDescent="0.25">
      <c r="A448" t="s">
        <v>12</v>
      </c>
      <c r="B448" t="s">
        <v>18</v>
      </c>
      <c r="C448" s="1">
        <v>45958.915277777778</v>
      </c>
      <c r="D448" s="1">
        <v>46035.51666666667</v>
      </c>
      <c r="E448" s="2">
        <f t="shared" si="6"/>
        <v>76.601388888891961</v>
      </c>
    </row>
    <row r="449" spans="1:5" x14ac:dyDescent="0.25">
      <c r="A449" t="s">
        <v>8</v>
      </c>
      <c r="B449" t="s">
        <v>13</v>
      </c>
      <c r="C449" s="1">
        <v>45722.200694444437</v>
      </c>
      <c r="D449" s="1">
        <v>45762.691666666673</v>
      </c>
      <c r="E449" s="2">
        <f t="shared" si="6"/>
        <v>40.490972222236451</v>
      </c>
    </row>
    <row r="450" spans="1:5" x14ac:dyDescent="0.25">
      <c r="A450" t="s">
        <v>20</v>
      </c>
      <c r="B450" t="s">
        <v>8</v>
      </c>
      <c r="C450" s="1">
        <v>46214.8125</v>
      </c>
      <c r="D450" s="1">
        <v>46247.326388888891</v>
      </c>
      <c r="E450" s="2">
        <f t="shared" ref="E450:E513" si="7">D450-C450</f>
        <v>32.513888888890506</v>
      </c>
    </row>
    <row r="451" spans="1:5" x14ac:dyDescent="0.25">
      <c r="A451" t="s">
        <v>7</v>
      </c>
      <c r="B451" t="s">
        <v>13</v>
      </c>
      <c r="C451" s="1">
        <v>45869.5</v>
      </c>
      <c r="D451" s="1">
        <v>45911.708333333343</v>
      </c>
      <c r="E451" s="2">
        <f t="shared" si="7"/>
        <v>42.208333333343035</v>
      </c>
    </row>
    <row r="452" spans="1:5" x14ac:dyDescent="0.25">
      <c r="A452" t="s">
        <v>12</v>
      </c>
      <c r="B452" t="s">
        <v>13</v>
      </c>
      <c r="C452" s="1">
        <v>45733.666666666657</v>
      </c>
      <c r="D452" s="1">
        <v>45777.879166666673</v>
      </c>
      <c r="E452" s="2">
        <f t="shared" si="7"/>
        <v>44.212500000016007</v>
      </c>
    </row>
    <row r="453" spans="1:5" x14ac:dyDescent="0.25">
      <c r="A453" t="s">
        <v>22</v>
      </c>
      <c r="B453" t="s">
        <v>19</v>
      </c>
      <c r="C453" s="1">
        <v>46223.229166666657</v>
      </c>
      <c r="D453" s="1">
        <v>46261.552777777782</v>
      </c>
      <c r="E453" s="2">
        <f t="shared" si="7"/>
        <v>38.323611111125501</v>
      </c>
    </row>
    <row r="454" spans="1:5" x14ac:dyDescent="0.25">
      <c r="A454" t="s">
        <v>16</v>
      </c>
      <c r="B454" t="s">
        <v>8</v>
      </c>
      <c r="C454" s="1">
        <v>45744.76666666667</v>
      </c>
      <c r="D454" s="1">
        <v>45791.914583333331</v>
      </c>
      <c r="E454" s="2">
        <f t="shared" si="7"/>
        <v>47.147916666661331</v>
      </c>
    </row>
    <row r="455" spans="1:5" x14ac:dyDescent="0.25">
      <c r="A455" t="s">
        <v>8</v>
      </c>
      <c r="B455" t="s">
        <v>13</v>
      </c>
      <c r="C455" s="1">
        <v>45729.666666666657</v>
      </c>
      <c r="D455" s="1">
        <v>45739.095833333333</v>
      </c>
      <c r="E455" s="2">
        <f t="shared" si="7"/>
        <v>9.4291666666758829</v>
      </c>
    </row>
    <row r="456" spans="1:5" x14ac:dyDescent="0.25">
      <c r="A456" t="s">
        <v>6</v>
      </c>
      <c r="B456" t="s">
        <v>8</v>
      </c>
      <c r="C456" s="1">
        <v>45905.68472222222</v>
      </c>
      <c r="D456" s="1">
        <v>45944.317361111112</v>
      </c>
      <c r="E456" s="2">
        <f t="shared" si="7"/>
        <v>38.632638888891961</v>
      </c>
    </row>
    <row r="457" spans="1:5" x14ac:dyDescent="0.25">
      <c r="A457" t="s">
        <v>23</v>
      </c>
      <c r="B457" t="s">
        <v>18</v>
      </c>
      <c r="C457" s="1">
        <v>46090.923611111109</v>
      </c>
      <c r="D457" s="1">
        <v>46143.875</v>
      </c>
      <c r="E457" s="2">
        <f t="shared" si="7"/>
        <v>52.951388888890506</v>
      </c>
    </row>
    <row r="458" spans="1:5" x14ac:dyDescent="0.25">
      <c r="A458" t="s">
        <v>12</v>
      </c>
      <c r="B458" t="s">
        <v>18</v>
      </c>
      <c r="C458" s="1">
        <v>45667.296527777777</v>
      </c>
      <c r="D458" s="1">
        <v>45727.680555555547</v>
      </c>
      <c r="E458" s="2">
        <f t="shared" si="7"/>
        <v>60.384027777770825</v>
      </c>
    </row>
    <row r="459" spans="1:5" x14ac:dyDescent="0.25">
      <c r="A459" t="s">
        <v>12</v>
      </c>
      <c r="B459" t="s">
        <v>13</v>
      </c>
      <c r="C459" s="1">
        <v>45933.466666666667</v>
      </c>
      <c r="D459" s="1">
        <v>45983.504166666673</v>
      </c>
      <c r="E459" s="2">
        <f t="shared" si="7"/>
        <v>50.037500000005821</v>
      </c>
    </row>
    <row r="460" spans="1:5" x14ac:dyDescent="0.25">
      <c r="A460" t="s">
        <v>40</v>
      </c>
      <c r="B460" t="s">
        <v>37</v>
      </c>
      <c r="C460" s="1">
        <v>45730.116666666669</v>
      </c>
      <c r="D460" s="1">
        <v>45742.283333333333</v>
      </c>
      <c r="E460" s="2">
        <f t="shared" si="7"/>
        <v>12.166666666664241</v>
      </c>
    </row>
    <row r="461" spans="1:5" x14ac:dyDescent="0.25">
      <c r="A461" t="s">
        <v>8</v>
      </c>
      <c r="B461" t="s">
        <v>18</v>
      </c>
      <c r="C461" s="1">
        <v>46114.920138888891</v>
      </c>
      <c r="D461" s="1">
        <v>46149.688888888893</v>
      </c>
      <c r="E461" s="2">
        <f t="shared" si="7"/>
        <v>34.76875000000291</v>
      </c>
    </row>
    <row r="462" spans="1:5" x14ac:dyDescent="0.25">
      <c r="A462" t="s">
        <v>42</v>
      </c>
      <c r="B462" t="s">
        <v>19</v>
      </c>
      <c r="C462" s="1">
        <v>45925.651192129633</v>
      </c>
      <c r="D462" s="1">
        <v>45980.32916666667</v>
      </c>
      <c r="E462" s="2">
        <f t="shared" si="7"/>
        <v>54.677974537036789</v>
      </c>
    </row>
    <row r="463" spans="1:5" x14ac:dyDescent="0.25">
      <c r="A463" t="s">
        <v>8</v>
      </c>
      <c r="B463" t="s">
        <v>18</v>
      </c>
      <c r="C463" s="1">
        <v>46108.068055555559</v>
      </c>
      <c r="D463" s="1">
        <v>46135.934027777781</v>
      </c>
      <c r="E463" s="2">
        <f t="shared" si="7"/>
        <v>27.865972222221899</v>
      </c>
    </row>
    <row r="464" spans="1:5" x14ac:dyDescent="0.25">
      <c r="A464" t="s">
        <v>22</v>
      </c>
      <c r="B464" t="s">
        <v>19</v>
      </c>
      <c r="C464" s="1">
        <v>45838.040972222218</v>
      </c>
      <c r="D464" s="1">
        <v>45890.80972222222</v>
      </c>
      <c r="E464" s="2">
        <f t="shared" si="7"/>
        <v>52.76875000000291</v>
      </c>
    </row>
    <row r="465" spans="1:5" x14ac:dyDescent="0.25">
      <c r="A465" t="s">
        <v>7</v>
      </c>
      <c r="B465" t="s">
        <v>25</v>
      </c>
      <c r="C465" s="1">
        <v>46216.816666666673</v>
      </c>
      <c r="D465" s="1">
        <v>46280.880555555559</v>
      </c>
      <c r="E465" s="2">
        <f t="shared" si="7"/>
        <v>64.06388888888614</v>
      </c>
    </row>
    <row r="466" spans="1:5" x14ac:dyDescent="0.25">
      <c r="A466" t="s">
        <v>14</v>
      </c>
      <c r="B466" t="s">
        <v>22</v>
      </c>
      <c r="C466" s="1">
        <v>45760.90625</v>
      </c>
      <c r="D466" s="1">
        <v>45808.809548611112</v>
      </c>
      <c r="E466" s="2">
        <f t="shared" si="7"/>
        <v>47.903298611112405</v>
      </c>
    </row>
    <row r="467" spans="1:5" x14ac:dyDescent="0.25">
      <c r="A467" t="s">
        <v>22</v>
      </c>
      <c r="B467" t="s">
        <v>19</v>
      </c>
      <c r="C467" s="1">
        <v>45873.851388888892</v>
      </c>
      <c r="D467" s="1">
        <v>45931.597916666673</v>
      </c>
      <c r="E467" s="2">
        <f t="shared" si="7"/>
        <v>57.746527777781012</v>
      </c>
    </row>
    <row r="468" spans="1:5" x14ac:dyDescent="0.25">
      <c r="A468" t="s">
        <v>22</v>
      </c>
      <c r="B468" t="s">
        <v>51</v>
      </c>
      <c r="C468" s="1">
        <v>45748.1875</v>
      </c>
      <c r="D468" s="1">
        <v>45802</v>
      </c>
      <c r="E468" s="2">
        <f t="shared" si="7"/>
        <v>53.8125</v>
      </c>
    </row>
    <row r="469" spans="1:5" x14ac:dyDescent="0.25">
      <c r="A469" t="s">
        <v>15</v>
      </c>
      <c r="B469" t="s">
        <v>18</v>
      </c>
      <c r="C469" s="1">
        <v>45682.914583333331</v>
      </c>
      <c r="D469" s="1">
        <v>45730.976388888892</v>
      </c>
      <c r="E469" s="2">
        <f t="shared" si="7"/>
        <v>48.061805555560568</v>
      </c>
    </row>
    <row r="470" spans="1:5" x14ac:dyDescent="0.25">
      <c r="A470" t="s">
        <v>22</v>
      </c>
      <c r="B470" t="s">
        <v>51</v>
      </c>
      <c r="C470" s="1">
        <v>45852.130555555559</v>
      </c>
      <c r="D470" s="1">
        <v>45902.007638888892</v>
      </c>
      <c r="E470" s="2">
        <f t="shared" si="7"/>
        <v>49.877083333332848</v>
      </c>
    </row>
    <row r="471" spans="1:5" x14ac:dyDescent="0.25">
      <c r="A471" t="s">
        <v>22</v>
      </c>
      <c r="B471" t="s">
        <v>19</v>
      </c>
      <c r="C471" s="1">
        <v>45698.170138888891</v>
      </c>
      <c r="D471" s="1">
        <v>45760.508333333331</v>
      </c>
      <c r="E471" s="2">
        <f t="shared" si="7"/>
        <v>62.338194444440887</v>
      </c>
    </row>
    <row r="472" spans="1:5" x14ac:dyDescent="0.25">
      <c r="A472" t="s">
        <v>22</v>
      </c>
      <c r="B472" t="s">
        <v>36</v>
      </c>
      <c r="C472" s="1">
        <v>45698.170138888891</v>
      </c>
      <c r="D472" s="1">
        <v>45760.508333333331</v>
      </c>
      <c r="E472" s="2">
        <f t="shared" si="7"/>
        <v>62.338194444440887</v>
      </c>
    </row>
    <row r="473" spans="1:5" x14ac:dyDescent="0.25">
      <c r="A473" t="s">
        <v>22</v>
      </c>
      <c r="B473" t="s">
        <v>51</v>
      </c>
      <c r="C473" s="1">
        <v>45943.082638888889</v>
      </c>
      <c r="D473" s="1">
        <v>45999.29583333333</v>
      </c>
      <c r="E473" s="2">
        <f t="shared" si="7"/>
        <v>56.213194444440887</v>
      </c>
    </row>
    <row r="474" spans="1:5" x14ac:dyDescent="0.25">
      <c r="A474" t="s">
        <v>22</v>
      </c>
      <c r="B474" t="s">
        <v>53</v>
      </c>
      <c r="C474" s="1">
        <v>45665.796157407407</v>
      </c>
      <c r="D474" s="1">
        <v>45734.253425925926</v>
      </c>
      <c r="E474" s="2">
        <f t="shared" si="7"/>
        <v>68.457268518519413</v>
      </c>
    </row>
    <row r="475" spans="1:5" x14ac:dyDescent="0.25">
      <c r="A475" t="s">
        <v>15</v>
      </c>
      <c r="B475" t="s">
        <v>38</v>
      </c>
      <c r="C475" s="1">
        <v>46130.340416666673</v>
      </c>
      <c r="D475" s="1">
        <v>46174.655555555553</v>
      </c>
      <c r="E475" s="2">
        <f t="shared" si="7"/>
        <v>44.315138888880028</v>
      </c>
    </row>
    <row r="476" spans="1:5" x14ac:dyDescent="0.25">
      <c r="A476" t="s">
        <v>15</v>
      </c>
      <c r="B476" t="s">
        <v>13</v>
      </c>
      <c r="C476" s="1">
        <v>46057.854166666657</v>
      </c>
      <c r="D476" s="1">
        <v>46104.811111111107</v>
      </c>
      <c r="E476" s="2">
        <f t="shared" si="7"/>
        <v>46.956944444449618</v>
      </c>
    </row>
    <row r="477" spans="1:5" x14ac:dyDescent="0.25">
      <c r="A477" t="s">
        <v>7</v>
      </c>
      <c r="B477" t="s">
        <v>8</v>
      </c>
      <c r="C477" s="1">
        <v>45891.654166666667</v>
      </c>
      <c r="D477" s="1">
        <v>45938.662499999999</v>
      </c>
      <c r="E477" s="2">
        <f t="shared" si="7"/>
        <v>47.008333333331393</v>
      </c>
    </row>
    <row r="478" spans="1:5" x14ac:dyDescent="0.25">
      <c r="A478" t="s">
        <v>22</v>
      </c>
      <c r="B478" t="s">
        <v>19</v>
      </c>
      <c r="C478" s="1">
        <v>45953.311423611107</v>
      </c>
      <c r="D478" s="1">
        <v>46002.550821759258</v>
      </c>
      <c r="E478" s="2">
        <f t="shared" si="7"/>
        <v>49.23939814815094</v>
      </c>
    </row>
    <row r="479" spans="1:5" x14ac:dyDescent="0.25">
      <c r="A479" t="s">
        <v>9</v>
      </c>
      <c r="B479" t="s">
        <v>8</v>
      </c>
      <c r="C479" s="1">
        <v>45869.991666666669</v>
      </c>
      <c r="D479" s="1">
        <v>45912.762499999997</v>
      </c>
      <c r="E479" s="2">
        <f t="shared" si="7"/>
        <v>42.770833333328483</v>
      </c>
    </row>
    <row r="480" spans="1:5" x14ac:dyDescent="0.25">
      <c r="A480" t="s">
        <v>14</v>
      </c>
      <c r="B480" t="s">
        <v>22</v>
      </c>
      <c r="C480" s="1">
        <v>45690.559027777781</v>
      </c>
      <c r="D480" s="1">
        <v>45739.333333333343</v>
      </c>
      <c r="E480" s="2">
        <f t="shared" si="7"/>
        <v>48.774305555562023</v>
      </c>
    </row>
    <row r="481" spans="1:5" x14ac:dyDescent="0.25">
      <c r="A481" t="s">
        <v>15</v>
      </c>
      <c r="B481" t="s">
        <v>13</v>
      </c>
      <c r="C481" s="1">
        <v>46064.895833333343</v>
      </c>
      <c r="D481" s="1">
        <v>46115.525694444441</v>
      </c>
      <c r="E481" s="2">
        <f t="shared" si="7"/>
        <v>50.629861111097853</v>
      </c>
    </row>
    <row r="482" spans="1:5" x14ac:dyDescent="0.25">
      <c r="A482" t="s">
        <v>10</v>
      </c>
      <c r="B482" t="s">
        <v>11</v>
      </c>
      <c r="C482" s="1">
        <v>46076.787499999999</v>
      </c>
      <c r="D482" s="1">
        <v>46106.112500000003</v>
      </c>
      <c r="E482" s="2">
        <f t="shared" si="7"/>
        <v>29.325000000004366</v>
      </c>
    </row>
    <row r="483" spans="1:5" x14ac:dyDescent="0.25">
      <c r="A483" t="s">
        <v>7</v>
      </c>
      <c r="B483" t="s">
        <v>11</v>
      </c>
      <c r="C483" s="1">
        <v>45694.807638888888</v>
      </c>
      <c r="D483" s="1">
        <v>45769.915972222218</v>
      </c>
      <c r="E483" s="2">
        <f t="shared" si="7"/>
        <v>75.108333333329938</v>
      </c>
    </row>
    <row r="484" spans="1:5" x14ac:dyDescent="0.25">
      <c r="A484" t="s">
        <v>20</v>
      </c>
      <c r="B484" t="s">
        <v>8</v>
      </c>
      <c r="C484" s="1">
        <v>45934.820833333331</v>
      </c>
      <c r="D484" s="1">
        <v>45966.770833333343</v>
      </c>
      <c r="E484" s="2">
        <f t="shared" si="7"/>
        <v>31.950000000011642</v>
      </c>
    </row>
    <row r="485" spans="1:5" x14ac:dyDescent="0.25">
      <c r="A485" t="s">
        <v>6</v>
      </c>
      <c r="B485" t="s">
        <v>8</v>
      </c>
      <c r="C485" s="1">
        <v>45897.177777777782</v>
      </c>
      <c r="D485" s="1">
        <v>45937.532638888893</v>
      </c>
      <c r="E485" s="2">
        <f t="shared" si="7"/>
        <v>40.354861111110949</v>
      </c>
    </row>
    <row r="486" spans="1:5" x14ac:dyDescent="0.25">
      <c r="A486" t="s">
        <v>22</v>
      </c>
      <c r="B486" t="s">
        <v>19</v>
      </c>
      <c r="C486" s="1">
        <v>46048.46597222222</v>
      </c>
      <c r="D486" s="1">
        <v>46115.28125</v>
      </c>
      <c r="E486" s="2">
        <f t="shared" si="7"/>
        <v>66.815277777779556</v>
      </c>
    </row>
    <row r="487" spans="1:5" x14ac:dyDescent="0.25">
      <c r="A487" t="s">
        <v>5</v>
      </c>
      <c r="B487" t="s">
        <v>8</v>
      </c>
      <c r="C487" s="1">
        <v>45967.658333333333</v>
      </c>
      <c r="D487" s="1">
        <v>46003.89166666667</v>
      </c>
      <c r="E487" s="2">
        <f t="shared" si="7"/>
        <v>36.233333333337214</v>
      </c>
    </row>
    <row r="488" spans="1:5" x14ac:dyDescent="0.25">
      <c r="A488" t="s">
        <v>5</v>
      </c>
      <c r="B488" t="s">
        <v>8</v>
      </c>
      <c r="C488" s="1">
        <v>45952.57916666667</v>
      </c>
      <c r="D488" s="1">
        <v>45993.345833333333</v>
      </c>
      <c r="E488" s="2">
        <f t="shared" si="7"/>
        <v>40.766666666662786</v>
      </c>
    </row>
    <row r="489" spans="1:5" x14ac:dyDescent="0.25">
      <c r="A489" t="s">
        <v>7</v>
      </c>
      <c r="B489" t="s">
        <v>11</v>
      </c>
      <c r="C489" s="1">
        <v>46042.912499999999</v>
      </c>
      <c r="D489" s="1">
        <v>46112.7</v>
      </c>
      <c r="E489" s="2">
        <f t="shared" si="7"/>
        <v>69.787499999998545</v>
      </c>
    </row>
    <row r="490" spans="1:5" x14ac:dyDescent="0.25">
      <c r="A490" t="s">
        <v>5</v>
      </c>
      <c r="B490" t="s">
        <v>8</v>
      </c>
      <c r="C490" s="1">
        <v>46049.5</v>
      </c>
      <c r="D490" s="1">
        <v>46091.345833333333</v>
      </c>
      <c r="E490" s="2">
        <f t="shared" si="7"/>
        <v>41.845833333332848</v>
      </c>
    </row>
    <row r="491" spans="1:5" x14ac:dyDescent="0.25">
      <c r="A491" t="s">
        <v>22</v>
      </c>
      <c r="B491" t="s">
        <v>52</v>
      </c>
      <c r="C491" s="1">
        <v>46188.895833333343</v>
      </c>
      <c r="D491" s="1">
        <v>46238.279166666667</v>
      </c>
      <c r="E491" s="2">
        <f t="shared" si="7"/>
        <v>49.383333333324117</v>
      </c>
    </row>
    <row r="492" spans="1:5" x14ac:dyDescent="0.25">
      <c r="A492" t="s">
        <v>35</v>
      </c>
      <c r="B492" t="s">
        <v>13</v>
      </c>
      <c r="C492" s="1">
        <v>46127.958333333343</v>
      </c>
      <c r="D492" s="1">
        <v>46174.445833333331</v>
      </c>
      <c r="E492" s="2">
        <f t="shared" si="7"/>
        <v>46.487499999988358</v>
      </c>
    </row>
    <row r="493" spans="1:5" x14ac:dyDescent="0.25">
      <c r="A493" t="s">
        <v>10</v>
      </c>
      <c r="B493" t="s">
        <v>11</v>
      </c>
      <c r="C493" s="1">
        <v>46032.75277777778</v>
      </c>
      <c r="D493" s="1">
        <v>46063.525000000001</v>
      </c>
      <c r="E493" s="2">
        <f t="shared" si="7"/>
        <v>30.772222222221899</v>
      </c>
    </row>
    <row r="494" spans="1:5" x14ac:dyDescent="0.25">
      <c r="A494" t="s">
        <v>34</v>
      </c>
      <c r="B494" t="s">
        <v>13</v>
      </c>
      <c r="C494" s="1">
        <v>45928.758333333331</v>
      </c>
      <c r="D494" s="1">
        <v>45953.720833333333</v>
      </c>
      <c r="E494" s="2">
        <f t="shared" si="7"/>
        <v>24.962500000001455</v>
      </c>
    </row>
    <row r="495" spans="1:5" x14ac:dyDescent="0.25">
      <c r="A495" t="s">
        <v>12</v>
      </c>
      <c r="B495" t="s">
        <v>13</v>
      </c>
      <c r="C495" s="1">
        <v>46012.541666666657</v>
      </c>
      <c r="D495" s="1">
        <v>46059.751388888893</v>
      </c>
      <c r="E495" s="2">
        <f t="shared" si="7"/>
        <v>47.209722222236451</v>
      </c>
    </row>
    <row r="496" spans="1:5" x14ac:dyDescent="0.25">
      <c r="A496" t="s">
        <v>17</v>
      </c>
      <c r="B496" t="s">
        <v>18</v>
      </c>
      <c r="C496" s="1">
        <v>45680.722916666673</v>
      </c>
      <c r="D496" s="1">
        <v>45732.921527777777</v>
      </c>
      <c r="E496" s="2">
        <f t="shared" si="7"/>
        <v>52.198611111103673</v>
      </c>
    </row>
    <row r="497" spans="1:5" x14ac:dyDescent="0.25">
      <c r="A497" t="s">
        <v>8</v>
      </c>
      <c r="B497" t="s">
        <v>18</v>
      </c>
      <c r="C497" s="1">
        <v>46093.904861111107</v>
      </c>
      <c r="D497" s="1">
        <v>46129.805555555547</v>
      </c>
      <c r="E497" s="2">
        <f t="shared" si="7"/>
        <v>35.900694444440887</v>
      </c>
    </row>
    <row r="498" spans="1:5" x14ac:dyDescent="0.25">
      <c r="A498" t="s">
        <v>22</v>
      </c>
      <c r="B498" t="s">
        <v>19</v>
      </c>
      <c r="C498" s="1">
        <v>46048.46597222222</v>
      </c>
      <c r="D498" s="1">
        <v>46115.28125</v>
      </c>
      <c r="E498" s="2">
        <f t="shared" si="7"/>
        <v>66.815277777779556</v>
      </c>
    </row>
    <row r="499" spans="1:5" x14ac:dyDescent="0.25">
      <c r="A499" t="s">
        <v>13</v>
      </c>
      <c r="B499" t="s">
        <v>8</v>
      </c>
      <c r="C499" s="1">
        <v>46147.353773148148</v>
      </c>
      <c r="D499" s="1">
        <v>46163.577777777777</v>
      </c>
      <c r="E499" s="2">
        <f t="shared" si="7"/>
        <v>16.224004629628325</v>
      </c>
    </row>
    <row r="500" spans="1:5" x14ac:dyDescent="0.25">
      <c r="A500" t="s">
        <v>20</v>
      </c>
      <c r="B500" t="s">
        <v>8</v>
      </c>
      <c r="C500" s="1">
        <v>46236.237500000003</v>
      </c>
      <c r="D500" s="1">
        <v>46285.237222222233</v>
      </c>
      <c r="E500" s="2">
        <f t="shared" si="7"/>
        <v>48.999722222230048</v>
      </c>
    </row>
    <row r="501" spans="1:5" x14ac:dyDescent="0.25">
      <c r="A501" t="s">
        <v>22</v>
      </c>
      <c r="B501" t="s">
        <v>51</v>
      </c>
      <c r="C501" s="1">
        <v>46161.184027777781</v>
      </c>
      <c r="D501" s="1">
        <v>46217.973611111112</v>
      </c>
      <c r="E501" s="2">
        <f t="shared" si="7"/>
        <v>56.789583333331393</v>
      </c>
    </row>
    <row r="502" spans="1:5" x14ac:dyDescent="0.25">
      <c r="A502" t="s">
        <v>10</v>
      </c>
      <c r="B502" t="s">
        <v>8</v>
      </c>
      <c r="C502" s="1">
        <v>46140.763888888891</v>
      </c>
      <c r="D502" s="1">
        <v>46160.583333333343</v>
      </c>
      <c r="E502" s="2">
        <f t="shared" si="7"/>
        <v>19.819444444452529</v>
      </c>
    </row>
    <row r="503" spans="1:5" x14ac:dyDescent="0.25">
      <c r="A503" t="s">
        <v>15</v>
      </c>
      <c r="B503" t="s">
        <v>13</v>
      </c>
      <c r="C503" s="1">
        <v>45736.588194444441</v>
      </c>
      <c r="D503" s="1">
        <v>45779.649305555547</v>
      </c>
      <c r="E503" s="2">
        <f t="shared" si="7"/>
        <v>43.061111111106584</v>
      </c>
    </row>
    <row r="504" spans="1:5" x14ac:dyDescent="0.25">
      <c r="A504" t="s">
        <v>22</v>
      </c>
      <c r="B504" t="s">
        <v>6</v>
      </c>
      <c r="C504" s="1">
        <v>45865.990277777782</v>
      </c>
      <c r="D504" s="1">
        <v>45932.364583333343</v>
      </c>
      <c r="E504" s="2">
        <f t="shared" si="7"/>
        <v>66.374305555560568</v>
      </c>
    </row>
    <row r="505" spans="1:5" x14ac:dyDescent="0.25">
      <c r="A505" t="s">
        <v>5</v>
      </c>
      <c r="B505" t="s">
        <v>8</v>
      </c>
      <c r="C505" s="1">
        <v>46093.616666666669</v>
      </c>
      <c r="D505" s="1">
        <v>46141.354166666657</v>
      </c>
      <c r="E505" s="2">
        <f t="shared" si="7"/>
        <v>47.737499999988358</v>
      </c>
    </row>
    <row r="506" spans="1:5" x14ac:dyDescent="0.25">
      <c r="A506" t="s">
        <v>22</v>
      </c>
      <c r="B506" t="s">
        <v>51</v>
      </c>
      <c r="C506" s="1">
        <v>46161.184027777781</v>
      </c>
      <c r="D506" s="1">
        <v>46217.973611111112</v>
      </c>
      <c r="E506" s="2">
        <f t="shared" si="7"/>
        <v>56.789583333331393</v>
      </c>
    </row>
    <row r="507" spans="1:5" x14ac:dyDescent="0.25">
      <c r="A507" t="s">
        <v>10</v>
      </c>
      <c r="B507" t="s">
        <v>11</v>
      </c>
      <c r="C507" s="1">
        <v>45843.467569444438</v>
      </c>
      <c r="D507" s="1">
        <v>45874.970833333333</v>
      </c>
      <c r="E507" s="2">
        <f t="shared" si="7"/>
        <v>31.503263888895162</v>
      </c>
    </row>
    <row r="508" spans="1:5" x14ac:dyDescent="0.25">
      <c r="A508" t="s">
        <v>13</v>
      </c>
      <c r="B508" t="s">
        <v>8</v>
      </c>
      <c r="C508" s="1">
        <v>45778.083333333343</v>
      </c>
      <c r="D508" s="1">
        <v>45803.341666666667</v>
      </c>
      <c r="E508" s="2">
        <f t="shared" si="7"/>
        <v>25.258333333324117</v>
      </c>
    </row>
    <row r="509" spans="1:5" x14ac:dyDescent="0.25">
      <c r="A509" t="s">
        <v>22</v>
      </c>
      <c r="B509" t="s">
        <v>19</v>
      </c>
      <c r="C509" s="1">
        <v>45957.61041666667</v>
      </c>
      <c r="D509" s="1">
        <v>46011.899305555547</v>
      </c>
      <c r="E509" s="2">
        <f t="shared" si="7"/>
        <v>54.288888888877409</v>
      </c>
    </row>
    <row r="510" spans="1:5" x14ac:dyDescent="0.25">
      <c r="A510" t="s">
        <v>22</v>
      </c>
      <c r="B510" t="s">
        <v>51</v>
      </c>
      <c r="C510" s="1">
        <v>45998.75</v>
      </c>
      <c r="D510" s="1">
        <v>46075.638888888891</v>
      </c>
      <c r="E510" s="2">
        <f t="shared" si="7"/>
        <v>76.888888888890506</v>
      </c>
    </row>
    <row r="511" spans="1:5" x14ac:dyDescent="0.25">
      <c r="A511" t="s">
        <v>22</v>
      </c>
      <c r="B511" t="s">
        <v>19</v>
      </c>
      <c r="C511" s="1">
        <v>46124.74722222222</v>
      </c>
      <c r="D511" s="1">
        <v>46176.294444444437</v>
      </c>
      <c r="E511" s="2">
        <f t="shared" si="7"/>
        <v>51.547222222216078</v>
      </c>
    </row>
    <row r="512" spans="1:5" x14ac:dyDescent="0.25">
      <c r="A512" t="s">
        <v>22</v>
      </c>
      <c r="B512" t="s">
        <v>19</v>
      </c>
      <c r="C512" s="1">
        <v>45978.134722222218</v>
      </c>
      <c r="D512" s="1">
        <v>46031.813888888893</v>
      </c>
      <c r="E512" s="2">
        <f t="shared" si="7"/>
        <v>53.679166666675883</v>
      </c>
    </row>
    <row r="513" spans="1:5" x14ac:dyDescent="0.25">
      <c r="A513" t="s">
        <v>34</v>
      </c>
      <c r="B513" t="s">
        <v>8</v>
      </c>
      <c r="C513" s="1">
        <v>46202.375</v>
      </c>
      <c r="D513" s="1">
        <v>46232.945138888892</v>
      </c>
      <c r="E513" s="2">
        <f t="shared" si="7"/>
        <v>30.570138888891961</v>
      </c>
    </row>
    <row r="514" spans="1:5" x14ac:dyDescent="0.25">
      <c r="A514" t="s">
        <v>22</v>
      </c>
      <c r="B514" t="s">
        <v>19</v>
      </c>
      <c r="C514" s="1">
        <v>45705.035416666673</v>
      </c>
      <c r="D514" s="1">
        <v>45773.758333333331</v>
      </c>
      <c r="E514" s="2">
        <f t="shared" ref="E514:E577" si="8">D514-C514</f>
        <v>68.722916666658421</v>
      </c>
    </row>
    <row r="515" spans="1:5" x14ac:dyDescent="0.25">
      <c r="A515" t="s">
        <v>15</v>
      </c>
      <c r="B515" t="s">
        <v>18</v>
      </c>
      <c r="C515" s="1">
        <v>45699.895833333343</v>
      </c>
      <c r="D515" s="1">
        <v>45747.246527777781</v>
      </c>
      <c r="E515" s="2">
        <f t="shared" si="8"/>
        <v>47.350694444437977</v>
      </c>
    </row>
    <row r="516" spans="1:5" x14ac:dyDescent="0.25">
      <c r="A516" t="s">
        <v>22</v>
      </c>
      <c r="B516" t="s">
        <v>19</v>
      </c>
      <c r="C516" s="1">
        <v>45831.472916666673</v>
      </c>
      <c r="D516" s="1">
        <v>45886.305555555547</v>
      </c>
      <c r="E516" s="2">
        <f t="shared" si="8"/>
        <v>54.832638888874499</v>
      </c>
    </row>
    <row r="517" spans="1:5" x14ac:dyDescent="0.25">
      <c r="A517" t="s">
        <v>15</v>
      </c>
      <c r="B517" t="s">
        <v>38</v>
      </c>
      <c r="C517" s="1">
        <v>46136.787268518521</v>
      </c>
      <c r="D517" s="1">
        <v>46183.841666666667</v>
      </c>
      <c r="E517" s="2">
        <f t="shared" si="8"/>
        <v>47.054398148145992</v>
      </c>
    </row>
    <row r="518" spans="1:5" x14ac:dyDescent="0.25">
      <c r="A518" t="s">
        <v>22</v>
      </c>
      <c r="B518" t="s">
        <v>19</v>
      </c>
      <c r="C518" s="1">
        <v>46110.847222222219</v>
      </c>
      <c r="D518" s="1">
        <v>46162.300694444442</v>
      </c>
      <c r="E518" s="2">
        <f t="shared" si="8"/>
        <v>51.453472222223354</v>
      </c>
    </row>
    <row r="519" spans="1:5" x14ac:dyDescent="0.25">
      <c r="A519" t="s">
        <v>7</v>
      </c>
      <c r="B519" t="s">
        <v>8</v>
      </c>
      <c r="C519" s="1">
        <v>45822.8</v>
      </c>
      <c r="D519" s="1">
        <v>45875.612500000003</v>
      </c>
      <c r="E519" s="2">
        <f t="shared" si="8"/>
        <v>52.8125</v>
      </c>
    </row>
    <row r="520" spans="1:5" x14ac:dyDescent="0.25">
      <c r="A520" t="s">
        <v>12</v>
      </c>
      <c r="B520" t="s">
        <v>18</v>
      </c>
      <c r="C520" s="1">
        <v>45879</v>
      </c>
      <c r="D520" s="1">
        <v>45948</v>
      </c>
      <c r="E520" s="2">
        <f t="shared" si="8"/>
        <v>69</v>
      </c>
    </row>
    <row r="521" spans="1:5" x14ac:dyDescent="0.25">
      <c r="A521" t="s">
        <v>22</v>
      </c>
      <c r="B521" t="s">
        <v>51</v>
      </c>
      <c r="C521" s="1">
        <v>45991.995833333327</v>
      </c>
      <c r="D521" s="1">
        <v>46059.406944444447</v>
      </c>
      <c r="E521" s="2">
        <f t="shared" si="8"/>
        <v>67.411111111119681</v>
      </c>
    </row>
    <row r="522" spans="1:5" x14ac:dyDescent="0.25">
      <c r="A522" t="s">
        <v>8</v>
      </c>
      <c r="B522" t="s">
        <v>18</v>
      </c>
      <c r="C522" s="1">
        <v>46051.750694444447</v>
      </c>
      <c r="D522" s="1">
        <v>46089.246527777781</v>
      </c>
      <c r="E522" s="2">
        <f t="shared" si="8"/>
        <v>37.495833333334303</v>
      </c>
    </row>
    <row r="523" spans="1:5" x14ac:dyDescent="0.25">
      <c r="A523" t="s">
        <v>22</v>
      </c>
      <c r="B523" t="s">
        <v>51</v>
      </c>
      <c r="C523" s="1">
        <v>45797.0625</v>
      </c>
      <c r="D523" s="1">
        <v>45849.961111111108</v>
      </c>
      <c r="E523" s="2">
        <f t="shared" si="8"/>
        <v>52.898611111108039</v>
      </c>
    </row>
    <row r="524" spans="1:5" x14ac:dyDescent="0.25">
      <c r="A524" t="s">
        <v>7</v>
      </c>
      <c r="B524" t="s">
        <v>8</v>
      </c>
      <c r="C524" s="1">
        <v>45822.8</v>
      </c>
      <c r="D524" s="1">
        <v>45875.612500000003</v>
      </c>
      <c r="E524" s="2">
        <f t="shared" si="8"/>
        <v>52.8125</v>
      </c>
    </row>
    <row r="525" spans="1:5" x14ac:dyDescent="0.25">
      <c r="A525" t="s">
        <v>19</v>
      </c>
      <c r="B525" t="s">
        <v>54</v>
      </c>
      <c r="C525" s="1">
        <v>46208.541666666657</v>
      </c>
      <c r="D525" s="1">
        <v>46253.416666666657</v>
      </c>
      <c r="E525" s="2">
        <f t="shared" si="8"/>
        <v>44.875</v>
      </c>
    </row>
    <row r="526" spans="1:5" x14ac:dyDescent="0.25">
      <c r="A526" t="s">
        <v>15</v>
      </c>
      <c r="B526" t="s">
        <v>18</v>
      </c>
      <c r="C526" s="1">
        <v>46061.567361111112</v>
      </c>
      <c r="D526" s="1">
        <v>46120.5625</v>
      </c>
      <c r="E526" s="2">
        <f t="shared" si="8"/>
        <v>58.995138888887595</v>
      </c>
    </row>
    <row r="527" spans="1:5" x14ac:dyDescent="0.25">
      <c r="A527" t="s">
        <v>6</v>
      </c>
      <c r="B527" t="s">
        <v>8</v>
      </c>
      <c r="C527" s="1">
        <v>46056.571527777778</v>
      </c>
      <c r="D527" s="1">
        <v>46105.134722222218</v>
      </c>
      <c r="E527" s="2">
        <f t="shared" si="8"/>
        <v>48.563194444439432</v>
      </c>
    </row>
    <row r="528" spans="1:5" x14ac:dyDescent="0.25">
      <c r="A528" t="s">
        <v>22</v>
      </c>
      <c r="B528" t="s">
        <v>51</v>
      </c>
      <c r="C528" s="1">
        <v>45984.224305555559</v>
      </c>
      <c r="D528" s="1">
        <v>46039.305555555547</v>
      </c>
      <c r="E528" s="2">
        <f t="shared" si="8"/>
        <v>55.081249999988358</v>
      </c>
    </row>
    <row r="529" spans="1:5" x14ac:dyDescent="0.25">
      <c r="A529" t="s">
        <v>7</v>
      </c>
      <c r="B529" t="s">
        <v>8</v>
      </c>
      <c r="C529" s="1">
        <v>45785.595833333333</v>
      </c>
      <c r="D529" s="1">
        <v>45818.433333333327</v>
      </c>
      <c r="E529" s="2">
        <f t="shared" si="8"/>
        <v>32.837499999994179</v>
      </c>
    </row>
    <row r="530" spans="1:5" x14ac:dyDescent="0.25">
      <c r="A530" t="s">
        <v>14</v>
      </c>
      <c r="B530" t="s">
        <v>22</v>
      </c>
      <c r="C530" s="1">
        <v>46160.434606481482</v>
      </c>
      <c r="D530" s="1">
        <v>46211.320833333331</v>
      </c>
      <c r="E530" s="2">
        <f t="shared" si="8"/>
        <v>50.886226851849642</v>
      </c>
    </row>
    <row r="531" spans="1:5" x14ac:dyDescent="0.25">
      <c r="A531" t="s">
        <v>22</v>
      </c>
      <c r="B531" t="s">
        <v>19</v>
      </c>
      <c r="C531" s="1">
        <v>45963.606249999997</v>
      </c>
      <c r="D531" s="1">
        <v>46019.107638888891</v>
      </c>
      <c r="E531" s="2">
        <f t="shared" si="8"/>
        <v>55.501388888893416</v>
      </c>
    </row>
    <row r="532" spans="1:5" x14ac:dyDescent="0.25">
      <c r="A532" t="s">
        <v>22</v>
      </c>
      <c r="B532" t="s">
        <v>19</v>
      </c>
      <c r="C532" s="1">
        <v>45809.541666666657</v>
      </c>
      <c r="D532" s="1">
        <v>45860.896527777782</v>
      </c>
      <c r="E532" s="2">
        <f t="shared" si="8"/>
        <v>51.354861111125501</v>
      </c>
    </row>
    <row r="533" spans="1:5" x14ac:dyDescent="0.25">
      <c r="A533" t="s">
        <v>22</v>
      </c>
      <c r="B533" t="s">
        <v>51</v>
      </c>
      <c r="C533" s="1">
        <v>45950.506249999999</v>
      </c>
      <c r="D533" s="1">
        <v>45999.29583333333</v>
      </c>
      <c r="E533" s="2">
        <f t="shared" si="8"/>
        <v>48.789583333331393</v>
      </c>
    </row>
    <row r="534" spans="1:5" x14ac:dyDescent="0.25">
      <c r="A534" t="s">
        <v>11</v>
      </c>
      <c r="B534" t="s">
        <v>21</v>
      </c>
      <c r="C534" s="1">
        <v>45961.491666666669</v>
      </c>
      <c r="D534" s="1">
        <v>45972.529166666667</v>
      </c>
      <c r="E534" s="2">
        <f t="shared" si="8"/>
        <v>11.037499999998545</v>
      </c>
    </row>
    <row r="535" spans="1:5" x14ac:dyDescent="0.25">
      <c r="A535" t="s">
        <v>22</v>
      </c>
      <c r="B535" t="s">
        <v>14</v>
      </c>
      <c r="C535" s="1">
        <v>45918.583333333343</v>
      </c>
      <c r="D535" s="1">
        <v>45966.55</v>
      </c>
      <c r="E535" s="2">
        <f t="shared" si="8"/>
        <v>47.966666666659876</v>
      </c>
    </row>
    <row r="536" spans="1:5" x14ac:dyDescent="0.25">
      <c r="A536" t="s">
        <v>45</v>
      </c>
      <c r="B536" t="s">
        <v>19</v>
      </c>
      <c r="C536" s="1">
        <v>46055.753472222219</v>
      </c>
      <c r="D536" s="1">
        <v>46093.617361111108</v>
      </c>
      <c r="E536" s="2">
        <f t="shared" si="8"/>
        <v>37.863888888889051</v>
      </c>
    </row>
    <row r="537" spans="1:5" x14ac:dyDescent="0.25">
      <c r="A537" t="s">
        <v>22</v>
      </c>
      <c r="B537" t="s">
        <v>13</v>
      </c>
      <c r="C537" s="1">
        <v>46211.020833333343</v>
      </c>
      <c r="D537" s="1">
        <v>46263.520833333343</v>
      </c>
      <c r="E537" s="2">
        <f t="shared" si="8"/>
        <v>52.5</v>
      </c>
    </row>
    <row r="538" spans="1:5" x14ac:dyDescent="0.25">
      <c r="A538" t="s">
        <v>22</v>
      </c>
      <c r="B538" t="s">
        <v>19</v>
      </c>
      <c r="C538" s="1">
        <v>45803.65625</v>
      </c>
      <c r="D538" s="1">
        <v>45854.040972222218</v>
      </c>
      <c r="E538" s="2">
        <f t="shared" si="8"/>
        <v>50.384722222217533</v>
      </c>
    </row>
    <row r="539" spans="1:5" x14ac:dyDescent="0.25">
      <c r="A539" t="s">
        <v>8</v>
      </c>
      <c r="B539" t="s">
        <v>18</v>
      </c>
      <c r="C539" s="1">
        <v>46162.799305555563</v>
      </c>
      <c r="D539" s="1">
        <v>46210.020833333343</v>
      </c>
      <c r="E539" s="2">
        <f t="shared" si="8"/>
        <v>47.221527777779556</v>
      </c>
    </row>
    <row r="540" spans="1:5" x14ac:dyDescent="0.25">
      <c r="A540" t="s">
        <v>22</v>
      </c>
      <c r="B540" t="s">
        <v>19</v>
      </c>
      <c r="C540" s="1">
        <v>45984.224305555559</v>
      </c>
      <c r="D540" s="1">
        <v>46038.279861111107</v>
      </c>
      <c r="E540" s="2">
        <f t="shared" si="8"/>
        <v>54.055555555547471</v>
      </c>
    </row>
    <row r="541" spans="1:5" x14ac:dyDescent="0.25">
      <c r="A541" t="s">
        <v>20</v>
      </c>
      <c r="B541" t="s">
        <v>8</v>
      </c>
      <c r="C541" s="1">
        <v>46092.42083333333</v>
      </c>
      <c r="D541" s="1">
        <v>46127.65902777778</v>
      </c>
      <c r="E541" s="2">
        <f t="shared" si="8"/>
        <v>35.238194444449618</v>
      </c>
    </row>
    <row r="542" spans="1:5" x14ac:dyDescent="0.25">
      <c r="A542" t="s">
        <v>35</v>
      </c>
      <c r="B542" t="s">
        <v>13</v>
      </c>
      <c r="C542" s="1">
        <v>46222.995833333327</v>
      </c>
      <c r="D542" s="1">
        <v>46263.520833333343</v>
      </c>
      <c r="E542" s="2">
        <f t="shared" si="8"/>
        <v>40.525000000016007</v>
      </c>
    </row>
    <row r="543" spans="1:5" x14ac:dyDescent="0.25">
      <c r="A543" t="s">
        <v>12</v>
      </c>
      <c r="B543" t="s">
        <v>18</v>
      </c>
      <c r="C543" s="1">
        <v>45968.186111111107</v>
      </c>
      <c r="D543" s="1">
        <v>46035.51666666667</v>
      </c>
      <c r="E543" s="2">
        <f t="shared" si="8"/>
        <v>67.330555555563478</v>
      </c>
    </row>
    <row r="544" spans="1:5" x14ac:dyDescent="0.25">
      <c r="A544" t="s">
        <v>15</v>
      </c>
      <c r="B544" t="s">
        <v>18</v>
      </c>
      <c r="C544" s="1">
        <v>45773.75</v>
      </c>
      <c r="D544" s="1">
        <v>45818.272916666669</v>
      </c>
      <c r="E544" s="2">
        <f t="shared" si="8"/>
        <v>44.522916666668607</v>
      </c>
    </row>
    <row r="545" spans="1:5" x14ac:dyDescent="0.25">
      <c r="A545" t="s">
        <v>27</v>
      </c>
      <c r="B545" t="s">
        <v>8</v>
      </c>
      <c r="C545" s="1">
        <v>45862.566666666673</v>
      </c>
      <c r="D545" s="1">
        <v>45908.081944444442</v>
      </c>
      <c r="E545" s="2">
        <f t="shared" si="8"/>
        <v>45.51527777776937</v>
      </c>
    </row>
    <row r="546" spans="1:5" x14ac:dyDescent="0.25">
      <c r="A546" t="s">
        <v>7</v>
      </c>
      <c r="B546" t="s">
        <v>20</v>
      </c>
      <c r="C546" s="1">
        <v>45943.775694444441</v>
      </c>
      <c r="D546" s="1">
        <v>45995.84375</v>
      </c>
      <c r="E546" s="2">
        <f t="shared" si="8"/>
        <v>52.068055555559113</v>
      </c>
    </row>
    <row r="547" spans="1:5" x14ac:dyDescent="0.25">
      <c r="A547" t="s">
        <v>28</v>
      </c>
      <c r="B547" t="s">
        <v>18</v>
      </c>
      <c r="C547" s="1">
        <v>45932.916666666657</v>
      </c>
      <c r="D547" s="1">
        <v>46008.915277777778</v>
      </c>
      <c r="E547" s="2">
        <f t="shared" si="8"/>
        <v>75.998611111121136</v>
      </c>
    </row>
    <row r="548" spans="1:5" x14ac:dyDescent="0.25">
      <c r="A548" t="s">
        <v>27</v>
      </c>
      <c r="B548" t="s">
        <v>18</v>
      </c>
      <c r="C548" s="1">
        <v>46072.583333333343</v>
      </c>
      <c r="D548" s="1">
        <v>46131.375</v>
      </c>
      <c r="E548" s="2">
        <f t="shared" si="8"/>
        <v>58.791666666656965</v>
      </c>
    </row>
    <row r="549" spans="1:5" x14ac:dyDescent="0.25">
      <c r="A549" t="s">
        <v>15</v>
      </c>
      <c r="B549" t="s">
        <v>8</v>
      </c>
      <c r="C549" s="1">
        <v>45711.422222222223</v>
      </c>
      <c r="D549" s="1">
        <v>45747.796527777777</v>
      </c>
      <c r="E549" s="2">
        <f t="shared" si="8"/>
        <v>36.374305555553292</v>
      </c>
    </row>
    <row r="550" spans="1:5" x14ac:dyDescent="0.25">
      <c r="A550" t="s">
        <v>15</v>
      </c>
      <c r="B550" t="s">
        <v>8</v>
      </c>
      <c r="C550" s="1">
        <v>46108.948611111111</v>
      </c>
      <c r="D550" s="1">
        <v>46144.908333333333</v>
      </c>
      <c r="E550" s="2">
        <f t="shared" si="8"/>
        <v>35.959722222221899</v>
      </c>
    </row>
    <row r="551" spans="1:5" x14ac:dyDescent="0.25">
      <c r="A551" t="s">
        <v>8</v>
      </c>
      <c r="B551" t="s">
        <v>13</v>
      </c>
      <c r="C551" s="1">
        <v>45942.489583333343</v>
      </c>
      <c r="D551" s="1">
        <v>45964.758333333331</v>
      </c>
      <c r="E551" s="2">
        <f t="shared" si="8"/>
        <v>22.268749999988358</v>
      </c>
    </row>
    <row r="552" spans="1:5" x14ac:dyDescent="0.25">
      <c r="A552" t="s">
        <v>34</v>
      </c>
      <c r="B552" t="s">
        <v>13</v>
      </c>
      <c r="C552" s="1">
        <v>46062.730555555558</v>
      </c>
      <c r="D552" s="1">
        <v>46101.017361111109</v>
      </c>
      <c r="E552" s="2">
        <f t="shared" si="8"/>
        <v>38.286805555551837</v>
      </c>
    </row>
    <row r="553" spans="1:5" x14ac:dyDescent="0.25">
      <c r="A553" t="s">
        <v>15</v>
      </c>
      <c r="B553" t="s">
        <v>38</v>
      </c>
      <c r="C553" s="1">
        <v>46130.340416666673</v>
      </c>
      <c r="D553" s="1">
        <v>46174.655555555553</v>
      </c>
      <c r="E553" s="2">
        <f t="shared" si="8"/>
        <v>44.315138888880028</v>
      </c>
    </row>
    <row r="554" spans="1:5" x14ac:dyDescent="0.25">
      <c r="A554" t="s">
        <v>8</v>
      </c>
      <c r="B554" t="s">
        <v>13</v>
      </c>
      <c r="C554" s="1">
        <v>45764.5</v>
      </c>
      <c r="D554" s="1">
        <v>45802</v>
      </c>
      <c r="E554" s="2">
        <f t="shared" si="8"/>
        <v>37.5</v>
      </c>
    </row>
    <row r="555" spans="1:5" x14ac:dyDescent="0.25">
      <c r="A555" t="s">
        <v>5</v>
      </c>
      <c r="B555" t="s">
        <v>8</v>
      </c>
      <c r="C555" s="1">
        <v>46236.134722222218</v>
      </c>
      <c r="D555" s="1">
        <v>46258.295138888891</v>
      </c>
      <c r="E555" s="2">
        <f t="shared" si="8"/>
        <v>22.160416666672972</v>
      </c>
    </row>
    <row r="556" spans="1:5" x14ac:dyDescent="0.25">
      <c r="A556" t="s">
        <v>7</v>
      </c>
      <c r="B556" t="s">
        <v>20</v>
      </c>
      <c r="C556" s="1">
        <v>46133.139710648153</v>
      </c>
      <c r="D556" s="1">
        <v>46199.279861111107</v>
      </c>
      <c r="E556" s="2">
        <f t="shared" si="8"/>
        <v>66.140150462953898</v>
      </c>
    </row>
    <row r="557" spans="1:5" x14ac:dyDescent="0.25">
      <c r="A557" t="s">
        <v>5</v>
      </c>
      <c r="B557" t="s">
        <v>8</v>
      </c>
      <c r="C557" s="1">
        <v>46159.081250000003</v>
      </c>
      <c r="D557" s="1">
        <v>46181.674976851849</v>
      </c>
      <c r="E557" s="2">
        <f t="shared" si="8"/>
        <v>22.593726851846441</v>
      </c>
    </row>
    <row r="558" spans="1:5" x14ac:dyDescent="0.25">
      <c r="A558" t="s">
        <v>5</v>
      </c>
      <c r="B558" t="s">
        <v>8</v>
      </c>
      <c r="C558" s="1">
        <v>45750.686111111107</v>
      </c>
      <c r="D558" s="1">
        <v>45782.671527777777</v>
      </c>
      <c r="E558" s="2">
        <f t="shared" si="8"/>
        <v>31.985416666670062</v>
      </c>
    </row>
    <row r="559" spans="1:5" x14ac:dyDescent="0.25">
      <c r="A559" t="s">
        <v>5</v>
      </c>
      <c r="B559" t="s">
        <v>8</v>
      </c>
      <c r="C559" s="1">
        <v>46011.283333333333</v>
      </c>
      <c r="D559" s="1">
        <v>46047.712500000001</v>
      </c>
      <c r="E559" s="2">
        <f t="shared" si="8"/>
        <v>36.429166666668607</v>
      </c>
    </row>
    <row r="560" spans="1:5" x14ac:dyDescent="0.25">
      <c r="A560" t="s">
        <v>34</v>
      </c>
      <c r="B560" t="s">
        <v>13</v>
      </c>
      <c r="C560" s="1">
        <v>45949.679166666669</v>
      </c>
      <c r="D560" s="1">
        <v>45975.574999999997</v>
      </c>
      <c r="E560" s="2">
        <f t="shared" si="8"/>
        <v>25.895833333328483</v>
      </c>
    </row>
    <row r="561" spans="1:5" x14ac:dyDescent="0.25">
      <c r="A561" t="s">
        <v>5</v>
      </c>
      <c r="B561" t="s">
        <v>55</v>
      </c>
      <c r="C561" s="1">
        <v>45681.773611111108</v>
      </c>
      <c r="D561" s="1">
        <v>45713.216666666667</v>
      </c>
      <c r="E561" s="2">
        <f t="shared" si="8"/>
        <v>31.443055555559113</v>
      </c>
    </row>
    <row r="562" spans="1:5" x14ac:dyDescent="0.25">
      <c r="A562" t="s">
        <v>5</v>
      </c>
      <c r="B562" t="s">
        <v>8</v>
      </c>
      <c r="C562" s="1">
        <v>46169.74722222222</v>
      </c>
      <c r="D562" s="1">
        <v>46195.515729166669</v>
      </c>
      <c r="E562" s="2">
        <f t="shared" si="8"/>
        <v>25.768506944448745</v>
      </c>
    </row>
    <row r="563" spans="1:5" x14ac:dyDescent="0.25">
      <c r="A563" t="s">
        <v>5</v>
      </c>
      <c r="B563" t="s">
        <v>8</v>
      </c>
      <c r="C563" s="1">
        <v>46130.83011574074</v>
      </c>
      <c r="D563" s="1">
        <v>46159.978472222218</v>
      </c>
      <c r="E563" s="2">
        <f t="shared" si="8"/>
        <v>29.148356481477094</v>
      </c>
    </row>
    <row r="564" spans="1:5" x14ac:dyDescent="0.25">
      <c r="A564" t="s">
        <v>5</v>
      </c>
      <c r="B564" t="s">
        <v>8</v>
      </c>
      <c r="C564" s="1">
        <v>46194.835023148153</v>
      </c>
      <c r="D564" s="1">
        <v>46216.121886574067</v>
      </c>
      <c r="E564" s="2">
        <f t="shared" si="8"/>
        <v>21.286863425913907</v>
      </c>
    </row>
    <row r="565" spans="1:5" x14ac:dyDescent="0.25">
      <c r="A565" t="s">
        <v>7</v>
      </c>
      <c r="B565" t="s">
        <v>20</v>
      </c>
      <c r="C565" s="1">
        <v>45817.947916666657</v>
      </c>
      <c r="D565" s="1">
        <v>45889.129166666673</v>
      </c>
      <c r="E565" s="2">
        <f t="shared" si="8"/>
        <v>71.181250000016007</v>
      </c>
    </row>
    <row r="566" spans="1:5" x14ac:dyDescent="0.25">
      <c r="A566" t="s">
        <v>5</v>
      </c>
      <c r="B566" t="s">
        <v>8</v>
      </c>
      <c r="C566" s="1">
        <v>46018.725694444453</v>
      </c>
      <c r="D566" s="1">
        <v>46071.058333333327</v>
      </c>
      <c r="E566" s="2">
        <f t="shared" si="8"/>
        <v>52.332638888874499</v>
      </c>
    </row>
    <row r="567" spans="1:5" x14ac:dyDescent="0.25">
      <c r="A567" t="s">
        <v>11</v>
      </c>
      <c r="B567" t="s">
        <v>37</v>
      </c>
      <c r="C567" s="1">
        <v>46032.837500000001</v>
      </c>
      <c r="D567" s="1">
        <v>46047.605555555558</v>
      </c>
      <c r="E567" s="2">
        <f t="shared" si="8"/>
        <v>14.768055555556202</v>
      </c>
    </row>
    <row r="568" spans="1:5" x14ac:dyDescent="0.25">
      <c r="A568" t="s">
        <v>15</v>
      </c>
      <c r="B568" t="s">
        <v>13</v>
      </c>
      <c r="C568" s="1">
        <v>45980.779166666667</v>
      </c>
      <c r="D568" s="1">
        <v>46019.224999999999</v>
      </c>
      <c r="E568" s="2">
        <f t="shared" si="8"/>
        <v>38.445833333331393</v>
      </c>
    </row>
    <row r="569" spans="1:5" x14ac:dyDescent="0.25">
      <c r="A569" t="s">
        <v>5</v>
      </c>
      <c r="B569" t="s">
        <v>8</v>
      </c>
      <c r="C569" s="1">
        <v>46144.330104166656</v>
      </c>
      <c r="D569" s="1">
        <v>46174.830555555563</v>
      </c>
      <c r="E569" s="2">
        <f t="shared" si="8"/>
        <v>30.500451388907095</v>
      </c>
    </row>
    <row r="570" spans="1:5" x14ac:dyDescent="0.25">
      <c r="A570" t="s">
        <v>5</v>
      </c>
      <c r="B570" t="s">
        <v>8</v>
      </c>
      <c r="C570" s="1">
        <v>46065.004166666673</v>
      </c>
      <c r="D570" s="1">
        <v>46099.525000000001</v>
      </c>
      <c r="E570" s="2">
        <f t="shared" si="8"/>
        <v>34.520833333328483</v>
      </c>
    </row>
    <row r="571" spans="1:5" x14ac:dyDescent="0.25">
      <c r="A571" t="s">
        <v>5</v>
      </c>
      <c r="B571" t="s">
        <v>8</v>
      </c>
      <c r="C571" s="1">
        <v>45745.952974537038</v>
      </c>
      <c r="D571" s="1">
        <v>45775.742037037038</v>
      </c>
      <c r="E571" s="2">
        <f t="shared" si="8"/>
        <v>29.7890625</v>
      </c>
    </row>
    <row r="572" spans="1:5" x14ac:dyDescent="0.25">
      <c r="A572" t="s">
        <v>5</v>
      </c>
      <c r="B572" t="s">
        <v>8</v>
      </c>
      <c r="C572" s="1">
        <v>45722.095833333333</v>
      </c>
      <c r="D572" s="1">
        <v>45749.925694444442</v>
      </c>
      <c r="E572" s="2">
        <f t="shared" si="8"/>
        <v>27.829861111109494</v>
      </c>
    </row>
    <row r="573" spans="1:5" x14ac:dyDescent="0.25">
      <c r="A573" t="s">
        <v>5</v>
      </c>
      <c r="B573" t="s">
        <v>8</v>
      </c>
      <c r="C573" s="1">
        <v>45695.8125</v>
      </c>
      <c r="D573" s="1">
        <v>45724.874305555553</v>
      </c>
      <c r="E573" s="2">
        <f t="shared" si="8"/>
        <v>29.061805555553292</v>
      </c>
    </row>
    <row r="574" spans="1:5" x14ac:dyDescent="0.25">
      <c r="A574" t="s">
        <v>5</v>
      </c>
      <c r="B574" t="s">
        <v>8</v>
      </c>
      <c r="C574" s="1">
        <v>45659.054166666669</v>
      </c>
      <c r="D574" s="1">
        <v>45685.674305555563</v>
      </c>
      <c r="E574" s="2">
        <f t="shared" si="8"/>
        <v>26.620138888894871</v>
      </c>
    </row>
    <row r="575" spans="1:5" x14ac:dyDescent="0.25">
      <c r="A575" t="s">
        <v>5</v>
      </c>
      <c r="B575" t="s">
        <v>56</v>
      </c>
      <c r="C575" s="1">
        <v>46088.612500000003</v>
      </c>
      <c r="D575" s="1">
        <v>46125.1875</v>
      </c>
      <c r="E575" s="2">
        <f t="shared" si="8"/>
        <v>36.57499999999709</v>
      </c>
    </row>
    <row r="576" spans="1:5" x14ac:dyDescent="0.25">
      <c r="A576" t="s">
        <v>14</v>
      </c>
      <c r="B576" t="s">
        <v>22</v>
      </c>
      <c r="C576" s="1">
        <v>45740.570138888892</v>
      </c>
      <c r="D576" s="1">
        <v>45808.3125</v>
      </c>
      <c r="E576" s="2">
        <f t="shared" si="8"/>
        <v>67.742361111108039</v>
      </c>
    </row>
    <row r="577" spans="1:5" x14ac:dyDescent="0.25">
      <c r="A577" t="s">
        <v>22</v>
      </c>
      <c r="B577" t="s">
        <v>19</v>
      </c>
      <c r="C577" s="1">
        <v>45898.765972222223</v>
      </c>
      <c r="D577" s="1">
        <v>45954.644444444442</v>
      </c>
      <c r="E577" s="2">
        <f t="shared" si="8"/>
        <v>55.878472222218988</v>
      </c>
    </row>
    <row r="578" spans="1:5" x14ac:dyDescent="0.25">
      <c r="A578" t="s">
        <v>34</v>
      </c>
      <c r="B578" t="s">
        <v>21</v>
      </c>
      <c r="C578" s="1">
        <v>45831.298611111109</v>
      </c>
      <c r="D578" s="1">
        <v>45843.006944444453</v>
      </c>
      <c r="E578" s="2">
        <f t="shared" ref="E578:E641" si="9">D578-C578</f>
        <v>11.708333333343035</v>
      </c>
    </row>
    <row r="579" spans="1:5" x14ac:dyDescent="0.25">
      <c r="A579" t="s">
        <v>9</v>
      </c>
      <c r="B579" t="s">
        <v>11</v>
      </c>
      <c r="C579" s="1">
        <v>46079.708333333343</v>
      </c>
      <c r="D579" s="1">
        <v>46133.220833333333</v>
      </c>
      <c r="E579" s="2">
        <f t="shared" si="9"/>
        <v>53.512499999989814</v>
      </c>
    </row>
    <row r="580" spans="1:5" x14ac:dyDescent="0.25">
      <c r="A580" t="s">
        <v>5</v>
      </c>
      <c r="B580" t="s">
        <v>8</v>
      </c>
      <c r="C580" s="1">
        <v>46072.658333333333</v>
      </c>
      <c r="D580" s="1">
        <v>46107.929166666669</v>
      </c>
      <c r="E580" s="2">
        <f t="shared" si="9"/>
        <v>35.270833333335759</v>
      </c>
    </row>
    <row r="581" spans="1:5" x14ac:dyDescent="0.25">
      <c r="A581" t="s">
        <v>5</v>
      </c>
      <c r="B581" t="s">
        <v>8</v>
      </c>
      <c r="C581" s="1">
        <v>46101.51666666667</v>
      </c>
      <c r="D581" s="1">
        <v>46146.737500000003</v>
      </c>
      <c r="E581" s="2">
        <f t="shared" si="9"/>
        <v>45.220833333332848</v>
      </c>
    </row>
    <row r="582" spans="1:5" x14ac:dyDescent="0.25">
      <c r="A582" t="s">
        <v>7</v>
      </c>
      <c r="B582" t="s">
        <v>8</v>
      </c>
      <c r="C582" s="1">
        <v>45785.595833333333</v>
      </c>
      <c r="D582" s="1">
        <v>45818.416666666657</v>
      </c>
      <c r="E582" s="2">
        <f t="shared" si="9"/>
        <v>32.820833333324117</v>
      </c>
    </row>
    <row r="583" spans="1:5" x14ac:dyDescent="0.25">
      <c r="A583" t="s">
        <v>40</v>
      </c>
      <c r="B583" t="s">
        <v>37</v>
      </c>
      <c r="C583" s="1">
        <v>45988.654537037037</v>
      </c>
      <c r="D583" s="1">
        <v>46002.35833333333</v>
      </c>
      <c r="E583" s="2">
        <f t="shared" si="9"/>
        <v>13.703796296293149</v>
      </c>
    </row>
    <row r="584" spans="1:5" x14ac:dyDescent="0.25">
      <c r="A584" t="s">
        <v>7</v>
      </c>
      <c r="B584" t="s">
        <v>8</v>
      </c>
      <c r="C584" s="1">
        <v>45903.083333333343</v>
      </c>
      <c r="D584" s="1">
        <v>45938.662499999999</v>
      </c>
      <c r="E584" s="2">
        <f t="shared" si="9"/>
        <v>35.57916666665551</v>
      </c>
    </row>
    <row r="585" spans="1:5" x14ac:dyDescent="0.25">
      <c r="A585" t="s">
        <v>8</v>
      </c>
      <c r="B585" t="s">
        <v>7</v>
      </c>
      <c r="C585" s="1">
        <v>45995.354166666657</v>
      </c>
      <c r="D585" s="1">
        <v>46041.408333333333</v>
      </c>
      <c r="E585" s="2">
        <f t="shared" si="9"/>
        <v>46.054166666675883</v>
      </c>
    </row>
    <row r="586" spans="1:5" x14ac:dyDescent="0.25">
      <c r="A586" t="s">
        <v>7</v>
      </c>
      <c r="B586" t="s">
        <v>8</v>
      </c>
      <c r="C586" s="1">
        <v>45882.166666666657</v>
      </c>
      <c r="D586" s="1">
        <v>45938.662499999999</v>
      </c>
      <c r="E586" s="2">
        <f t="shared" si="9"/>
        <v>56.495833333341579</v>
      </c>
    </row>
    <row r="587" spans="1:5" x14ac:dyDescent="0.25">
      <c r="A587" t="s">
        <v>7</v>
      </c>
      <c r="B587" t="s">
        <v>8</v>
      </c>
      <c r="C587" s="1">
        <v>45792.854166666657</v>
      </c>
      <c r="D587" s="1">
        <v>45839.3125</v>
      </c>
      <c r="E587" s="2">
        <f t="shared" si="9"/>
        <v>46.458333333343035</v>
      </c>
    </row>
    <row r="588" spans="1:5" x14ac:dyDescent="0.25">
      <c r="A588" t="s">
        <v>5</v>
      </c>
      <c r="B588" t="s">
        <v>8</v>
      </c>
      <c r="C588" s="1">
        <v>46194.835023148153</v>
      </c>
      <c r="D588" s="1">
        <v>46216.121527777781</v>
      </c>
      <c r="E588" s="2">
        <f t="shared" si="9"/>
        <v>21.286504629628325</v>
      </c>
    </row>
    <row r="589" spans="1:5" x14ac:dyDescent="0.25">
      <c r="A589" t="s">
        <v>7</v>
      </c>
      <c r="B589" t="s">
        <v>8</v>
      </c>
      <c r="C589" s="1">
        <v>45843.85</v>
      </c>
      <c r="D589" s="1">
        <v>45910.25</v>
      </c>
      <c r="E589" s="2">
        <f t="shared" si="9"/>
        <v>66.400000000001455</v>
      </c>
    </row>
    <row r="590" spans="1:5" x14ac:dyDescent="0.25">
      <c r="A590" t="s">
        <v>7</v>
      </c>
      <c r="B590" t="s">
        <v>8</v>
      </c>
      <c r="C590" s="1">
        <v>45843.85</v>
      </c>
      <c r="D590" s="1">
        <v>45910.25</v>
      </c>
      <c r="E590" s="2">
        <f t="shared" si="9"/>
        <v>66.400000000001455</v>
      </c>
    </row>
    <row r="591" spans="1:5" x14ac:dyDescent="0.25">
      <c r="A591" t="s">
        <v>5</v>
      </c>
      <c r="B591" t="s">
        <v>8</v>
      </c>
      <c r="C591" s="1">
        <v>45952.57916666667</v>
      </c>
      <c r="D591" s="1">
        <v>45993.345833333333</v>
      </c>
      <c r="E591" s="2">
        <f t="shared" si="9"/>
        <v>40.766666666662786</v>
      </c>
    </row>
    <row r="592" spans="1:5" x14ac:dyDescent="0.25">
      <c r="A592" t="s">
        <v>5</v>
      </c>
      <c r="B592" t="s">
        <v>8</v>
      </c>
      <c r="C592" s="1">
        <v>46088.612500000003</v>
      </c>
      <c r="D592" s="1">
        <v>46141.354166666657</v>
      </c>
      <c r="E592" s="2">
        <f t="shared" si="9"/>
        <v>52.741666666654055</v>
      </c>
    </row>
    <row r="593" spans="1:5" x14ac:dyDescent="0.25">
      <c r="A593" t="s">
        <v>22</v>
      </c>
      <c r="B593" t="s">
        <v>19</v>
      </c>
      <c r="C593" s="1">
        <v>45690.960474537038</v>
      </c>
      <c r="D593" s="1">
        <v>45749.308333333327</v>
      </c>
      <c r="E593" s="2">
        <f t="shared" si="9"/>
        <v>58.347858796289074</v>
      </c>
    </row>
    <row r="594" spans="1:5" x14ac:dyDescent="0.25">
      <c r="A594" t="s">
        <v>10</v>
      </c>
      <c r="B594" t="s">
        <v>11</v>
      </c>
      <c r="C594" s="1">
        <v>46107.32916666667</v>
      </c>
      <c r="D594" s="1">
        <v>46134.286805555559</v>
      </c>
      <c r="E594" s="2">
        <f t="shared" si="9"/>
        <v>26.957638888889051</v>
      </c>
    </row>
    <row r="595" spans="1:5" x14ac:dyDescent="0.25">
      <c r="A595" t="s">
        <v>8</v>
      </c>
      <c r="B595" t="s">
        <v>13</v>
      </c>
      <c r="C595" s="1">
        <v>45926.987500000003</v>
      </c>
      <c r="D595" s="1">
        <v>45951.145833333343</v>
      </c>
      <c r="E595" s="2">
        <f t="shared" si="9"/>
        <v>24.158333333340124</v>
      </c>
    </row>
    <row r="596" spans="1:5" x14ac:dyDescent="0.25">
      <c r="A596" t="s">
        <v>34</v>
      </c>
      <c r="B596" t="s">
        <v>13</v>
      </c>
      <c r="C596" s="1">
        <v>45893.815069444441</v>
      </c>
      <c r="D596" s="1">
        <v>45919.23333333333</v>
      </c>
      <c r="E596" s="2">
        <f t="shared" si="9"/>
        <v>25.41826388888876</v>
      </c>
    </row>
    <row r="597" spans="1:5" x14ac:dyDescent="0.25">
      <c r="A597" t="s">
        <v>22</v>
      </c>
      <c r="B597" t="s">
        <v>19</v>
      </c>
      <c r="C597" s="1">
        <v>46006.477777777778</v>
      </c>
      <c r="D597" s="1">
        <v>46069.90625</v>
      </c>
      <c r="E597" s="2">
        <f t="shared" si="9"/>
        <v>63.428472222221899</v>
      </c>
    </row>
    <row r="598" spans="1:5" x14ac:dyDescent="0.25">
      <c r="A598" t="s">
        <v>34</v>
      </c>
      <c r="B598" t="s">
        <v>8</v>
      </c>
      <c r="C598" s="1">
        <v>45824.195833333331</v>
      </c>
      <c r="D598" s="1">
        <v>45855.861805555563</v>
      </c>
      <c r="E598" s="2">
        <f t="shared" si="9"/>
        <v>31.665972222232085</v>
      </c>
    </row>
    <row r="599" spans="1:5" x14ac:dyDescent="0.25">
      <c r="A599" t="s">
        <v>7</v>
      </c>
      <c r="B599" t="s">
        <v>18</v>
      </c>
      <c r="C599" s="1">
        <v>46194.988888888889</v>
      </c>
      <c r="D599" s="1">
        <v>46234.997916666667</v>
      </c>
      <c r="E599" s="2">
        <f t="shared" si="9"/>
        <v>40.009027777778101</v>
      </c>
    </row>
    <row r="600" spans="1:5" x14ac:dyDescent="0.25">
      <c r="A600" t="s">
        <v>22</v>
      </c>
      <c r="B600" t="s">
        <v>19</v>
      </c>
      <c r="C600" s="1">
        <v>46152.688738425917</v>
      </c>
      <c r="D600" s="1">
        <v>46214.259027777778</v>
      </c>
      <c r="E600" s="2">
        <f t="shared" si="9"/>
        <v>61.570289351860993</v>
      </c>
    </row>
    <row r="601" spans="1:5" x14ac:dyDescent="0.25">
      <c r="A601" t="s">
        <v>42</v>
      </c>
      <c r="B601" t="s">
        <v>19</v>
      </c>
      <c r="C601" s="1">
        <v>45954.75</v>
      </c>
      <c r="D601" s="1">
        <v>46001.208333333343</v>
      </c>
      <c r="E601" s="2">
        <f t="shared" si="9"/>
        <v>46.458333333343035</v>
      </c>
    </row>
    <row r="602" spans="1:5" x14ac:dyDescent="0.25">
      <c r="A602" t="s">
        <v>22</v>
      </c>
      <c r="B602" t="s">
        <v>19</v>
      </c>
      <c r="C602" s="1">
        <v>46168.135416666657</v>
      </c>
      <c r="D602" s="1">
        <v>46235.900694444441</v>
      </c>
      <c r="E602" s="2">
        <f t="shared" si="9"/>
        <v>67.765277777783922</v>
      </c>
    </row>
    <row r="603" spans="1:5" x14ac:dyDescent="0.25">
      <c r="A603" t="s">
        <v>7</v>
      </c>
      <c r="B603" t="s">
        <v>11</v>
      </c>
      <c r="C603" s="1">
        <v>46086.82916666667</v>
      </c>
      <c r="D603" s="1">
        <v>46161.837500000001</v>
      </c>
      <c r="E603" s="2">
        <f t="shared" si="9"/>
        <v>75.008333333331393</v>
      </c>
    </row>
    <row r="604" spans="1:5" x14ac:dyDescent="0.25">
      <c r="A604" t="s">
        <v>7</v>
      </c>
      <c r="B604" t="s">
        <v>8</v>
      </c>
      <c r="C604" s="1">
        <v>45940.345833333333</v>
      </c>
      <c r="D604" s="1">
        <v>45989.166666666657</v>
      </c>
      <c r="E604" s="2">
        <f t="shared" si="9"/>
        <v>48.820833333324117</v>
      </c>
    </row>
    <row r="605" spans="1:5" x14ac:dyDescent="0.25">
      <c r="A605" t="s">
        <v>7</v>
      </c>
      <c r="B605" t="s">
        <v>8</v>
      </c>
      <c r="C605" s="1">
        <v>45891.654166666667</v>
      </c>
      <c r="D605" s="1">
        <v>45938.662499999999</v>
      </c>
      <c r="E605" s="2">
        <f t="shared" si="9"/>
        <v>47.008333333331393</v>
      </c>
    </row>
    <row r="606" spans="1:5" x14ac:dyDescent="0.25">
      <c r="A606" t="s">
        <v>12</v>
      </c>
      <c r="B606" t="s">
        <v>18</v>
      </c>
      <c r="C606" s="1">
        <v>45764</v>
      </c>
      <c r="D606" s="1">
        <v>45827.402777777781</v>
      </c>
      <c r="E606" s="2">
        <f t="shared" si="9"/>
        <v>63.402777777781012</v>
      </c>
    </row>
    <row r="607" spans="1:5" x14ac:dyDescent="0.25">
      <c r="A607" t="s">
        <v>19</v>
      </c>
      <c r="B607" t="s">
        <v>8</v>
      </c>
      <c r="C607" s="1">
        <v>45839.998611111107</v>
      </c>
      <c r="D607" s="1">
        <v>45881</v>
      </c>
      <c r="E607" s="2">
        <f t="shared" si="9"/>
        <v>41.001388888893416</v>
      </c>
    </row>
    <row r="608" spans="1:5" x14ac:dyDescent="0.25">
      <c r="A608" t="s">
        <v>5</v>
      </c>
      <c r="B608" t="s">
        <v>8</v>
      </c>
      <c r="C608" s="1">
        <v>45674.279166666667</v>
      </c>
      <c r="D608" s="1">
        <v>45702.654166666667</v>
      </c>
      <c r="E608" s="2">
        <f t="shared" si="9"/>
        <v>28.375</v>
      </c>
    </row>
    <row r="609" spans="1:5" x14ac:dyDescent="0.25">
      <c r="A609" t="s">
        <v>5</v>
      </c>
      <c r="B609" t="s">
        <v>8</v>
      </c>
      <c r="C609" s="1">
        <v>45722.095833333333</v>
      </c>
      <c r="D609" s="1">
        <v>45749.925694444442</v>
      </c>
      <c r="E609" s="2">
        <f t="shared" si="9"/>
        <v>27.829861111109494</v>
      </c>
    </row>
    <row r="610" spans="1:5" x14ac:dyDescent="0.25">
      <c r="A610" t="s">
        <v>23</v>
      </c>
      <c r="B610" t="s">
        <v>24</v>
      </c>
      <c r="C610" s="1">
        <v>46107.208333333343</v>
      </c>
      <c r="D610" s="1">
        <v>46187.625</v>
      </c>
      <c r="E610" s="2">
        <f t="shared" si="9"/>
        <v>80.416666666656965</v>
      </c>
    </row>
    <row r="611" spans="1:5" x14ac:dyDescent="0.25">
      <c r="A611" t="s">
        <v>5</v>
      </c>
      <c r="B611" t="s">
        <v>8</v>
      </c>
      <c r="C611" s="1">
        <v>45695.8125</v>
      </c>
      <c r="D611" s="1">
        <v>45724.874305555553</v>
      </c>
      <c r="E611" s="2">
        <f t="shared" si="9"/>
        <v>29.061805555553292</v>
      </c>
    </row>
    <row r="612" spans="1:5" x14ac:dyDescent="0.25">
      <c r="A612" t="s">
        <v>5</v>
      </c>
      <c r="B612" t="s">
        <v>8</v>
      </c>
      <c r="C612" s="1">
        <v>45671.125</v>
      </c>
      <c r="D612" s="1">
        <v>45697.265277777777</v>
      </c>
      <c r="E612" s="2">
        <f t="shared" si="9"/>
        <v>26.140277777776646</v>
      </c>
    </row>
    <row r="613" spans="1:5" x14ac:dyDescent="0.25">
      <c r="A613" t="s">
        <v>7</v>
      </c>
      <c r="B613" t="s">
        <v>8</v>
      </c>
      <c r="C613" s="1">
        <v>45891.654166666667</v>
      </c>
      <c r="D613" s="1">
        <v>45938.662499999999</v>
      </c>
      <c r="E613" s="2">
        <f t="shared" si="9"/>
        <v>47.008333333331393</v>
      </c>
    </row>
    <row r="614" spans="1:5" x14ac:dyDescent="0.25">
      <c r="A614" t="s">
        <v>5</v>
      </c>
      <c r="B614" t="s">
        <v>8</v>
      </c>
      <c r="C614" s="1">
        <v>45715.841666666667</v>
      </c>
      <c r="D614" s="1">
        <v>45741.816666666673</v>
      </c>
      <c r="E614" s="2">
        <f t="shared" si="9"/>
        <v>25.975000000005821</v>
      </c>
    </row>
    <row r="615" spans="1:5" x14ac:dyDescent="0.25">
      <c r="A615" t="s">
        <v>5</v>
      </c>
      <c r="B615" t="s">
        <v>8</v>
      </c>
      <c r="C615" s="1">
        <v>45695.8125</v>
      </c>
      <c r="D615" s="1">
        <v>45724.874305555553</v>
      </c>
      <c r="E615" s="2">
        <f t="shared" si="9"/>
        <v>29.061805555553292</v>
      </c>
    </row>
    <row r="616" spans="1:5" x14ac:dyDescent="0.25">
      <c r="A616" t="s">
        <v>5</v>
      </c>
      <c r="B616" t="s">
        <v>8</v>
      </c>
      <c r="C616" s="1">
        <v>46169.74722222222</v>
      </c>
      <c r="D616" s="1">
        <v>46195.520138888889</v>
      </c>
      <c r="E616" s="2">
        <f t="shared" si="9"/>
        <v>25.772916666668607</v>
      </c>
    </row>
    <row r="617" spans="1:5" x14ac:dyDescent="0.25">
      <c r="A617" t="s">
        <v>7</v>
      </c>
      <c r="B617" t="s">
        <v>8</v>
      </c>
      <c r="C617" s="1">
        <v>45808.775000000001</v>
      </c>
      <c r="D617" s="1">
        <v>45853.816666666673</v>
      </c>
      <c r="E617" s="2">
        <f t="shared" si="9"/>
        <v>45.041666666671517</v>
      </c>
    </row>
    <row r="618" spans="1:5" x14ac:dyDescent="0.25">
      <c r="A618" t="s">
        <v>5</v>
      </c>
      <c r="B618" t="s">
        <v>8</v>
      </c>
      <c r="C618" s="1">
        <v>46169.74722222222</v>
      </c>
      <c r="D618" s="1">
        <v>46195.520138888889</v>
      </c>
      <c r="E618" s="2">
        <f t="shared" si="9"/>
        <v>25.772916666668607</v>
      </c>
    </row>
    <row r="619" spans="1:5" x14ac:dyDescent="0.25">
      <c r="A619" t="s">
        <v>7</v>
      </c>
      <c r="B619" t="s">
        <v>8</v>
      </c>
      <c r="C619" s="1">
        <v>45891.654166666667</v>
      </c>
      <c r="D619" s="1">
        <v>45938.662499999999</v>
      </c>
      <c r="E619" s="2">
        <f t="shared" si="9"/>
        <v>47.008333333331393</v>
      </c>
    </row>
    <row r="620" spans="1:5" x14ac:dyDescent="0.25">
      <c r="A620" t="s">
        <v>5</v>
      </c>
      <c r="B620" t="s">
        <v>8</v>
      </c>
      <c r="C620" s="1">
        <v>46078.916666666657</v>
      </c>
      <c r="D620" s="1">
        <v>46113.395833333343</v>
      </c>
      <c r="E620" s="2">
        <f t="shared" si="9"/>
        <v>34.479166666686069</v>
      </c>
    </row>
    <row r="621" spans="1:5" x14ac:dyDescent="0.25">
      <c r="A621" t="s">
        <v>7</v>
      </c>
      <c r="B621" t="s">
        <v>8</v>
      </c>
      <c r="C621" s="1">
        <v>45911.604166666657</v>
      </c>
      <c r="D621" s="1">
        <v>45948.165972222218</v>
      </c>
      <c r="E621" s="2">
        <f t="shared" si="9"/>
        <v>36.561805555560568</v>
      </c>
    </row>
    <row r="622" spans="1:5" x14ac:dyDescent="0.25">
      <c r="A622" t="s">
        <v>18</v>
      </c>
      <c r="B622" t="s">
        <v>27</v>
      </c>
      <c r="C622" s="1">
        <v>45763.504861111112</v>
      </c>
      <c r="D622" s="1">
        <v>45836.319444444453</v>
      </c>
      <c r="E622" s="2">
        <f t="shared" si="9"/>
        <v>72.814583333340124</v>
      </c>
    </row>
    <row r="623" spans="1:5" x14ac:dyDescent="0.25">
      <c r="A623" t="s">
        <v>5</v>
      </c>
      <c r="B623" t="s">
        <v>8</v>
      </c>
      <c r="C623" s="1">
        <v>45695.8125</v>
      </c>
      <c r="D623" s="1">
        <v>45724.874305555553</v>
      </c>
      <c r="E623" s="2">
        <f t="shared" si="9"/>
        <v>29.061805555553292</v>
      </c>
    </row>
    <row r="624" spans="1:5" x14ac:dyDescent="0.25">
      <c r="A624" t="s">
        <v>5</v>
      </c>
      <c r="B624" t="s">
        <v>8</v>
      </c>
      <c r="C624" s="1">
        <v>45707.716666666667</v>
      </c>
      <c r="D624" s="1">
        <v>45734.852777777778</v>
      </c>
      <c r="E624" s="2">
        <f t="shared" si="9"/>
        <v>27.136111111110949</v>
      </c>
    </row>
    <row r="625" spans="1:5" x14ac:dyDescent="0.25">
      <c r="A625" t="s">
        <v>22</v>
      </c>
      <c r="B625" t="s">
        <v>19</v>
      </c>
      <c r="C625" s="1">
        <v>45859.168055555558</v>
      </c>
      <c r="D625" s="1">
        <v>45920.620833333327</v>
      </c>
      <c r="E625" s="2">
        <f t="shared" si="9"/>
        <v>61.45277777776937</v>
      </c>
    </row>
    <row r="626" spans="1:5" x14ac:dyDescent="0.25">
      <c r="A626" t="s">
        <v>5</v>
      </c>
      <c r="B626" t="s">
        <v>55</v>
      </c>
      <c r="C626" s="1">
        <v>45722.105555555558</v>
      </c>
      <c r="D626" s="1">
        <v>45752.2425</v>
      </c>
      <c r="E626" s="2">
        <f t="shared" si="9"/>
        <v>30.136944444442634</v>
      </c>
    </row>
    <row r="627" spans="1:5" x14ac:dyDescent="0.25">
      <c r="A627" t="s">
        <v>5</v>
      </c>
      <c r="B627" t="s">
        <v>8</v>
      </c>
      <c r="C627" s="1">
        <v>45758.019780092603</v>
      </c>
      <c r="D627" s="1">
        <v>45789.869444444441</v>
      </c>
      <c r="E627" s="2">
        <f t="shared" si="9"/>
        <v>31.849664351837419</v>
      </c>
    </row>
    <row r="628" spans="1:5" x14ac:dyDescent="0.25">
      <c r="A628" t="s">
        <v>5</v>
      </c>
      <c r="B628" t="s">
        <v>8</v>
      </c>
      <c r="C628" s="1">
        <v>45707.716666666667</v>
      </c>
      <c r="D628" s="1">
        <v>45734.840219907397</v>
      </c>
      <c r="E628" s="2">
        <f t="shared" si="9"/>
        <v>27.123553240729962</v>
      </c>
    </row>
    <row r="629" spans="1:5" x14ac:dyDescent="0.25">
      <c r="A629" t="s">
        <v>15</v>
      </c>
      <c r="B629" t="s">
        <v>13</v>
      </c>
      <c r="C629" s="1">
        <v>46075.269444444442</v>
      </c>
      <c r="D629" s="1">
        <v>46115.175000000003</v>
      </c>
      <c r="E629" s="2">
        <f t="shared" si="9"/>
        <v>39.905555555560568</v>
      </c>
    </row>
    <row r="630" spans="1:5" x14ac:dyDescent="0.25">
      <c r="A630" t="s">
        <v>5</v>
      </c>
      <c r="B630" t="s">
        <v>8</v>
      </c>
      <c r="C630" s="1">
        <v>45777.362500000003</v>
      </c>
      <c r="D630" s="1">
        <v>45808.435416666667</v>
      </c>
      <c r="E630" s="2">
        <f t="shared" si="9"/>
        <v>31.072916666664241</v>
      </c>
    </row>
    <row r="631" spans="1:5" x14ac:dyDescent="0.25">
      <c r="A631" t="s">
        <v>15</v>
      </c>
      <c r="B631" t="s">
        <v>18</v>
      </c>
      <c r="C631" s="1">
        <v>45819.296527777777</v>
      </c>
      <c r="D631" s="1">
        <v>45869.003472222219</v>
      </c>
      <c r="E631" s="2">
        <f t="shared" si="9"/>
        <v>49.706944444442343</v>
      </c>
    </row>
    <row r="632" spans="1:5" x14ac:dyDescent="0.25">
      <c r="A632" t="s">
        <v>5</v>
      </c>
      <c r="B632" t="s">
        <v>8</v>
      </c>
      <c r="C632" s="1">
        <v>46101.51666666667</v>
      </c>
      <c r="D632" s="1">
        <v>46146.737500000003</v>
      </c>
      <c r="E632" s="2">
        <f t="shared" si="9"/>
        <v>45.220833333332848</v>
      </c>
    </row>
    <row r="633" spans="1:5" x14ac:dyDescent="0.25">
      <c r="A633" t="s">
        <v>12</v>
      </c>
      <c r="B633" t="s">
        <v>13</v>
      </c>
      <c r="C633" s="1">
        <v>45799.050694444442</v>
      </c>
      <c r="D633" s="1">
        <v>45844.353472222218</v>
      </c>
      <c r="E633" s="2">
        <f t="shared" si="9"/>
        <v>45.302777777775191</v>
      </c>
    </row>
    <row r="634" spans="1:5" x14ac:dyDescent="0.25">
      <c r="A634" t="s">
        <v>5</v>
      </c>
      <c r="B634" t="s">
        <v>8</v>
      </c>
      <c r="C634" s="1">
        <v>45695.8125</v>
      </c>
      <c r="D634" s="1">
        <v>45724.874305555553</v>
      </c>
      <c r="E634" s="2">
        <f t="shared" si="9"/>
        <v>29.061805555553292</v>
      </c>
    </row>
    <row r="635" spans="1:5" x14ac:dyDescent="0.25">
      <c r="A635" t="s">
        <v>7</v>
      </c>
      <c r="B635" t="s">
        <v>8</v>
      </c>
      <c r="C635" s="1">
        <v>45882.166666666657</v>
      </c>
      <c r="D635" s="1">
        <v>45938.662499999999</v>
      </c>
      <c r="E635" s="2">
        <f t="shared" si="9"/>
        <v>56.495833333341579</v>
      </c>
    </row>
    <row r="636" spans="1:5" x14ac:dyDescent="0.25">
      <c r="A636" t="s">
        <v>5</v>
      </c>
      <c r="B636" t="s">
        <v>8</v>
      </c>
      <c r="C636" s="1">
        <v>46159.081250000003</v>
      </c>
      <c r="D636" s="1">
        <v>46181.674976851849</v>
      </c>
      <c r="E636" s="2">
        <f t="shared" si="9"/>
        <v>22.593726851846441</v>
      </c>
    </row>
    <row r="637" spans="1:5" x14ac:dyDescent="0.25">
      <c r="A637" t="s">
        <v>5</v>
      </c>
      <c r="B637" t="s">
        <v>8</v>
      </c>
      <c r="C637" s="1">
        <v>46130.83011574074</v>
      </c>
      <c r="D637" s="1">
        <v>46159.966932870368</v>
      </c>
      <c r="E637" s="2">
        <f t="shared" si="9"/>
        <v>29.136817129627161</v>
      </c>
    </row>
    <row r="638" spans="1:5" x14ac:dyDescent="0.25">
      <c r="A638" t="s">
        <v>5</v>
      </c>
      <c r="B638" t="s">
        <v>6</v>
      </c>
      <c r="C638" s="1">
        <v>45945.658333333333</v>
      </c>
      <c r="D638" s="1">
        <v>46004.179166666669</v>
      </c>
      <c r="E638" s="2">
        <f t="shared" si="9"/>
        <v>58.520833333335759</v>
      </c>
    </row>
    <row r="639" spans="1:5" x14ac:dyDescent="0.25">
      <c r="A639" t="s">
        <v>5</v>
      </c>
      <c r="B639" t="s">
        <v>8</v>
      </c>
      <c r="C639" s="1">
        <v>45707.716666666667</v>
      </c>
      <c r="D639" s="1">
        <v>45734.852777777778</v>
      </c>
      <c r="E639" s="2">
        <f t="shared" si="9"/>
        <v>27.136111111110949</v>
      </c>
    </row>
    <row r="640" spans="1:5" x14ac:dyDescent="0.25">
      <c r="A640" t="s">
        <v>5</v>
      </c>
      <c r="B640" t="s">
        <v>8</v>
      </c>
      <c r="C640" s="1">
        <v>45707.716666666667</v>
      </c>
      <c r="D640" s="1">
        <v>45734.852777777778</v>
      </c>
      <c r="E640" s="2">
        <f t="shared" si="9"/>
        <v>27.136111111110949</v>
      </c>
    </row>
    <row r="641" spans="1:5" x14ac:dyDescent="0.25">
      <c r="A641" t="s">
        <v>5</v>
      </c>
      <c r="B641" t="s">
        <v>8</v>
      </c>
      <c r="C641" s="1">
        <v>45958.999305555553</v>
      </c>
      <c r="D641" s="1">
        <v>45993.345833333333</v>
      </c>
      <c r="E641" s="2">
        <f t="shared" si="9"/>
        <v>34.346527777779556</v>
      </c>
    </row>
    <row r="642" spans="1:5" x14ac:dyDescent="0.25">
      <c r="A642" t="s">
        <v>7</v>
      </c>
      <c r="B642" t="s">
        <v>8</v>
      </c>
      <c r="C642" s="1">
        <v>45785.595833333333</v>
      </c>
      <c r="D642" s="1">
        <v>45818.416666666657</v>
      </c>
      <c r="E642" s="2">
        <f t="shared" ref="E642:E705" si="10">D642-C642</f>
        <v>32.820833333324117</v>
      </c>
    </row>
    <row r="643" spans="1:5" x14ac:dyDescent="0.25">
      <c r="A643" t="s">
        <v>5</v>
      </c>
      <c r="B643" t="s">
        <v>8</v>
      </c>
      <c r="C643" s="1">
        <v>46035.520833333343</v>
      </c>
      <c r="D643" s="1">
        <v>46073.45416666667</v>
      </c>
      <c r="E643" s="2">
        <f t="shared" si="10"/>
        <v>37.933333333327028</v>
      </c>
    </row>
    <row r="644" spans="1:5" x14ac:dyDescent="0.25">
      <c r="A644" t="s">
        <v>48</v>
      </c>
      <c r="B644" t="s">
        <v>12</v>
      </c>
      <c r="C644" s="1">
        <v>45814.84375</v>
      </c>
      <c r="D644" s="1">
        <v>45879.541666666657</v>
      </c>
      <c r="E644" s="2">
        <f t="shared" si="10"/>
        <v>64.697916666656965</v>
      </c>
    </row>
    <row r="645" spans="1:5" x14ac:dyDescent="0.25">
      <c r="A645" t="s">
        <v>5</v>
      </c>
      <c r="B645" t="s">
        <v>6</v>
      </c>
      <c r="C645" s="1">
        <v>46101.51666666667</v>
      </c>
      <c r="D645" s="1">
        <v>46169.216666666667</v>
      </c>
      <c r="E645" s="2">
        <f t="shared" si="10"/>
        <v>67.69999999999709</v>
      </c>
    </row>
    <row r="646" spans="1:5" x14ac:dyDescent="0.25">
      <c r="A646" t="s">
        <v>5</v>
      </c>
      <c r="B646" t="s">
        <v>8</v>
      </c>
      <c r="C646" s="1">
        <v>46049.5</v>
      </c>
      <c r="D646" s="1">
        <v>46091.345833333333</v>
      </c>
      <c r="E646" s="2">
        <f t="shared" si="10"/>
        <v>41.845833333332848</v>
      </c>
    </row>
    <row r="647" spans="1:5" x14ac:dyDescent="0.25">
      <c r="A647" t="s">
        <v>26</v>
      </c>
      <c r="B647" t="s">
        <v>21</v>
      </c>
      <c r="C647" s="1">
        <v>46194.208333333343</v>
      </c>
      <c r="D647" s="1">
        <v>46241.2</v>
      </c>
      <c r="E647" s="2">
        <f t="shared" si="10"/>
        <v>46.991666666654055</v>
      </c>
    </row>
    <row r="648" spans="1:5" x14ac:dyDescent="0.25">
      <c r="A648" t="s">
        <v>5</v>
      </c>
      <c r="B648" t="s">
        <v>8</v>
      </c>
      <c r="C648" s="1">
        <v>45735.674305555563</v>
      </c>
      <c r="D648" s="1">
        <v>45764.501828703702</v>
      </c>
      <c r="E648" s="2">
        <f t="shared" si="10"/>
        <v>28.827523148138425</v>
      </c>
    </row>
    <row r="649" spans="1:5" x14ac:dyDescent="0.25">
      <c r="A649" t="s">
        <v>5</v>
      </c>
      <c r="B649" t="s">
        <v>8</v>
      </c>
      <c r="C649" s="1">
        <v>46236.147800925923</v>
      </c>
      <c r="D649" s="1">
        <v>46258.295138888891</v>
      </c>
      <c r="E649" s="2">
        <f t="shared" si="10"/>
        <v>22.147337962967867</v>
      </c>
    </row>
    <row r="650" spans="1:5" x14ac:dyDescent="0.25">
      <c r="A650" t="s">
        <v>13</v>
      </c>
      <c r="B650" t="s">
        <v>8</v>
      </c>
      <c r="C650" s="1">
        <v>46141.054166666669</v>
      </c>
      <c r="D650" s="1">
        <v>46168.885416666657</v>
      </c>
      <c r="E650" s="2">
        <f t="shared" si="10"/>
        <v>27.831249999988358</v>
      </c>
    </row>
    <row r="651" spans="1:5" x14ac:dyDescent="0.25">
      <c r="A651" t="s">
        <v>5</v>
      </c>
      <c r="B651" t="s">
        <v>8</v>
      </c>
      <c r="C651" s="1">
        <v>46078.916666666657</v>
      </c>
      <c r="D651" s="1">
        <v>46113.395833333343</v>
      </c>
      <c r="E651" s="2">
        <f t="shared" si="10"/>
        <v>34.479166666686069</v>
      </c>
    </row>
    <row r="652" spans="1:5" x14ac:dyDescent="0.25">
      <c r="A652" t="s">
        <v>7</v>
      </c>
      <c r="B652" t="s">
        <v>8</v>
      </c>
      <c r="C652" s="1">
        <v>45777.64166666667</v>
      </c>
      <c r="D652" s="1">
        <v>45818.433333333327</v>
      </c>
      <c r="E652" s="2">
        <f t="shared" si="10"/>
        <v>40.791666666656965</v>
      </c>
    </row>
    <row r="653" spans="1:5" x14ac:dyDescent="0.25">
      <c r="A653" t="s">
        <v>7</v>
      </c>
      <c r="B653" t="s">
        <v>8</v>
      </c>
      <c r="C653" s="1">
        <v>45834.537499999999</v>
      </c>
      <c r="D653" s="1">
        <v>45885.783333333333</v>
      </c>
      <c r="E653" s="2">
        <f t="shared" si="10"/>
        <v>51.245833333334303</v>
      </c>
    </row>
    <row r="654" spans="1:5" x14ac:dyDescent="0.25">
      <c r="A654" t="s">
        <v>7</v>
      </c>
      <c r="B654" t="s">
        <v>8</v>
      </c>
      <c r="C654" s="1">
        <v>45800.645833333343</v>
      </c>
      <c r="D654" s="1">
        <v>45839.3125</v>
      </c>
      <c r="E654" s="2">
        <f t="shared" si="10"/>
        <v>38.666666666656965</v>
      </c>
    </row>
    <row r="655" spans="1:5" x14ac:dyDescent="0.25">
      <c r="A655" t="s">
        <v>34</v>
      </c>
      <c r="B655" t="s">
        <v>21</v>
      </c>
      <c r="C655" s="1">
        <v>45901.02847222222</v>
      </c>
      <c r="D655" s="1">
        <v>45919.808333333327</v>
      </c>
      <c r="E655" s="2">
        <f t="shared" si="10"/>
        <v>18.779861111106584</v>
      </c>
    </row>
    <row r="656" spans="1:5" x14ac:dyDescent="0.25">
      <c r="A656" t="s">
        <v>5</v>
      </c>
      <c r="B656" t="s">
        <v>8</v>
      </c>
      <c r="C656" s="1">
        <v>46101.51666666667</v>
      </c>
      <c r="D656" s="1">
        <v>46146.737500000003</v>
      </c>
      <c r="E656" s="2">
        <f t="shared" si="10"/>
        <v>45.220833333332848</v>
      </c>
    </row>
    <row r="657" spans="1:5" x14ac:dyDescent="0.25">
      <c r="A657" t="s">
        <v>7</v>
      </c>
      <c r="B657" t="s">
        <v>8</v>
      </c>
      <c r="C657" s="1">
        <v>45891.654166666667</v>
      </c>
      <c r="D657" s="1">
        <v>45938.662499999999</v>
      </c>
      <c r="E657" s="2">
        <f t="shared" si="10"/>
        <v>47.008333333331393</v>
      </c>
    </row>
    <row r="658" spans="1:5" x14ac:dyDescent="0.25">
      <c r="A658" t="s">
        <v>5</v>
      </c>
      <c r="B658" t="s">
        <v>8</v>
      </c>
      <c r="C658" s="1">
        <v>46061.879166666673</v>
      </c>
      <c r="D658" s="1">
        <v>46112.529166666667</v>
      </c>
      <c r="E658" s="2">
        <f t="shared" si="10"/>
        <v>50.649999999994179</v>
      </c>
    </row>
    <row r="659" spans="1:5" x14ac:dyDescent="0.25">
      <c r="A659" t="s">
        <v>5</v>
      </c>
      <c r="B659" t="s">
        <v>8</v>
      </c>
      <c r="C659" s="1">
        <v>46121.404166666667</v>
      </c>
      <c r="D659" s="1">
        <v>46162.866666666669</v>
      </c>
      <c r="E659" s="2">
        <f t="shared" si="10"/>
        <v>41.462500000001455</v>
      </c>
    </row>
    <row r="660" spans="1:5" x14ac:dyDescent="0.25">
      <c r="A660" t="s">
        <v>23</v>
      </c>
      <c r="B660" t="s">
        <v>19</v>
      </c>
      <c r="C660" s="1">
        <v>45766.770833333343</v>
      </c>
      <c r="D660" s="1">
        <v>45811.895138888889</v>
      </c>
      <c r="E660" s="2">
        <f t="shared" si="10"/>
        <v>45.124305555546016</v>
      </c>
    </row>
    <row r="661" spans="1:5" x14ac:dyDescent="0.25">
      <c r="A661" t="s">
        <v>11</v>
      </c>
      <c r="B661" t="s">
        <v>37</v>
      </c>
      <c r="C661" s="1">
        <v>45721.031712962962</v>
      </c>
      <c r="D661" s="1">
        <v>45734.345833333333</v>
      </c>
      <c r="E661" s="2">
        <f t="shared" si="10"/>
        <v>13.314120370370802</v>
      </c>
    </row>
    <row r="662" spans="1:5" x14ac:dyDescent="0.25">
      <c r="A662" t="s">
        <v>22</v>
      </c>
      <c r="B662" t="s">
        <v>14</v>
      </c>
      <c r="C662" s="1">
        <v>45873.866909722223</v>
      </c>
      <c r="D662" s="1">
        <v>45919.29</v>
      </c>
      <c r="E662" s="2">
        <f t="shared" si="10"/>
        <v>45.423090277778101</v>
      </c>
    </row>
    <row r="663" spans="1:5" x14ac:dyDescent="0.25">
      <c r="A663" t="s">
        <v>7</v>
      </c>
      <c r="B663" t="s">
        <v>8</v>
      </c>
      <c r="C663" s="1">
        <v>45822.8</v>
      </c>
      <c r="D663" s="1">
        <v>45875.612500000003</v>
      </c>
      <c r="E663" s="2">
        <f t="shared" si="10"/>
        <v>52.8125</v>
      </c>
    </row>
    <row r="664" spans="1:5" x14ac:dyDescent="0.25">
      <c r="A664" t="s">
        <v>7</v>
      </c>
      <c r="B664" t="s">
        <v>11</v>
      </c>
      <c r="C664" s="1">
        <v>46022.679166666669</v>
      </c>
      <c r="D664" s="1">
        <v>46097.9375</v>
      </c>
      <c r="E664" s="2">
        <f t="shared" si="10"/>
        <v>75.258333333331393</v>
      </c>
    </row>
    <row r="665" spans="1:5" x14ac:dyDescent="0.25">
      <c r="A665" t="s">
        <v>15</v>
      </c>
      <c r="B665" t="s">
        <v>13</v>
      </c>
      <c r="C665" s="1">
        <v>46120.702314814807</v>
      </c>
      <c r="D665" s="1">
        <v>46161.084722222222</v>
      </c>
      <c r="E665" s="2">
        <f t="shared" si="10"/>
        <v>40.382407407414576</v>
      </c>
    </row>
    <row r="666" spans="1:5" x14ac:dyDescent="0.25">
      <c r="A666" t="s">
        <v>18</v>
      </c>
      <c r="B666" t="s">
        <v>27</v>
      </c>
      <c r="C666" s="1">
        <v>45719.916666666657</v>
      </c>
      <c r="D666" s="1">
        <v>45791.845833333333</v>
      </c>
      <c r="E666" s="2">
        <f t="shared" si="10"/>
        <v>71.929166666675883</v>
      </c>
    </row>
    <row r="667" spans="1:5" x14ac:dyDescent="0.25">
      <c r="A667" t="s">
        <v>40</v>
      </c>
      <c r="B667" t="s">
        <v>37</v>
      </c>
      <c r="C667" s="1">
        <v>45758.230104166672</v>
      </c>
      <c r="D667" s="1">
        <v>45771.855173611111</v>
      </c>
      <c r="E667" s="2">
        <f t="shared" si="10"/>
        <v>13.62506944443885</v>
      </c>
    </row>
    <row r="668" spans="1:5" x14ac:dyDescent="0.25">
      <c r="A668" t="s">
        <v>12</v>
      </c>
      <c r="B668" t="s">
        <v>13</v>
      </c>
      <c r="C668" s="1">
        <v>45836.675000000003</v>
      </c>
      <c r="D668" s="1">
        <v>45884.808333333327</v>
      </c>
      <c r="E668" s="2">
        <f t="shared" si="10"/>
        <v>48.133333333324117</v>
      </c>
    </row>
    <row r="669" spans="1:5" x14ac:dyDescent="0.25">
      <c r="A669" t="s">
        <v>13</v>
      </c>
      <c r="B669" t="s">
        <v>8</v>
      </c>
      <c r="C669" s="1">
        <v>45920.629166666673</v>
      </c>
      <c r="D669" s="1">
        <v>45944.317361111112</v>
      </c>
      <c r="E669" s="2">
        <f t="shared" si="10"/>
        <v>23.688194444439432</v>
      </c>
    </row>
    <row r="670" spans="1:5" x14ac:dyDescent="0.25">
      <c r="A670" t="s">
        <v>15</v>
      </c>
      <c r="B670" t="s">
        <v>6</v>
      </c>
      <c r="C670" s="1">
        <v>45779</v>
      </c>
      <c r="D670" s="1">
        <v>45841.255555555559</v>
      </c>
      <c r="E670" s="2">
        <f t="shared" si="10"/>
        <v>62.255555555559113</v>
      </c>
    </row>
    <row r="671" spans="1:5" x14ac:dyDescent="0.25">
      <c r="A671" t="s">
        <v>10</v>
      </c>
      <c r="B671" t="s">
        <v>11</v>
      </c>
      <c r="C671" s="1">
        <v>45799.418043981481</v>
      </c>
      <c r="D671" s="1">
        <v>45826.025000000001</v>
      </c>
      <c r="E671" s="2">
        <f t="shared" si="10"/>
        <v>26.606956018520577</v>
      </c>
    </row>
    <row r="672" spans="1:5" x14ac:dyDescent="0.25">
      <c r="A672" t="s">
        <v>15</v>
      </c>
      <c r="B672" t="s">
        <v>13</v>
      </c>
      <c r="C672" s="1">
        <v>45973.129166666673</v>
      </c>
      <c r="D672" s="1">
        <v>46012.165972222218</v>
      </c>
      <c r="E672" s="2">
        <f t="shared" si="10"/>
        <v>39.036805555544561</v>
      </c>
    </row>
    <row r="673" spans="1:5" x14ac:dyDescent="0.25">
      <c r="A673" t="s">
        <v>7</v>
      </c>
      <c r="B673" t="s">
        <v>8</v>
      </c>
      <c r="C673" s="1">
        <v>45903.083333333343</v>
      </c>
      <c r="D673" s="1">
        <v>45938.662499999999</v>
      </c>
      <c r="E673" s="2">
        <f t="shared" si="10"/>
        <v>35.57916666665551</v>
      </c>
    </row>
    <row r="674" spans="1:5" x14ac:dyDescent="0.25">
      <c r="A674" t="s">
        <v>7</v>
      </c>
      <c r="B674" t="s">
        <v>8</v>
      </c>
      <c r="C674" s="1">
        <v>45875.462500000001</v>
      </c>
      <c r="D674" s="1">
        <v>45920.2</v>
      </c>
      <c r="E674" s="2">
        <f t="shared" si="10"/>
        <v>44.737499999995634</v>
      </c>
    </row>
    <row r="675" spans="1:5" x14ac:dyDescent="0.25">
      <c r="A675" t="s">
        <v>7</v>
      </c>
      <c r="B675" t="s">
        <v>11</v>
      </c>
      <c r="C675" s="1">
        <v>45777.64166666667</v>
      </c>
      <c r="D675" s="1">
        <v>45850</v>
      </c>
      <c r="E675" s="2">
        <f t="shared" si="10"/>
        <v>72.358333333329938</v>
      </c>
    </row>
    <row r="676" spans="1:5" x14ac:dyDescent="0.25">
      <c r="A676" t="s">
        <v>7</v>
      </c>
      <c r="B676" t="s">
        <v>8</v>
      </c>
      <c r="C676" s="1">
        <v>45920.587500000001</v>
      </c>
      <c r="D676" s="1">
        <v>45965.662499999999</v>
      </c>
      <c r="E676" s="2">
        <f t="shared" si="10"/>
        <v>45.07499999999709</v>
      </c>
    </row>
    <row r="677" spans="1:5" x14ac:dyDescent="0.25">
      <c r="A677" t="s">
        <v>9</v>
      </c>
      <c r="B677" t="s">
        <v>8</v>
      </c>
      <c r="C677" s="1">
        <v>46078.175000000003</v>
      </c>
      <c r="D677" s="1">
        <v>46113.395833333343</v>
      </c>
      <c r="E677" s="2">
        <f t="shared" si="10"/>
        <v>35.220833333340124</v>
      </c>
    </row>
    <row r="678" spans="1:5" x14ac:dyDescent="0.25">
      <c r="A678" t="s">
        <v>7</v>
      </c>
      <c r="B678" t="s">
        <v>8</v>
      </c>
      <c r="C678" s="1">
        <v>45911.159722222219</v>
      </c>
      <c r="D678" s="1">
        <v>45948.104166666657</v>
      </c>
      <c r="E678" s="2">
        <f t="shared" si="10"/>
        <v>36.944444444437977</v>
      </c>
    </row>
    <row r="679" spans="1:5" x14ac:dyDescent="0.25">
      <c r="A679" t="s">
        <v>7</v>
      </c>
      <c r="B679" t="s">
        <v>8</v>
      </c>
      <c r="C679" s="1">
        <v>45807.791666666657</v>
      </c>
      <c r="D679" s="1">
        <v>45853.816666666673</v>
      </c>
      <c r="E679" s="2">
        <f t="shared" si="10"/>
        <v>46.025000000016007</v>
      </c>
    </row>
    <row r="680" spans="1:5" x14ac:dyDescent="0.25">
      <c r="A680" t="s">
        <v>5</v>
      </c>
      <c r="B680" t="s">
        <v>8</v>
      </c>
      <c r="C680" s="1">
        <v>46072.658333333333</v>
      </c>
      <c r="D680" s="1">
        <v>46107.929166666669</v>
      </c>
      <c r="E680" s="2">
        <f t="shared" si="10"/>
        <v>35.270833333335759</v>
      </c>
    </row>
    <row r="681" spans="1:5" x14ac:dyDescent="0.25">
      <c r="A681" t="s">
        <v>5</v>
      </c>
      <c r="B681" t="s">
        <v>8</v>
      </c>
      <c r="C681" s="1">
        <v>46115.291666666657</v>
      </c>
      <c r="D681" s="1">
        <v>46188.833333333343</v>
      </c>
      <c r="E681" s="2">
        <f t="shared" si="10"/>
        <v>73.541666666686069</v>
      </c>
    </row>
    <row r="682" spans="1:5" x14ac:dyDescent="0.25">
      <c r="A682" t="s">
        <v>5</v>
      </c>
      <c r="B682" t="s">
        <v>8</v>
      </c>
      <c r="C682" s="1">
        <v>46028.258333333331</v>
      </c>
      <c r="D682" s="1">
        <v>46071.058333333327</v>
      </c>
      <c r="E682" s="2">
        <f t="shared" si="10"/>
        <v>42.799999999995634</v>
      </c>
    </row>
    <row r="683" spans="1:5" x14ac:dyDescent="0.25">
      <c r="A683" t="s">
        <v>22</v>
      </c>
      <c r="B683" t="s">
        <v>14</v>
      </c>
      <c r="C683" s="1">
        <v>45950.5</v>
      </c>
      <c r="D683" s="1">
        <v>45994.541666666657</v>
      </c>
      <c r="E683" s="2">
        <f t="shared" si="10"/>
        <v>44.041666666656965</v>
      </c>
    </row>
    <row r="684" spans="1:5" x14ac:dyDescent="0.25">
      <c r="A684" t="s">
        <v>16</v>
      </c>
      <c r="B684" t="s">
        <v>8</v>
      </c>
      <c r="C684" s="1">
        <v>45744.76666666667</v>
      </c>
      <c r="D684" s="1">
        <v>45791.914583333331</v>
      </c>
      <c r="E684" s="2">
        <f t="shared" si="10"/>
        <v>47.147916666661331</v>
      </c>
    </row>
    <row r="685" spans="1:5" x14ac:dyDescent="0.25">
      <c r="A685" t="s">
        <v>7</v>
      </c>
      <c r="B685" t="s">
        <v>8</v>
      </c>
      <c r="C685" s="1">
        <v>45822.8</v>
      </c>
      <c r="D685" s="1">
        <v>45875.612500000003</v>
      </c>
      <c r="E685" s="2">
        <f t="shared" si="10"/>
        <v>52.8125</v>
      </c>
    </row>
    <row r="686" spans="1:5" x14ac:dyDescent="0.25">
      <c r="A686" t="s">
        <v>5</v>
      </c>
      <c r="B686" t="s">
        <v>6</v>
      </c>
      <c r="C686" s="1">
        <v>45967.658333333333</v>
      </c>
      <c r="D686" s="1">
        <v>46019.366666666669</v>
      </c>
      <c r="E686" s="2">
        <f t="shared" si="10"/>
        <v>51.708333333335759</v>
      </c>
    </row>
    <row r="687" spans="1:5" x14ac:dyDescent="0.25">
      <c r="A687" t="s">
        <v>7</v>
      </c>
      <c r="B687" t="s">
        <v>8</v>
      </c>
      <c r="C687" s="1">
        <v>45882.166666666657</v>
      </c>
      <c r="D687" s="1">
        <v>45938.662499999999</v>
      </c>
      <c r="E687" s="2">
        <f t="shared" si="10"/>
        <v>56.495833333341579</v>
      </c>
    </row>
    <row r="688" spans="1:5" x14ac:dyDescent="0.25">
      <c r="A688" t="s">
        <v>13</v>
      </c>
      <c r="B688" t="s">
        <v>8</v>
      </c>
      <c r="C688" s="1">
        <v>45893.008333333331</v>
      </c>
      <c r="D688" s="1">
        <v>45917.229166666657</v>
      </c>
      <c r="E688" s="2">
        <f t="shared" si="10"/>
        <v>24.220833333325572</v>
      </c>
    </row>
    <row r="689" spans="1:5" x14ac:dyDescent="0.25">
      <c r="A689" t="s">
        <v>11</v>
      </c>
      <c r="B689" t="s">
        <v>7</v>
      </c>
      <c r="C689" s="1">
        <v>46077.962500000001</v>
      </c>
      <c r="D689" s="1">
        <v>46140.270833333343</v>
      </c>
      <c r="E689" s="2">
        <f t="shared" si="10"/>
        <v>62.308333333341579</v>
      </c>
    </row>
    <row r="690" spans="1:5" x14ac:dyDescent="0.25">
      <c r="A690" t="s">
        <v>10</v>
      </c>
      <c r="B690" t="s">
        <v>11</v>
      </c>
      <c r="C690" s="1">
        <v>45855.916666666657</v>
      </c>
      <c r="D690" s="1">
        <v>45888.958333333343</v>
      </c>
      <c r="E690" s="2">
        <f t="shared" si="10"/>
        <v>33.041666666686069</v>
      </c>
    </row>
    <row r="691" spans="1:5" x14ac:dyDescent="0.25">
      <c r="A691" t="s">
        <v>16</v>
      </c>
      <c r="B691" t="s">
        <v>20</v>
      </c>
      <c r="C691" s="1">
        <v>45757.408333333333</v>
      </c>
      <c r="D691" s="1">
        <v>45817.220833333333</v>
      </c>
      <c r="E691" s="2">
        <f t="shared" si="10"/>
        <v>59.8125</v>
      </c>
    </row>
    <row r="692" spans="1:5" x14ac:dyDescent="0.25">
      <c r="A692" t="s">
        <v>13</v>
      </c>
      <c r="B692" t="s">
        <v>8</v>
      </c>
      <c r="C692" s="1">
        <v>45725</v>
      </c>
      <c r="D692" s="1">
        <v>45749.63958333333</v>
      </c>
      <c r="E692" s="2">
        <f t="shared" si="10"/>
        <v>24.639583333329938</v>
      </c>
    </row>
    <row r="693" spans="1:5" x14ac:dyDescent="0.25">
      <c r="A693" t="s">
        <v>11</v>
      </c>
      <c r="B693" t="s">
        <v>21</v>
      </c>
      <c r="C693" s="1">
        <v>46129.598611111112</v>
      </c>
      <c r="D693" s="1">
        <v>46142.566666666673</v>
      </c>
      <c r="E693" s="2">
        <f t="shared" si="10"/>
        <v>12.968055555560568</v>
      </c>
    </row>
    <row r="694" spans="1:5" x14ac:dyDescent="0.25">
      <c r="A694" t="s">
        <v>22</v>
      </c>
      <c r="B694" t="s">
        <v>14</v>
      </c>
      <c r="C694" s="1">
        <v>45929.566701388889</v>
      </c>
      <c r="D694" s="1">
        <v>45974.012499999997</v>
      </c>
      <c r="E694" s="2">
        <f t="shared" si="10"/>
        <v>44.44579861110833</v>
      </c>
    </row>
    <row r="695" spans="1:5" x14ac:dyDescent="0.25">
      <c r="A695" t="s">
        <v>22</v>
      </c>
      <c r="B695" t="s">
        <v>19</v>
      </c>
      <c r="C695" s="1">
        <v>45748.2</v>
      </c>
      <c r="D695" s="1">
        <v>45816.841666666667</v>
      </c>
      <c r="E695" s="2">
        <f t="shared" si="10"/>
        <v>68.641666666670062</v>
      </c>
    </row>
    <row r="696" spans="1:5" x14ac:dyDescent="0.25">
      <c r="A696" t="s">
        <v>16</v>
      </c>
      <c r="B696" t="s">
        <v>8</v>
      </c>
      <c r="C696" s="1">
        <v>45764.879166666673</v>
      </c>
      <c r="D696" s="1">
        <v>45827.75</v>
      </c>
      <c r="E696" s="2">
        <f t="shared" si="10"/>
        <v>62.870833333327028</v>
      </c>
    </row>
    <row r="697" spans="1:5" x14ac:dyDescent="0.25">
      <c r="A697" t="s">
        <v>16</v>
      </c>
      <c r="B697" t="s">
        <v>11</v>
      </c>
      <c r="C697" s="1">
        <v>45679.275000000001</v>
      </c>
      <c r="D697" s="1">
        <v>45762.865277777782</v>
      </c>
      <c r="E697" s="2">
        <f t="shared" si="10"/>
        <v>83.590277777781012</v>
      </c>
    </row>
    <row r="698" spans="1:5" x14ac:dyDescent="0.25">
      <c r="A698" t="s">
        <v>28</v>
      </c>
      <c r="B698" t="s">
        <v>8</v>
      </c>
      <c r="C698" s="1">
        <v>45836.231249999997</v>
      </c>
      <c r="D698" s="1">
        <v>45901.583333333343</v>
      </c>
      <c r="E698" s="2">
        <f t="shared" si="10"/>
        <v>65.352083333345945</v>
      </c>
    </row>
    <row r="699" spans="1:5" x14ac:dyDescent="0.25">
      <c r="A699" t="s">
        <v>9</v>
      </c>
      <c r="B699" t="s">
        <v>8</v>
      </c>
      <c r="C699" s="1">
        <v>46176.84375</v>
      </c>
      <c r="D699" s="1">
        <v>46225.791666666657</v>
      </c>
      <c r="E699" s="2">
        <f t="shared" si="10"/>
        <v>48.947916666656965</v>
      </c>
    </row>
    <row r="700" spans="1:5" x14ac:dyDescent="0.25">
      <c r="A700" t="s">
        <v>7</v>
      </c>
      <c r="B700" t="s">
        <v>13</v>
      </c>
      <c r="C700" s="1">
        <v>45812.112500000003</v>
      </c>
      <c r="D700" s="1">
        <v>45835.85</v>
      </c>
      <c r="E700" s="2">
        <f t="shared" si="10"/>
        <v>23.737499999995634</v>
      </c>
    </row>
    <row r="701" spans="1:5" x14ac:dyDescent="0.25">
      <c r="A701" t="s">
        <v>5</v>
      </c>
      <c r="B701" t="s">
        <v>8</v>
      </c>
      <c r="C701" s="1">
        <v>46101.51666666667</v>
      </c>
      <c r="D701" s="1">
        <v>46146.737500000003</v>
      </c>
      <c r="E701" s="2">
        <f t="shared" si="10"/>
        <v>45.220833333332848</v>
      </c>
    </row>
    <row r="702" spans="1:5" x14ac:dyDescent="0.25">
      <c r="A702" t="s">
        <v>14</v>
      </c>
      <c r="B702" t="s">
        <v>22</v>
      </c>
      <c r="C702" s="1">
        <v>46207.320833333331</v>
      </c>
      <c r="D702" s="1">
        <v>46275.918055555558</v>
      </c>
      <c r="E702" s="2">
        <f t="shared" si="10"/>
        <v>68.597222222226264</v>
      </c>
    </row>
    <row r="703" spans="1:5" x14ac:dyDescent="0.25">
      <c r="A703" t="s">
        <v>34</v>
      </c>
      <c r="B703" t="s">
        <v>13</v>
      </c>
      <c r="C703" s="1">
        <v>46062.730555555558</v>
      </c>
      <c r="D703" s="1">
        <v>46101.017361111109</v>
      </c>
      <c r="E703" s="2">
        <f t="shared" si="10"/>
        <v>38.286805555551837</v>
      </c>
    </row>
    <row r="704" spans="1:5" x14ac:dyDescent="0.25">
      <c r="A704" t="s">
        <v>23</v>
      </c>
      <c r="B704" t="s">
        <v>18</v>
      </c>
      <c r="C704" s="1">
        <v>46090.923611111109</v>
      </c>
      <c r="D704" s="1">
        <v>46143.875</v>
      </c>
      <c r="E704" s="2">
        <f t="shared" si="10"/>
        <v>52.951388888890506</v>
      </c>
    </row>
    <row r="705" spans="1:5" x14ac:dyDescent="0.25">
      <c r="A705" t="s">
        <v>12</v>
      </c>
      <c r="B705" t="s">
        <v>14</v>
      </c>
      <c r="C705" s="1">
        <v>46167.911805555559</v>
      </c>
      <c r="D705" s="1">
        <v>46246.288194444453</v>
      </c>
      <c r="E705" s="2">
        <f t="shared" si="10"/>
        <v>78.376388888893416</v>
      </c>
    </row>
    <row r="706" spans="1:5" x14ac:dyDescent="0.25">
      <c r="A706" t="s">
        <v>23</v>
      </c>
      <c r="B706" t="s">
        <v>30</v>
      </c>
      <c r="C706" s="1">
        <v>45908.715277777781</v>
      </c>
      <c r="D706" s="1">
        <v>45947.677083333343</v>
      </c>
      <c r="E706" s="2">
        <f t="shared" ref="E706:E769" si="11">D706-C706</f>
        <v>38.961805555562023</v>
      </c>
    </row>
    <row r="707" spans="1:5" x14ac:dyDescent="0.25">
      <c r="A707" t="s">
        <v>7</v>
      </c>
      <c r="B707" t="s">
        <v>8</v>
      </c>
      <c r="C707" s="1">
        <v>45777.64166666667</v>
      </c>
      <c r="D707" s="1">
        <v>45818.433333333327</v>
      </c>
      <c r="E707" s="2">
        <f t="shared" si="11"/>
        <v>40.791666666656965</v>
      </c>
    </row>
    <row r="708" spans="1:5" x14ac:dyDescent="0.25">
      <c r="A708" t="s">
        <v>10</v>
      </c>
      <c r="B708" t="s">
        <v>8</v>
      </c>
      <c r="C708" s="1">
        <v>45951.932638888888</v>
      </c>
      <c r="D708" s="1">
        <v>45978</v>
      </c>
      <c r="E708" s="2">
        <f t="shared" si="11"/>
        <v>26.067361111112405</v>
      </c>
    </row>
    <row r="709" spans="1:5" x14ac:dyDescent="0.25">
      <c r="A709" t="s">
        <v>5</v>
      </c>
      <c r="B709" t="s">
        <v>8</v>
      </c>
      <c r="C709" s="1">
        <v>46049.5</v>
      </c>
      <c r="D709" s="1">
        <v>46091.345833333333</v>
      </c>
      <c r="E709" s="2">
        <f t="shared" si="11"/>
        <v>41.845833333332848</v>
      </c>
    </row>
    <row r="710" spans="1:5" x14ac:dyDescent="0.25">
      <c r="A710" t="s">
        <v>8</v>
      </c>
      <c r="B710" t="s">
        <v>18</v>
      </c>
      <c r="C710" s="1">
        <v>46212.760416666657</v>
      </c>
      <c r="D710" s="1">
        <v>46269.7</v>
      </c>
      <c r="E710" s="2">
        <f t="shared" si="11"/>
        <v>56.939583333340124</v>
      </c>
    </row>
    <row r="711" spans="1:5" x14ac:dyDescent="0.25">
      <c r="A711" t="s">
        <v>13</v>
      </c>
      <c r="B711" t="s">
        <v>8</v>
      </c>
      <c r="C711" s="1">
        <v>45920.629166666673</v>
      </c>
      <c r="D711" s="1">
        <v>45944.317361111112</v>
      </c>
      <c r="E711" s="2">
        <f t="shared" si="11"/>
        <v>23.688194444439432</v>
      </c>
    </row>
    <row r="712" spans="1:5" x14ac:dyDescent="0.25">
      <c r="A712" t="s">
        <v>13</v>
      </c>
      <c r="B712" t="s">
        <v>11</v>
      </c>
      <c r="C712" s="1">
        <v>45829.554166666669</v>
      </c>
      <c r="D712" s="1">
        <v>45882.037499999999</v>
      </c>
      <c r="E712" s="2">
        <f t="shared" si="11"/>
        <v>52.483333333329938</v>
      </c>
    </row>
    <row r="713" spans="1:5" x14ac:dyDescent="0.25">
      <c r="A713" t="s">
        <v>13</v>
      </c>
      <c r="B713" t="s">
        <v>8</v>
      </c>
      <c r="C713" s="1">
        <v>46031.720833333333</v>
      </c>
      <c r="D713" s="1">
        <v>46057.604861111111</v>
      </c>
      <c r="E713" s="2">
        <f t="shared" si="11"/>
        <v>25.884027777778101</v>
      </c>
    </row>
    <row r="714" spans="1:5" x14ac:dyDescent="0.25">
      <c r="A714" t="s">
        <v>16</v>
      </c>
      <c r="B714" t="s">
        <v>8</v>
      </c>
      <c r="C714" s="1">
        <v>45764.879166666673</v>
      </c>
      <c r="D714" s="1">
        <v>45827.75</v>
      </c>
      <c r="E714" s="2">
        <f t="shared" si="11"/>
        <v>62.870833333327028</v>
      </c>
    </row>
    <row r="715" spans="1:5" x14ac:dyDescent="0.25">
      <c r="A715" t="s">
        <v>9</v>
      </c>
      <c r="B715" t="s">
        <v>11</v>
      </c>
      <c r="C715" s="1">
        <v>45701.544444444437</v>
      </c>
      <c r="D715" s="1">
        <v>45783.9</v>
      </c>
      <c r="E715" s="2">
        <f t="shared" si="11"/>
        <v>82.355555555564933</v>
      </c>
    </row>
    <row r="716" spans="1:5" x14ac:dyDescent="0.25">
      <c r="A716" t="s">
        <v>19</v>
      </c>
      <c r="B716" t="s">
        <v>8</v>
      </c>
      <c r="C716" s="1">
        <v>46092.583333333343</v>
      </c>
      <c r="D716" s="1">
        <v>46125.569444444453</v>
      </c>
      <c r="E716" s="2">
        <f t="shared" si="11"/>
        <v>32.986111111109494</v>
      </c>
    </row>
    <row r="717" spans="1:5" x14ac:dyDescent="0.25">
      <c r="A717" t="s">
        <v>15</v>
      </c>
      <c r="B717" t="s">
        <v>13</v>
      </c>
      <c r="C717" s="1">
        <v>45779.691666666673</v>
      </c>
      <c r="D717" s="1">
        <v>45820.898611111108</v>
      </c>
      <c r="E717" s="2">
        <f t="shared" si="11"/>
        <v>41.206944444435067</v>
      </c>
    </row>
    <row r="718" spans="1:5" x14ac:dyDescent="0.25">
      <c r="A718" t="s">
        <v>7</v>
      </c>
      <c r="B718" t="s">
        <v>13</v>
      </c>
      <c r="C718" s="1">
        <v>46102.293749999997</v>
      </c>
      <c r="D718" s="1">
        <v>46150.511805555558</v>
      </c>
      <c r="E718" s="2">
        <f t="shared" si="11"/>
        <v>48.218055555560568</v>
      </c>
    </row>
    <row r="719" spans="1:5" x14ac:dyDescent="0.25">
      <c r="A719" t="s">
        <v>15</v>
      </c>
      <c r="B719" t="s">
        <v>18</v>
      </c>
      <c r="C719" s="1">
        <v>45957.560416666667</v>
      </c>
      <c r="D719" s="1">
        <v>46008.915277777778</v>
      </c>
      <c r="E719" s="2">
        <f t="shared" si="11"/>
        <v>51.354861111110949</v>
      </c>
    </row>
    <row r="720" spans="1:5" x14ac:dyDescent="0.25">
      <c r="A720" t="s">
        <v>12</v>
      </c>
      <c r="B720" t="s">
        <v>13</v>
      </c>
      <c r="C720" s="1">
        <v>45957.333333333343</v>
      </c>
      <c r="D720" s="1">
        <v>46004.25</v>
      </c>
      <c r="E720" s="2">
        <f t="shared" si="11"/>
        <v>46.916666666656965</v>
      </c>
    </row>
    <row r="721" spans="1:5" x14ac:dyDescent="0.25">
      <c r="A721" t="s">
        <v>13</v>
      </c>
      <c r="B721" t="s">
        <v>8</v>
      </c>
      <c r="C721" s="1">
        <v>46037.32708333333</v>
      </c>
      <c r="D721" s="1">
        <v>46078.697916666657</v>
      </c>
      <c r="E721" s="2">
        <f t="shared" si="11"/>
        <v>41.370833333327028</v>
      </c>
    </row>
    <row r="722" spans="1:5" x14ac:dyDescent="0.25">
      <c r="A722" t="s">
        <v>26</v>
      </c>
      <c r="B722" t="s">
        <v>21</v>
      </c>
      <c r="C722" s="1">
        <v>46232.533333333333</v>
      </c>
      <c r="D722" s="1">
        <v>46282.279166666667</v>
      </c>
      <c r="E722" s="2">
        <f t="shared" si="11"/>
        <v>49.745833333334303</v>
      </c>
    </row>
    <row r="723" spans="1:5" x14ac:dyDescent="0.25">
      <c r="A723" t="s">
        <v>7</v>
      </c>
      <c r="B723" t="s">
        <v>13</v>
      </c>
      <c r="C723" s="1">
        <v>45976.5</v>
      </c>
      <c r="D723" s="1">
        <v>46025.229166666657</v>
      </c>
      <c r="E723" s="2">
        <f t="shared" si="11"/>
        <v>48.729166666656965</v>
      </c>
    </row>
    <row r="724" spans="1:5" x14ac:dyDescent="0.25">
      <c r="A724" t="s">
        <v>12</v>
      </c>
      <c r="B724" t="s">
        <v>13</v>
      </c>
      <c r="C724" s="1">
        <v>45871.95</v>
      </c>
      <c r="D724" s="1">
        <v>45921.675000000003</v>
      </c>
      <c r="E724" s="2">
        <f t="shared" si="11"/>
        <v>49.725000000005821</v>
      </c>
    </row>
    <row r="725" spans="1:5" x14ac:dyDescent="0.25">
      <c r="A725" t="s">
        <v>27</v>
      </c>
      <c r="B725" t="s">
        <v>8</v>
      </c>
      <c r="C725" s="1">
        <v>46062.859722222223</v>
      </c>
      <c r="D725" s="1">
        <v>46110.377083333333</v>
      </c>
      <c r="E725" s="2">
        <f t="shared" si="11"/>
        <v>47.517361111109494</v>
      </c>
    </row>
    <row r="726" spans="1:5" x14ac:dyDescent="0.25">
      <c r="A726" t="s">
        <v>15</v>
      </c>
      <c r="B726" t="s">
        <v>13</v>
      </c>
      <c r="C726" s="1">
        <v>46000.75</v>
      </c>
      <c r="D726" s="1">
        <v>46040.625</v>
      </c>
      <c r="E726" s="2">
        <f t="shared" si="11"/>
        <v>39.875</v>
      </c>
    </row>
    <row r="727" spans="1:5" x14ac:dyDescent="0.25">
      <c r="A727" t="s">
        <v>11</v>
      </c>
      <c r="B727" t="s">
        <v>7</v>
      </c>
      <c r="C727" s="1">
        <v>45851.537499999999</v>
      </c>
      <c r="D727" s="1">
        <v>45939.32916666667</v>
      </c>
      <c r="E727" s="2">
        <f t="shared" si="11"/>
        <v>87.791666666671517</v>
      </c>
    </row>
    <row r="728" spans="1:5" x14ac:dyDescent="0.25">
      <c r="A728" t="s">
        <v>22</v>
      </c>
      <c r="B728" t="s">
        <v>19</v>
      </c>
      <c r="C728" s="1">
        <v>45698.170138888891</v>
      </c>
      <c r="D728" s="1">
        <v>45760.508333333331</v>
      </c>
      <c r="E728" s="2">
        <f t="shared" si="11"/>
        <v>62.338194444440887</v>
      </c>
    </row>
    <row r="729" spans="1:5" x14ac:dyDescent="0.25">
      <c r="A729" t="s">
        <v>22</v>
      </c>
      <c r="B729" t="s">
        <v>36</v>
      </c>
      <c r="C729" s="1">
        <v>45698.170138888891</v>
      </c>
      <c r="D729" s="1">
        <v>45760.508333333331</v>
      </c>
      <c r="E729" s="2">
        <f t="shared" si="11"/>
        <v>62.338194444440887</v>
      </c>
    </row>
    <row r="730" spans="1:5" x14ac:dyDescent="0.25">
      <c r="A730" t="s">
        <v>7</v>
      </c>
      <c r="B730" t="s">
        <v>8</v>
      </c>
      <c r="C730" s="1">
        <v>45808.775000000001</v>
      </c>
      <c r="D730" s="1">
        <v>45853.816666666673</v>
      </c>
      <c r="E730" s="2">
        <f t="shared" si="11"/>
        <v>45.041666666671517</v>
      </c>
    </row>
    <row r="731" spans="1:5" x14ac:dyDescent="0.25">
      <c r="A731" t="s">
        <v>7</v>
      </c>
      <c r="B731" t="s">
        <v>8</v>
      </c>
      <c r="C731" s="1">
        <v>45931.208333333343</v>
      </c>
      <c r="D731" s="1">
        <v>45966.508333333331</v>
      </c>
      <c r="E731" s="2">
        <f t="shared" si="11"/>
        <v>35.299999999988358</v>
      </c>
    </row>
    <row r="732" spans="1:5" x14ac:dyDescent="0.25">
      <c r="A732" t="s">
        <v>5</v>
      </c>
      <c r="B732" t="s">
        <v>8</v>
      </c>
      <c r="C732" s="1">
        <v>45750.73333333333</v>
      </c>
      <c r="D732" s="1">
        <v>45782.671527777777</v>
      </c>
      <c r="E732" s="2">
        <f t="shared" si="11"/>
        <v>31.938194444446708</v>
      </c>
    </row>
    <row r="733" spans="1:5" x14ac:dyDescent="0.25">
      <c r="A733" t="s">
        <v>5</v>
      </c>
      <c r="B733" t="s">
        <v>8</v>
      </c>
      <c r="C733" s="1">
        <v>45722.095833333333</v>
      </c>
      <c r="D733" s="1">
        <v>45749.925694444442</v>
      </c>
      <c r="E733" s="2">
        <f t="shared" si="11"/>
        <v>27.829861111109494</v>
      </c>
    </row>
    <row r="734" spans="1:5" x14ac:dyDescent="0.25">
      <c r="A734" t="s">
        <v>5</v>
      </c>
      <c r="B734" t="s">
        <v>8</v>
      </c>
      <c r="C734" s="1">
        <v>46088.612500000003</v>
      </c>
      <c r="D734" s="1">
        <v>46141.354166666657</v>
      </c>
      <c r="E734" s="2">
        <f t="shared" si="11"/>
        <v>52.741666666654055</v>
      </c>
    </row>
    <row r="735" spans="1:5" x14ac:dyDescent="0.25">
      <c r="A735" t="s">
        <v>48</v>
      </c>
      <c r="B735" t="s">
        <v>12</v>
      </c>
      <c r="C735" s="1">
        <v>45841.020833333343</v>
      </c>
      <c r="D735" s="1">
        <v>45898.416666666657</v>
      </c>
      <c r="E735" s="2">
        <f t="shared" si="11"/>
        <v>57.395833333313931</v>
      </c>
    </row>
    <row r="736" spans="1:5" x14ac:dyDescent="0.25">
      <c r="A736" t="s">
        <v>5</v>
      </c>
      <c r="B736" t="s">
        <v>47</v>
      </c>
      <c r="C736" s="1">
        <v>46113.60833333333</v>
      </c>
      <c r="D736" s="1">
        <v>46147.691666666673</v>
      </c>
      <c r="E736" s="2">
        <f t="shared" si="11"/>
        <v>34.083333333343035</v>
      </c>
    </row>
    <row r="737" spans="1:5" x14ac:dyDescent="0.25">
      <c r="A737" t="s">
        <v>19</v>
      </c>
      <c r="B737" t="s">
        <v>54</v>
      </c>
      <c r="C737" s="1">
        <v>46188.927083333343</v>
      </c>
      <c r="D737" s="1">
        <v>46228.1875</v>
      </c>
      <c r="E737" s="2">
        <f t="shared" si="11"/>
        <v>39.260416666656965</v>
      </c>
    </row>
    <row r="738" spans="1:5" x14ac:dyDescent="0.25">
      <c r="A738" t="s">
        <v>5</v>
      </c>
      <c r="B738" t="s">
        <v>8</v>
      </c>
      <c r="C738" s="1">
        <v>46159.081250000003</v>
      </c>
      <c r="D738" s="1">
        <v>46181.674976851849</v>
      </c>
      <c r="E738" s="2">
        <f t="shared" si="11"/>
        <v>22.593726851846441</v>
      </c>
    </row>
    <row r="739" spans="1:5" x14ac:dyDescent="0.25">
      <c r="A739" t="s">
        <v>5</v>
      </c>
      <c r="B739" t="s">
        <v>8</v>
      </c>
      <c r="C739" s="1">
        <v>45735.674305555563</v>
      </c>
      <c r="D739" s="1">
        <v>45764.537499999999</v>
      </c>
      <c r="E739" s="2">
        <f t="shared" si="11"/>
        <v>28.863194444435067</v>
      </c>
    </row>
    <row r="740" spans="1:5" x14ac:dyDescent="0.25">
      <c r="A740" t="s">
        <v>5</v>
      </c>
      <c r="B740" t="s">
        <v>8</v>
      </c>
      <c r="C740" s="1">
        <v>45758.019780092603</v>
      </c>
      <c r="D740" s="1">
        <v>45789.869444444441</v>
      </c>
      <c r="E740" s="2">
        <f t="shared" si="11"/>
        <v>31.849664351837419</v>
      </c>
    </row>
    <row r="741" spans="1:5" x14ac:dyDescent="0.25">
      <c r="A741" t="s">
        <v>6</v>
      </c>
      <c r="B741" t="s">
        <v>8</v>
      </c>
      <c r="C741" s="1">
        <v>46097.9</v>
      </c>
      <c r="D741" s="1">
        <v>46139.593055555553</v>
      </c>
      <c r="E741" s="2">
        <f t="shared" si="11"/>
        <v>41.693055555551837</v>
      </c>
    </row>
    <row r="742" spans="1:5" x14ac:dyDescent="0.25">
      <c r="A742" t="s">
        <v>22</v>
      </c>
      <c r="B742" t="s">
        <v>51</v>
      </c>
      <c r="C742" s="1">
        <v>45998.75</v>
      </c>
      <c r="D742" s="1">
        <v>46075.638888888891</v>
      </c>
      <c r="E742" s="2">
        <f t="shared" si="11"/>
        <v>76.888888888890506</v>
      </c>
    </row>
    <row r="743" spans="1:5" x14ac:dyDescent="0.25">
      <c r="A743" t="s">
        <v>14</v>
      </c>
      <c r="B743" t="s">
        <v>22</v>
      </c>
      <c r="C743" s="1">
        <v>46230.609386574077</v>
      </c>
      <c r="D743" s="1">
        <v>46282.318055555559</v>
      </c>
      <c r="E743" s="2">
        <f t="shared" si="11"/>
        <v>51.708668981482333</v>
      </c>
    </row>
    <row r="744" spans="1:5" x14ac:dyDescent="0.25">
      <c r="A744" t="s">
        <v>22</v>
      </c>
      <c r="B744" t="s">
        <v>19</v>
      </c>
      <c r="C744" s="1">
        <v>46006.477777777778</v>
      </c>
      <c r="D744" s="1">
        <v>46069.90625</v>
      </c>
      <c r="E744" s="2">
        <f t="shared" si="11"/>
        <v>63.428472222221899</v>
      </c>
    </row>
    <row r="745" spans="1:5" x14ac:dyDescent="0.25">
      <c r="A745" t="s">
        <v>18</v>
      </c>
      <c r="B745" t="s">
        <v>8</v>
      </c>
      <c r="C745" s="1">
        <v>46063.429861111108</v>
      </c>
      <c r="D745" s="1">
        <v>46092.381944444453</v>
      </c>
      <c r="E745" s="2">
        <f t="shared" si="11"/>
        <v>28.95208333334449</v>
      </c>
    </row>
    <row r="746" spans="1:5" x14ac:dyDescent="0.25">
      <c r="A746" t="s">
        <v>8</v>
      </c>
      <c r="B746" t="s">
        <v>18</v>
      </c>
      <c r="C746" s="1">
        <v>46122.729861111111</v>
      </c>
      <c r="D746" s="1">
        <v>46149.688888888893</v>
      </c>
      <c r="E746" s="2">
        <f t="shared" si="11"/>
        <v>26.959027777782467</v>
      </c>
    </row>
    <row r="747" spans="1:5" x14ac:dyDescent="0.25">
      <c r="A747" t="s">
        <v>9</v>
      </c>
      <c r="B747" t="s">
        <v>8</v>
      </c>
      <c r="C747" s="1">
        <v>45879.48333333333</v>
      </c>
      <c r="D747" s="1">
        <v>45938.662499999999</v>
      </c>
      <c r="E747" s="2">
        <f t="shared" si="11"/>
        <v>59.179166666668607</v>
      </c>
    </row>
    <row r="748" spans="1:5" x14ac:dyDescent="0.25">
      <c r="A748" t="s">
        <v>5</v>
      </c>
      <c r="B748" t="s">
        <v>6</v>
      </c>
      <c r="C748" s="1">
        <v>46049.5</v>
      </c>
      <c r="D748" s="1">
        <v>46104.8125</v>
      </c>
      <c r="E748" s="2">
        <f t="shared" si="11"/>
        <v>55.3125</v>
      </c>
    </row>
    <row r="749" spans="1:5" x14ac:dyDescent="0.25">
      <c r="A749" t="s">
        <v>5</v>
      </c>
      <c r="B749" t="s">
        <v>8</v>
      </c>
      <c r="C749" s="1">
        <v>46018.725694444453</v>
      </c>
      <c r="D749" s="1">
        <v>46071.058333333327</v>
      </c>
      <c r="E749" s="2">
        <f t="shared" si="11"/>
        <v>52.332638888874499</v>
      </c>
    </row>
    <row r="750" spans="1:5" x14ac:dyDescent="0.25">
      <c r="A750" t="s">
        <v>7</v>
      </c>
      <c r="B750" t="s">
        <v>8</v>
      </c>
      <c r="C750" s="1">
        <v>45785.595833333333</v>
      </c>
      <c r="D750" s="1">
        <v>45818.433333333327</v>
      </c>
      <c r="E750" s="2">
        <f t="shared" si="11"/>
        <v>32.837499999994179</v>
      </c>
    </row>
    <row r="751" spans="1:5" x14ac:dyDescent="0.25">
      <c r="A751" t="s">
        <v>5</v>
      </c>
      <c r="B751" t="s">
        <v>8</v>
      </c>
      <c r="C751" s="1">
        <v>45995.0625</v>
      </c>
      <c r="D751" s="1">
        <v>46028.791666666657</v>
      </c>
      <c r="E751" s="2">
        <f t="shared" si="11"/>
        <v>33.729166666656965</v>
      </c>
    </row>
    <row r="752" spans="1:5" x14ac:dyDescent="0.25">
      <c r="A752" t="s">
        <v>5</v>
      </c>
      <c r="B752" t="s">
        <v>8</v>
      </c>
      <c r="C752" s="1">
        <v>46088.612500000003</v>
      </c>
      <c r="D752" s="1">
        <v>46141.354166666657</v>
      </c>
      <c r="E752" s="2">
        <f t="shared" si="11"/>
        <v>52.741666666654055</v>
      </c>
    </row>
    <row r="753" spans="1:5" x14ac:dyDescent="0.25">
      <c r="A753" t="s">
        <v>7</v>
      </c>
      <c r="B753" t="s">
        <v>8</v>
      </c>
      <c r="C753" s="1">
        <v>45931.208333333343</v>
      </c>
      <c r="D753" s="1">
        <v>45966.508333333331</v>
      </c>
      <c r="E753" s="2">
        <f t="shared" si="11"/>
        <v>35.299999999988358</v>
      </c>
    </row>
    <row r="754" spans="1:5" x14ac:dyDescent="0.25">
      <c r="A754" t="s">
        <v>7</v>
      </c>
      <c r="B754" t="s">
        <v>8</v>
      </c>
      <c r="C754" s="1">
        <v>45903.083333333343</v>
      </c>
      <c r="D754" s="1">
        <v>45938.662499999999</v>
      </c>
      <c r="E754" s="2">
        <f t="shared" si="11"/>
        <v>35.57916666665551</v>
      </c>
    </row>
    <row r="755" spans="1:5" x14ac:dyDescent="0.25">
      <c r="A755" t="s">
        <v>5</v>
      </c>
      <c r="B755" t="s">
        <v>8</v>
      </c>
      <c r="C755" s="1">
        <v>45945.658333333333</v>
      </c>
      <c r="D755" s="1">
        <v>45993.345833333333</v>
      </c>
      <c r="E755" s="2">
        <f t="shared" si="11"/>
        <v>47.6875</v>
      </c>
    </row>
    <row r="756" spans="1:5" x14ac:dyDescent="0.25">
      <c r="A756" t="s">
        <v>7</v>
      </c>
      <c r="B756" t="s">
        <v>8</v>
      </c>
      <c r="C756" s="1">
        <v>45910.53125</v>
      </c>
      <c r="D756" s="1">
        <v>45948.104166666657</v>
      </c>
      <c r="E756" s="2">
        <f t="shared" si="11"/>
        <v>37.572916666656965</v>
      </c>
    </row>
    <row r="757" spans="1:5" x14ac:dyDescent="0.25">
      <c r="A757" t="s">
        <v>7</v>
      </c>
      <c r="B757" t="s">
        <v>8</v>
      </c>
      <c r="C757" s="1">
        <v>45882.166666666657</v>
      </c>
      <c r="D757" s="1">
        <v>45938.662499999999</v>
      </c>
      <c r="E757" s="2">
        <f t="shared" si="11"/>
        <v>56.495833333341579</v>
      </c>
    </row>
    <row r="758" spans="1:5" x14ac:dyDescent="0.25">
      <c r="A758" t="s">
        <v>34</v>
      </c>
      <c r="B758" t="s">
        <v>8</v>
      </c>
      <c r="C758" s="1">
        <v>46216.6012962963</v>
      </c>
      <c r="D758" s="1">
        <v>46246.654340277782</v>
      </c>
      <c r="E758" s="2">
        <f t="shared" si="11"/>
        <v>30.053043981482915</v>
      </c>
    </row>
    <row r="759" spans="1:5" x14ac:dyDescent="0.25">
      <c r="A759" t="s">
        <v>15</v>
      </c>
      <c r="B759" t="s">
        <v>6</v>
      </c>
      <c r="C759" s="1">
        <v>46021.479166666657</v>
      </c>
      <c r="D759" s="1">
        <v>46086.75</v>
      </c>
      <c r="E759" s="2">
        <f t="shared" si="11"/>
        <v>65.270833333343035</v>
      </c>
    </row>
    <row r="760" spans="1:5" x14ac:dyDescent="0.25">
      <c r="A760" t="s">
        <v>7</v>
      </c>
      <c r="B760" t="s">
        <v>8</v>
      </c>
      <c r="C760" s="1">
        <v>45911.604166666657</v>
      </c>
      <c r="D760" s="1">
        <v>45948.104166666657</v>
      </c>
      <c r="E760" s="2">
        <f t="shared" si="11"/>
        <v>36.5</v>
      </c>
    </row>
    <row r="761" spans="1:5" x14ac:dyDescent="0.25">
      <c r="A761" t="s">
        <v>7</v>
      </c>
      <c r="B761" t="s">
        <v>8</v>
      </c>
      <c r="C761" s="1">
        <v>45903.083333333343</v>
      </c>
      <c r="D761" s="1">
        <v>45938.662499999999</v>
      </c>
      <c r="E761" s="2">
        <f t="shared" si="11"/>
        <v>35.57916666665551</v>
      </c>
    </row>
    <row r="762" spans="1:5" x14ac:dyDescent="0.25">
      <c r="A762" t="s">
        <v>5</v>
      </c>
      <c r="B762" t="s">
        <v>8</v>
      </c>
      <c r="C762" s="1">
        <v>46088.612500000003</v>
      </c>
      <c r="D762" s="1">
        <v>46141.354166666657</v>
      </c>
      <c r="E762" s="2">
        <f t="shared" si="11"/>
        <v>52.741666666654055</v>
      </c>
    </row>
    <row r="763" spans="1:5" x14ac:dyDescent="0.25">
      <c r="A763" t="s">
        <v>5</v>
      </c>
      <c r="B763" t="s">
        <v>8</v>
      </c>
      <c r="C763" s="1">
        <v>46078.916666666657</v>
      </c>
      <c r="D763" s="1">
        <v>46113.395833333343</v>
      </c>
      <c r="E763" s="2">
        <f t="shared" si="11"/>
        <v>34.479166666686069</v>
      </c>
    </row>
    <row r="764" spans="1:5" x14ac:dyDescent="0.25">
      <c r="A764" t="s">
        <v>35</v>
      </c>
      <c r="B764" t="s">
        <v>19</v>
      </c>
      <c r="C764" s="1">
        <v>45919.958333333343</v>
      </c>
      <c r="D764" s="1">
        <v>45961.691666666673</v>
      </c>
      <c r="E764" s="2">
        <f t="shared" si="11"/>
        <v>41.733333333329938</v>
      </c>
    </row>
    <row r="765" spans="1:5" x14ac:dyDescent="0.25">
      <c r="A765" t="s">
        <v>15</v>
      </c>
      <c r="B765" t="s">
        <v>19</v>
      </c>
      <c r="C765" s="1">
        <v>46225.240277777782</v>
      </c>
      <c r="D765" s="1">
        <v>46270.04892361111</v>
      </c>
      <c r="E765" s="2">
        <f t="shared" si="11"/>
        <v>44.808645833327319</v>
      </c>
    </row>
    <row r="766" spans="1:5" x14ac:dyDescent="0.25">
      <c r="A766" t="s">
        <v>22</v>
      </c>
      <c r="B766" t="s">
        <v>19</v>
      </c>
      <c r="C766" s="1">
        <v>46013.51458333333</v>
      </c>
      <c r="D766" s="1">
        <v>46069.90625</v>
      </c>
      <c r="E766" s="2">
        <f t="shared" si="11"/>
        <v>56.391666666670062</v>
      </c>
    </row>
    <row r="767" spans="1:5" x14ac:dyDescent="0.25">
      <c r="A767" t="s">
        <v>22</v>
      </c>
      <c r="B767" t="s">
        <v>51</v>
      </c>
      <c r="C767" s="1">
        <v>45776.177083333343</v>
      </c>
      <c r="D767" s="1">
        <v>45822</v>
      </c>
      <c r="E767" s="2">
        <f t="shared" si="11"/>
        <v>45.822916666656965</v>
      </c>
    </row>
    <row r="768" spans="1:5" x14ac:dyDescent="0.25">
      <c r="A768" t="s">
        <v>22</v>
      </c>
      <c r="B768" t="s">
        <v>19</v>
      </c>
      <c r="C768" s="1">
        <v>46034.720833333333</v>
      </c>
      <c r="D768" s="1">
        <v>46088.423611111109</v>
      </c>
      <c r="E768" s="2">
        <f t="shared" si="11"/>
        <v>53.702777777776646</v>
      </c>
    </row>
    <row r="769" spans="1:5" x14ac:dyDescent="0.25">
      <c r="A769" t="s">
        <v>45</v>
      </c>
      <c r="B769" t="s">
        <v>19</v>
      </c>
      <c r="C769" s="1">
        <v>45985.602083333331</v>
      </c>
      <c r="D769" s="1">
        <v>46025.578472222223</v>
      </c>
      <c r="E769" s="2">
        <f t="shared" si="11"/>
        <v>39.976388888891961</v>
      </c>
    </row>
    <row r="770" spans="1:5" x14ac:dyDescent="0.25">
      <c r="A770" t="s">
        <v>15</v>
      </c>
      <c r="B770" t="s">
        <v>19</v>
      </c>
      <c r="C770" s="1">
        <v>45906.922002314823</v>
      </c>
      <c r="D770" s="1">
        <v>45946.24359953704</v>
      </c>
      <c r="E770" s="2">
        <f t="shared" ref="E770:E833" si="12">D770-C770</f>
        <v>39.321597222216951</v>
      </c>
    </row>
    <row r="771" spans="1:5" x14ac:dyDescent="0.25">
      <c r="A771" t="s">
        <v>15</v>
      </c>
      <c r="B771" t="s">
        <v>6</v>
      </c>
      <c r="C771" s="1">
        <v>45842.625</v>
      </c>
      <c r="D771" s="1">
        <v>45915.70416666667</v>
      </c>
      <c r="E771" s="2">
        <f t="shared" si="12"/>
        <v>73.079166666670062</v>
      </c>
    </row>
    <row r="772" spans="1:5" x14ac:dyDescent="0.25">
      <c r="A772" t="s">
        <v>14</v>
      </c>
      <c r="B772" t="s">
        <v>22</v>
      </c>
      <c r="C772" s="1">
        <v>45932.0625</v>
      </c>
      <c r="D772" s="1">
        <v>46039.09097222222</v>
      </c>
      <c r="E772" s="2">
        <f t="shared" si="12"/>
        <v>107.02847222222044</v>
      </c>
    </row>
    <row r="773" spans="1:5" x14ac:dyDescent="0.25">
      <c r="A773" t="s">
        <v>7</v>
      </c>
      <c r="B773" t="s">
        <v>8</v>
      </c>
      <c r="C773" s="1">
        <v>45875.462500000001</v>
      </c>
      <c r="D773" s="1">
        <v>45920.2</v>
      </c>
      <c r="E773" s="2">
        <f t="shared" si="12"/>
        <v>44.737499999995634</v>
      </c>
    </row>
    <row r="774" spans="1:5" x14ac:dyDescent="0.25">
      <c r="A774" t="s">
        <v>7</v>
      </c>
      <c r="B774" t="s">
        <v>8</v>
      </c>
      <c r="C774" s="1">
        <v>45822.8</v>
      </c>
      <c r="D774" s="1">
        <v>45875.612500000003</v>
      </c>
      <c r="E774" s="2">
        <f t="shared" si="12"/>
        <v>52.8125</v>
      </c>
    </row>
    <row r="775" spans="1:5" x14ac:dyDescent="0.25">
      <c r="A775" t="s">
        <v>6</v>
      </c>
      <c r="B775" t="s">
        <v>8</v>
      </c>
      <c r="C775" s="1">
        <v>45665.20416666667</v>
      </c>
      <c r="D775" s="1">
        <v>45707.459027777782</v>
      </c>
      <c r="E775" s="2">
        <f t="shared" si="12"/>
        <v>42.254861111112405</v>
      </c>
    </row>
    <row r="776" spans="1:5" x14ac:dyDescent="0.25">
      <c r="A776" t="s">
        <v>7</v>
      </c>
      <c r="B776" t="s">
        <v>8</v>
      </c>
      <c r="C776" s="1">
        <v>45920.587500000001</v>
      </c>
      <c r="D776" s="1">
        <v>45965.662499999999</v>
      </c>
      <c r="E776" s="2">
        <f t="shared" si="12"/>
        <v>45.07499999999709</v>
      </c>
    </row>
    <row r="777" spans="1:5" x14ac:dyDescent="0.25">
      <c r="A777" t="s">
        <v>7</v>
      </c>
      <c r="B777" t="s">
        <v>8</v>
      </c>
      <c r="C777" s="1">
        <v>45822.8</v>
      </c>
      <c r="D777" s="1">
        <v>45875.612500000003</v>
      </c>
      <c r="E777" s="2">
        <f t="shared" si="12"/>
        <v>52.8125</v>
      </c>
    </row>
    <row r="778" spans="1:5" x14ac:dyDescent="0.25">
      <c r="A778" t="s">
        <v>5</v>
      </c>
      <c r="B778" t="s">
        <v>8</v>
      </c>
      <c r="C778" s="1">
        <v>45735.674305555563</v>
      </c>
      <c r="D778" s="1">
        <v>45764.537499999999</v>
      </c>
      <c r="E778" s="2">
        <f t="shared" si="12"/>
        <v>28.863194444435067</v>
      </c>
    </row>
    <row r="779" spans="1:5" x14ac:dyDescent="0.25">
      <c r="A779" t="s">
        <v>5</v>
      </c>
      <c r="B779" t="s">
        <v>8</v>
      </c>
      <c r="C779" s="1">
        <v>45707.716666666667</v>
      </c>
      <c r="D779" s="1">
        <v>45734.840219907397</v>
      </c>
      <c r="E779" s="2">
        <f t="shared" si="12"/>
        <v>27.123553240729962</v>
      </c>
    </row>
    <row r="780" spans="1:5" x14ac:dyDescent="0.25">
      <c r="A780" t="s">
        <v>5</v>
      </c>
      <c r="B780" t="s">
        <v>8</v>
      </c>
      <c r="C780" s="1">
        <v>45722.095833333333</v>
      </c>
      <c r="D780" s="1">
        <v>45749.925694444442</v>
      </c>
      <c r="E780" s="2">
        <f t="shared" si="12"/>
        <v>27.829861111109494</v>
      </c>
    </row>
    <row r="781" spans="1:5" x14ac:dyDescent="0.25">
      <c r="A781" t="s">
        <v>5</v>
      </c>
      <c r="B781" t="s">
        <v>55</v>
      </c>
      <c r="C781" s="1">
        <v>45681.773611111108</v>
      </c>
      <c r="D781" s="1">
        <v>45713.219270833331</v>
      </c>
      <c r="E781" s="2">
        <f t="shared" si="12"/>
        <v>31.445659722223354</v>
      </c>
    </row>
    <row r="782" spans="1:5" x14ac:dyDescent="0.25">
      <c r="A782" t="s">
        <v>5</v>
      </c>
      <c r="B782" t="s">
        <v>8</v>
      </c>
      <c r="C782" s="1">
        <v>45707.716666666667</v>
      </c>
      <c r="D782" s="1">
        <v>45734.852777777778</v>
      </c>
      <c r="E782" s="2">
        <f t="shared" si="12"/>
        <v>27.136111111110949</v>
      </c>
    </row>
    <row r="783" spans="1:5" x14ac:dyDescent="0.25">
      <c r="A783" t="s">
        <v>12</v>
      </c>
      <c r="B783" t="s">
        <v>13</v>
      </c>
      <c r="C783" s="1">
        <v>45845.878472222219</v>
      </c>
      <c r="D783" s="1">
        <v>45896.416666666657</v>
      </c>
      <c r="E783" s="2">
        <f t="shared" si="12"/>
        <v>50.538194444437977</v>
      </c>
    </row>
    <row r="784" spans="1:5" x14ac:dyDescent="0.25">
      <c r="A784" t="s">
        <v>12</v>
      </c>
      <c r="B784" t="s">
        <v>18</v>
      </c>
      <c r="C784" s="1">
        <v>46065.302083333343</v>
      </c>
      <c r="D784" s="1">
        <v>46131.375</v>
      </c>
      <c r="E784" s="2">
        <f t="shared" si="12"/>
        <v>66.072916666656965</v>
      </c>
    </row>
    <row r="785" spans="1:5" x14ac:dyDescent="0.25">
      <c r="A785" t="s">
        <v>12</v>
      </c>
      <c r="B785" t="s">
        <v>18</v>
      </c>
      <c r="C785" s="1">
        <v>46043.625</v>
      </c>
      <c r="D785" s="1">
        <v>46103.675694444442</v>
      </c>
      <c r="E785" s="2">
        <f t="shared" si="12"/>
        <v>60.050694444442343</v>
      </c>
    </row>
    <row r="786" spans="1:5" x14ac:dyDescent="0.25">
      <c r="A786" t="s">
        <v>27</v>
      </c>
      <c r="B786" t="s">
        <v>18</v>
      </c>
      <c r="C786" s="1">
        <v>45769.287499999999</v>
      </c>
      <c r="D786" s="1">
        <v>45827.402777777781</v>
      </c>
      <c r="E786" s="2">
        <f t="shared" si="12"/>
        <v>58.115277777782467</v>
      </c>
    </row>
    <row r="787" spans="1:5" x14ac:dyDescent="0.25">
      <c r="A787" t="s">
        <v>15</v>
      </c>
      <c r="B787" t="s">
        <v>6</v>
      </c>
      <c r="C787" s="1">
        <v>45760.34375</v>
      </c>
      <c r="D787" s="1">
        <v>45823.4375</v>
      </c>
      <c r="E787" s="2">
        <f t="shared" si="12"/>
        <v>63.09375</v>
      </c>
    </row>
    <row r="788" spans="1:5" x14ac:dyDescent="0.25">
      <c r="A788" t="s">
        <v>27</v>
      </c>
      <c r="B788" t="s">
        <v>18</v>
      </c>
      <c r="C788" s="1">
        <v>46083.95416666667</v>
      </c>
      <c r="D788" s="1">
        <v>46143.875</v>
      </c>
      <c r="E788" s="2">
        <f t="shared" si="12"/>
        <v>59.920833333329938</v>
      </c>
    </row>
    <row r="789" spans="1:5" x14ac:dyDescent="0.25">
      <c r="A789" t="s">
        <v>27</v>
      </c>
      <c r="B789" t="s">
        <v>8</v>
      </c>
      <c r="C789" s="1">
        <v>45748.5625</v>
      </c>
      <c r="D789" s="1">
        <v>45809.359027777777</v>
      </c>
      <c r="E789" s="2">
        <f t="shared" si="12"/>
        <v>60.796527777776646</v>
      </c>
    </row>
    <row r="790" spans="1:5" x14ac:dyDescent="0.25">
      <c r="A790" t="s">
        <v>15</v>
      </c>
      <c r="B790" t="s">
        <v>13</v>
      </c>
      <c r="C790" s="1">
        <v>45700</v>
      </c>
      <c r="D790" s="1">
        <v>45742.387499999997</v>
      </c>
      <c r="E790" s="2">
        <f t="shared" si="12"/>
        <v>42.38749999999709</v>
      </c>
    </row>
    <row r="791" spans="1:5" x14ac:dyDescent="0.25">
      <c r="A791" t="s">
        <v>12</v>
      </c>
      <c r="B791" t="s">
        <v>8</v>
      </c>
      <c r="C791" s="1">
        <v>46094.051388888889</v>
      </c>
      <c r="D791" s="1">
        <v>46138.175000000003</v>
      </c>
      <c r="E791" s="2">
        <f t="shared" si="12"/>
        <v>44.12361111111386</v>
      </c>
    </row>
    <row r="792" spans="1:5" x14ac:dyDescent="0.25">
      <c r="A792" t="s">
        <v>27</v>
      </c>
      <c r="B792" t="s">
        <v>8</v>
      </c>
      <c r="C792" s="1">
        <v>46075.199999999997</v>
      </c>
      <c r="D792" s="1">
        <v>46124.397222222222</v>
      </c>
      <c r="E792" s="2">
        <f t="shared" si="12"/>
        <v>49.197222222224809</v>
      </c>
    </row>
    <row r="793" spans="1:5" x14ac:dyDescent="0.25">
      <c r="A793" t="s">
        <v>27</v>
      </c>
      <c r="B793" t="s">
        <v>8</v>
      </c>
      <c r="C793" s="1">
        <v>45793.60833333333</v>
      </c>
      <c r="D793" s="1">
        <v>45844.163194444453</v>
      </c>
      <c r="E793" s="2">
        <f t="shared" si="12"/>
        <v>50.554861111122591</v>
      </c>
    </row>
    <row r="794" spans="1:5" x14ac:dyDescent="0.25">
      <c r="A794" t="s">
        <v>27</v>
      </c>
      <c r="B794" t="s">
        <v>18</v>
      </c>
      <c r="C794" s="1">
        <v>45900.95</v>
      </c>
      <c r="D794" s="1">
        <v>45964.081944444442</v>
      </c>
      <c r="E794" s="2">
        <f t="shared" si="12"/>
        <v>63.131944444445253</v>
      </c>
    </row>
    <row r="795" spans="1:5" x14ac:dyDescent="0.25">
      <c r="A795" t="s">
        <v>27</v>
      </c>
      <c r="B795" t="s">
        <v>8</v>
      </c>
      <c r="C795" s="1">
        <v>45884.55</v>
      </c>
      <c r="D795" s="1">
        <v>45935</v>
      </c>
      <c r="E795" s="2">
        <f t="shared" si="12"/>
        <v>50.44999999999709</v>
      </c>
    </row>
    <row r="796" spans="1:5" x14ac:dyDescent="0.25">
      <c r="A796" t="s">
        <v>12</v>
      </c>
      <c r="B796" t="s">
        <v>18</v>
      </c>
      <c r="C796" s="1">
        <v>45958.915277777778</v>
      </c>
      <c r="D796" s="1">
        <v>46035.51666666667</v>
      </c>
      <c r="E796" s="2">
        <f t="shared" si="12"/>
        <v>76.601388888891961</v>
      </c>
    </row>
    <row r="797" spans="1:5" x14ac:dyDescent="0.25">
      <c r="A797" t="s">
        <v>27</v>
      </c>
      <c r="B797" t="s">
        <v>18</v>
      </c>
      <c r="C797" s="1">
        <v>45793.60833333333</v>
      </c>
      <c r="D797" s="1">
        <v>45854.592361111107</v>
      </c>
      <c r="E797" s="2">
        <f t="shared" si="12"/>
        <v>60.984027777776646</v>
      </c>
    </row>
    <row r="798" spans="1:5" x14ac:dyDescent="0.25">
      <c r="A798" t="s">
        <v>7</v>
      </c>
      <c r="B798" t="s">
        <v>19</v>
      </c>
      <c r="C798" s="1">
        <v>45850.925000000003</v>
      </c>
      <c r="D798" s="1">
        <v>45892.307638888888</v>
      </c>
      <c r="E798" s="2">
        <f t="shared" si="12"/>
        <v>41.382638888884685</v>
      </c>
    </row>
    <row r="799" spans="1:5" x14ac:dyDescent="0.25">
      <c r="A799" t="s">
        <v>15</v>
      </c>
      <c r="B799" t="s">
        <v>8</v>
      </c>
      <c r="C799" s="1">
        <v>45734.426388888889</v>
      </c>
      <c r="D799" s="1">
        <v>45777</v>
      </c>
      <c r="E799" s="2">
        <f t="shared" si="12"/>
        <v>42.573611111110949</v>
      </c>
    </row>
    <row r="800" spans="1:5" x14ac:dyDescent="0.25">
      <c r="A800" t="s">
        <v>28</v>
      </c>
      <c r="B800" t="s">
        <v>18</v>
      </c>
      <c r="C800" s="1">
        <v>46017.34652777778</v>
      </c>
      <c r="D800" s="1">
        <v>46087.666666666657</v>
      </c>
      <c r="E800" s="2">
        <f t="shared" si="12"/>
        <v>70.320138888877409</v>
      </c>
    </row>
    <row r="801" spans="1:5" x14ac:dyDescent="0.25">
      <c r="A801" t="s">
        <v>28</v>
      </c>
      <c r="B801" t="s">
        <v>46</v>
      </c>
      <c r="C801" s="1">
        <v>46051.538194444453</v>
      </c>
      <c r="D801" s="1">
        <v>46090.862500000003</v>
      </c>
      <c r="E801" s="2">
        <f t="shared" si="12"/>
        <v>39.324305555550382</v>
      </c>
    </row>
    <row r="802" spans="1:5" x14ac:dyDescent="0.25">
      <c r="A802" t="s">
        <v>27</v>
      </c>
      <c r="B802" t="s">
        <v>8</v>
      </c>
      <c r="C802" s="1">
        <v>45762.64166666667</v>
      </c>
      <c r="D802" s="1">
        <v>45815.175694444442</v>
      </c>
      <c r="E802" s="2">
        <f t="shared" si="12"/>
        <v>52.53402777777228</v>
      </c>
    </row>
    <row r="803" spans="1:5" x14ac:dyDescent="0.25">
      <c r="A803" t="s">
        <v>7</v>
      </c>
      <c r="B803" t="s">
        <v>19</v>
      </c>
      <c r="C803" s="1">
        <v>45662</v>
      </c>
      <c r="D803" s="1">
        <v>45713.625</v>
      </c>
      <c r="E803" s="2">
        <f t="shared" si="12"/>
        <v>51.625</v>
      </c>
    </row>
    <row r="804" spans="1:5" x14ac:dyDescent="0.25">
      <c r="A804" t="s">
        <v>12</v>
      </c>
      <c r="B804" t="s">
        <v>18</v>
      </c>
      <c r="C804" s="1">
        <v>45779.633333333331</v>
      </c>
      <c r="D804" s="1">
        <v>45847.017361111109</v>
      </c>
      <c r="E804" s="2">
        <f t="shared" si="12"/>
        <v>67.384027777778101</v>
      </c>
    </row>
    <row r="805" spans="1:5" x14ac:dyDescent="0.25">
      <c r="A805" t="s">
        <v>28</v>
      </c>
      <c r="B805" t="s">
        <v>18</v>
      </c>
      <c r="C805" s="1">
        <v>46079.647222222222</v>
      </c>
      <c r="D805" s="1">
        <v>46156.002083333333</v>
      </c>
      <c r="E805" s="2">
        <f t="shared" si="12"/>
        <v>76.354861111110949</v>
      </c>
    </row>
    <row r="806" spans="1:5" x14ac:dyDescent="0.25">
      <c r="A806" t="s">
        <v>12</v>
      </c>
      <c r="B806" t="s">
        <v>18</v>
      </c>
      <c r="C806" s="1">
        <v>45722.584722222222</v>
      </c>
      <c r="D806" s="1">
        <v>45783.079861111109</v>
      </c>
      <c r="E806" s="2">
        <f t="shared" si="12"/>
        <v>60.495138888887595</v>
      </c>
    </row>
    <row r="807" spans="1:5" x14ac:dyDescent="0.25">
      <c r="A807" t="s">
        <v>15</v>
      </c>
      <c r="B807" t="s">
        <v>13</v>
      </c>
      <c r="C807" s="1">
        <v>45708.712500000001</v>
      </c>
      <c r="D807" s="1">
        <v>45749.17083333333</v>
      </c>
      <c r="E807" s="2">
        <f t="shared" si="12"/>
        <v>40.458333333328483</v>
      </c>
    </row>
    <row r="808" spans="1:5" x14ac:dyDescent="0.25">
      <c r="A808" t="s">
        <v>27</v>
      </c>
      <c r="B808" t="s">
        <v>18</v>
      </c>
      <c r="C808" s="1">
        <v>45788.083333333343</v>
      </c>
      <c r="D808" s="1">
        <v>45847.017361111109</v>
      </c>
      <c r="E808" s="2">
        <f t="shared" si="12"/>
        <v>58.93402777776646</v>
      </c>
    </row>
    <row r="809" spans="1:5" x14ac:dyDescent="0.25">
      <c r="A809" t="s">
        <v>12</v>
      </c>
      <c r="B809" t="s">
        <v>8</v>
      </c>
      <c r="C809" s="1">
        <v>45973.463888888888</v>
      </c>
      <c r="D809" s="1">
        <v>46031.738888888889</v>
      </c>
      <c r="E809" s="2">
        <f t="shared" si="12"/>
        <v>58.275000000001455</v>
      </c>
    </row>
    <row r="810" spans="1:5" x14ac:dyDescent="0.25">
      <c r="A810" t="s">
        <v>12</v>
      </c>
      <c r="B810" t="s">
        <v>18</v>
      </c>
      <c r="C810" s="1">
        <v>45706.92083333333</v>
      </c>
      <c r="D810" s="1">
        <v>45757.104166666657</v>
      </c>
      <c r="E810" s="2">
        <f t="shared" si="12"/>
        <v>50.183333333327028</v>
      </c>
    </row>
    <row r="811" spans="1:5" x14ac:dyDescent="0.25">
      <c r="A811" t="s">
        <v>12</v>
      </c>
      <c r="B811" t="s">
        <v>18</v>
      </c>
      <c r="C811" s="1">
        <v>45918.879166666673</v>
      </c>
      <c r="D811" s="1">
        <v>45986.619444444441</v>
      </c>
      <c r="E811" s="2">
        <f t="shared" si="12"/>
        <v>67.740277777767915</v>
      </c>
    </row>
    <row r="812" spans="1:5" x14ac:dyDescent="0.25">
      <c r="A812" t="s">
        <v>12</v>
      </c>
      <c r="B812" t="s">
        <v>18</v>
      </c>
      <c r="C812" s="1">
        <v>45835.017361111109</v>
      </c>
      <c r="D812" s="1">
        <v>45897.833333333343</v>
      </c>
      <c r="E812" s="2">
        <f t="shared" si="12"/>
        <v>62.81597222223354</v>
      </c>
    </row>
    <row r="813" spans="1:5" x14ac:dyDescent="0.25">
      <c r="A813" t="s">
        <v>7</v>
      </c>
      <c r="B813" t="s">
        <v>6</v>
      </c>
      <c r="C813" s="1">
        <v>46169.73333333333</v>
      </c>
      <c r="D813" s="1">
        <v>46221.279166666667</v>
      </c>
      <c r="E813" s="2">
        <f t="shared" si="12"/>
        <v>51.545833333337214</v>
      </c>
    </row>
    <row r="814" spans="1:5" x14ac:dyDescent="0.25">
      <c r="A814" t="s">
        <v>27</v>
      </c>
      <c r="B814" t="s">
        <v>8</v>
      </c>
      <c r="C814" s="1">
        <v>45813.168055555558</v>
      </c>
      <c r="D814" s="1">
        <v>45852.716666666667</v>
      </c>
      <c r="E814" s="2">
        <f t="shared" si="12"/>
        <v>39.548611111109494</v>
      </c>
    </row>
    <row r="815" spans="1:5" x14ac:dyDescent="0.25">
      <c r="A815" t="s">
        <v>27</v>
      </c>
      <c r="B815" t="s">
        <v>18</v>
      </c>
      <c r="C815" s="1">
        <v>46029.495833333327</v>
      </c>
      <c r="D815" s="1">
        <v>46079.863888888889</v>
      </c>
      <c r="E815" s="2">
        <f t="shared" si="12"/>
        <v>50.368055555562023</v>
      </c>
    </row>
    <row r="816" spans="1:5" x14ac:dyDescent="0.25">
      <c r="A816" t="s">
        <v>8</v>
      </c>
      <c r="B816" t="s">
        <v>18</v>
      </c>
      <c r="C816" s="1">
        <v>46227.745833333327</v>
      </c>
      <c r="D816" s="1">
        <v>46269.7</v>
      </c>
      <c r="E816" s="2">
        <f t="shared" si="12"/>
        <v>41.954166666670062</v>
      </c>
    </row>
    <row r="817" spans="1:5" x14ac:dyDescent="0.25">
      <c r="A817" t="s">
        <v>27</v>
      </c>
      <c r="B817" t="s">
        <v>18</v>
      </c>
      <c r="C817" s="1">
        <v>46141.893055555563</v>
      </c>
      <c r="D817" s="1">
        <v>46200.291666666657</v>
      </c>
      <c r="E817" s="2">
        <f t="shared" si="12"/>
        <v>58.398611111093487</v>
      </c>
    </row>
    <row r="818" spans="1:5" x14ac:dyDescent="0.25">
      <c r="A818" t="s">
        <v>12</v>
      </c>
      <c r="B818" t="s">
        <v>8</v>
      </c>
      <c r="C818" s="1">
        <v>45949.916666666657</v>
      </c>
      <c r="D818" s="1">
        <v>46004.9</v>
      </c>
      <c r="E818" s="2">
        <f t="shared" si="12"/>
        <v>54.98333333334449</v>
      </c>
    </row>
    <row r="819" spans="1:5" x14ac:dyDescent="0.25">
      <c r="A819" t="s">
        <v>28</v>
      </c>
      <c r="B819" t="s">
        <v>46</v>
      </c>
      <c r="C819" s="1">
        <v>46146.770833333343</v>
      </c>
      <c r="D819" s="1">
        <v>46198.022916666669</v>
      </c>
      <c r="E819" s="2">
        <f t="shared" si="12"/>
        <v>51.252083333325572</v>
      </c>
    </row>
    <row r="820" spans="1:5" x14ac:dyDescent="0.25">
      <c r="A820" t="s">
        <v>22</v>
      </c>
      <c r="B820" t="s">
        <v>19</v>
      </c>
      <c r="C820" s="1">
        <v>46229.95416666667</v>
      </c>
      <c r="D820" s="1">
        <v>46274.875</v>
      </c>
      <c r="E820" s="2">
        <f t="shared" si="12"/>
        <v>44.920833333329938</v>
      </c>
    </row>
    <row r="821" spans="1:5" x14ac:dyDescent="0.25">
      <c r="A821" t="s">
        <v>27</v>
      </c>
      <c r="B821" t="s">
        <v>8</v>
      </c>
      <c r="C821" s="1">
        <v>46060.466666666667</v>
      </c>
      <c r="D821" s="1">
        <v>46102.916666666657</v>
      </c>
      <c r="E821" s="2">
        <f t="shared" si="12"/>
        <v>42.449999999989814</v>
      </c>
    </row>
    <row r="822" spans="1:5" x14ac:dyDescent="0.25">
      <c r="A822" t="s">
        <v>12</v>
      </c>
      <c r="B822" t="s">
        <v>8</v>
      </c>
      <c r="C822" s="1">
        <v>45949.916666666657</v>
      </c>
      <c r="D822" s="1">
        <v>46004.9</v>
      </c>
      <c r="E822" s="2">
        <f t="shared" si="12"/>
        <v>54.98333333334449</v>
      </c>
    </row>
    <row r="823" spans="1:5" x14ac:dyDescent="0.25">
      <c r="A823" t="s">
        <v>28</v>
      </c>
      <c r="B823" t="s">
        <v>18</v>
      </c>
      <c r="C823" s="1">
        <v>45904.94027777778</v>
      </c>
      <c r="D823" s="1">
        <v>45986.619444444441</v>
      </c>
      <c r="E823" s="2">
        <f t="shared" si="12"/>
        <v>81.679166666661331</v>
      </c>
    </row>
    <row r="824" spans="1:5" x14ac:dyDescent="0.25">
      <c r="A824" t="s">
        <v>7</v>
      </c>
      <c r="B824" t="s">
        <v>6</v>
      </c>
      <c r="C824" s="1">
        <v>46143.990277777782</v>
      </c>
      <c r="D824" s="1">
        <v>46194.041666666657</v>
      </c>
      <c r="E824" s="2">
        <f t="shared" si="12"/>
        <v>50.051388888874499</v>
      </c>
    </row>
    <row r="825" spans="1:5" x14ac:dyDescent="0.25">
      <c r="A825" t="s">
        <v>28</v>
      </c>
      <c r="B825" t="s">
        <v>18</v>
      </c>
      <c r="C825" s="1">
        <v>45926.144444444442</v>
      </c>
      <c r="D825" s="1">
        <v>45990.75</v>
      </c>
      <c r="E825" s="2">
        <f t="shared" si="12"/>
        <v>64.605555555557657</v>
      </c>
    </row>
    <row r="826" spans="1:5" x14ac:dyDescent="0.25">
      <c r="A826" t="s">
        <v>27</v>
      </c>
      <c r="B826" t="s">
        <v>18</v>
      </c>
      <c r="C826" s="1">
        <v>45884.55</v>
      </c>
      <c r="D826" s="1">
        <v>45948.833333333343</v>
      </c>
      <c r="E826" s="2">
        <f t="shared" si="12"/>
        <v>64.283333333340124</v>
      </c>
    </row>
    <row r="827" spans="1:5" x14ac:dyDescent="0.25">
      <c r="A827" t="s">
        <v>22</v>
      </c>
      <c r="B827" t="s">
        <v>19</v>
      </c>
      <c r="C827" s="1">
        <v>46209.820138888892</v>
      </c>
      <c r="D827" s="1">
        <v>46264.548715277779</v>
      </c>
      <c r="E827" s="2">
        <f t="shared" si="12"/>
        <v>54.728576388886722</v>
      </c>
    </row>
    <row r="828" spans="1:5" x14ac:dyDescent="0.25">
      <c r="A828" t="s">
        <v>27</v>
      </c>
      <c r="B828" t="s">
        <v>8</v>
      </c>
      <c r="C828" s="1">
        <v>45845.912499999999</v>
      </c>
      <c r="D828" s="1">
        <v>45895.685416666667</v>
      </c>
      <c r="E828" s="2">
        <f t="shared" si="12"/>
        <v>49.772916666668607</v>
      </c>
    </row>
    <row r="829" spans="1:5" x14ac:dyDescent="0.25">
      <c r="A829" t="s">
        <v>15</v>
      </c>
      <c r="B829" t="s">
        <v>18</v>
      </c>
      <c r="C829" s="1">
        <v>45771.577777777777</v>
      </c>
      <c r="D829" s="1">
        <v>45827.402777777781</v>
      </c>
      <c r="E829" s="2">
        <f t="shared" si="12"/>
        <v>55.825000000004366</v>
      </c>
    </row>
    <row r="830" spans="1:5" x14ac:dyDescent="0.25">
      <c r="A830" t="s">
        <v>28</v>
      </c>
      <c r="B830" t="s">
        <v>8</v>
      </c>
      <c r="C830" s="1">
        <v>46002.722916666673</v>
      </c>
      <c r="D830" s="1">
        <v>46067.625</v>
      </c>
      <c r="E830" s="2">
        <f t="shared" si="12"/>
        <v>64.902083333327028</v>
      </c>
    </row>
    <row r="831" spans="1:5" x14ac:dyDescent="0.25">
      <c r="A831" t="s">
        <v>28</v>
      </c>
      <c r="B831" t="s">
        <v>8</v>
      </c>
      <c r="C831" s="1">
        <v>46009.938194444447</v>
      </c>
      <c r="D831" s="1">
        <v>46082.083333333343</v>
      </c>
      <c r="E831" s="2">
        <f t="shared" si="12"/>
        <v>72.145138888896327</v>
      </c>
    </row>
    <row r="832" spans="1:5" x14ac:dyDescent="0.25">
      <c r="A832" t="s">
        <v>57</v>
      </c>
      <c r="B832" t="s">
        <v>8</v>
      </c>
      <c r="C832" s="1">
        <v>46175.279166666667</v>
      </c>
      <c r="D832" s="1">
        <v>46207.82916666667</v>
      </c>
      <c r="E832" s="2">
        <f t="shared" si="12"/>
        <v>32.55000000000291</v>
      </c>
    </row>
    <row r="833" spans="1:5" x14ac:dyDescent="0.25">
      <c r="A833" t="s">
        <v>27</v>
      </c>
      <c r="B833" t="s">
        <v>8</v>
      </c>
      <c r="C833" s="1">
        <v>45951.487500000003</v>
      </c>
      <c r="D833" s="1">
        <v>45991.530555555553</v>
      </c>
      <c r="E833" s="2">
        <f t="shared" si="12"/>
        <v>40.043055555550382</v>
      </c>
    </row>
    <row r="834" spans="1:5" x14ac:dyDescent="0.25">
      <c r="A834" t="s">
        <v>28</v>
      </c>
      <c r="B834" t="s">
        <v>46</v>
      </c>
      <c r="C834" s="1">
        <v>46015.833333333343</v>
      </c>
      <c r="D834" s="1">
        <v>46056.744444444441</v>
      </c>
      <c r="E834" s="2">
        <f t="shared" ref="E834:E897" si="13">D834-C834</f>
        <v>40.911111111097853</v>
      </c>
    </row>
    <row r="835" spans="1:5" x14ac:dyDescent="0.25">
      <c r="A835" t="s">
        <v>27</v>
      </c>
      <c r="B835" t="s">
        <v>8</v>
      </c>
      <c r="C835" s="1">
        <v>46072.583333333343</v>
      </c>
      <c r="D835" s="1">
        <v>46117.375</v>
      </c>
      <c r="E835" s="2">
        <f t="shared" si="13"/>
        <v>44.791666666656965</v>
      </c>
    </row>
    <row r="836" spans="1:5" x14ac:dyDescent="0.25">
      <c r="A836" t="s">
        <v>27</v>
      </c>
      <c r="B836" t="s">
        <v>8</v>
      </c>
      <c r="C836" s="1">
        <v>46072.583333333343</v>
      </c>
      <c r="D836" s="1">
        <v>46117.375</v>
      </c>
      <c r="E836" s="2">
        <f t="shared" si="13"/>
        <v>44.791666666656965</v>
      </c>
    </row>
    <row r="837" spans="1:5" x14ac:dyDescent="0.25">
      <c r="A837" t="s">
        <v>28</v>
      </c>
      <c r="B837" t="s">
        <v>18</v>
      </c>
      <c r="C837" s="1">
        <v>46002.722916666673</v>
      </c>
      <c r="D837" s="1">
        <v>46079.863888888889</v>
      </c>
      <c r="E837" s="2">
        <f t="shared" si="13"/>
        <v>77.140972222216078</v>
      </c>
    </row>
    <row r="838" spans="1:5" x14ac:dyDescent="0.25">
      <c r="A838" t="s">
        <v>17</v>
      </c>
      <c r="B838" t="s">
        <v>18</v>
      </c>
      <c r="C838" s="1">
        <v>45723.791666666657</v>
      </c>
      <c r="D838" s="1">
        <v>45777</v>
      </c>
      <c r="E838" s="2">
        <f t="shared" si="13"/>
        <v>53.208333333343035</v>
      </c>
    </row>
    <row r="839" spans="1:5" x14ac:dyDescent="0.25">
      <c r="A839" t="s">
        <v>27</v>
      </c>
      <c r="B839" t="s">
        <v>8</v>
      </c>
      <c r="C839" s="1">
        <v>45824.666666666657</v>
      </c>
      <c r="D839" s="1">
        <v>45914.041666666657</v>
      </c>
      <c r="E839" s="2">
        <f t="shared" si="13"/>
        <v>89.375</v>
      </c>
    </row>
    <row r="840" spans="1:5" x14ac:dyDescent="0.25">
      <c r="A840" t="s">
        <v>15</v>
      </c>
      <c r="B840" t="s">
        <v>58</v>
      </c>
      <c r="C840" s="1">
        <v>45953</v>
      </c>
      <c r="D840" s="1">
        <v>46012.333333333343</v>
      </c>
      <c r="E840" s="2">
        <f t="shared" si="13"/>
        <v>59.333333333343035</v>
      </c>
    </row>
    <row r="841" spans="1:5" x14ac:dyDescent="0.25">
      <c r="A841" t="s">
        <v>15</v>
      </c>
      <c r="B841" t="s">
        <v>6</v>
      </c>
      <c r="C841" s="1">
        <v>46207.75</v>
      </c>
      <c r="D841" s="1">
        <v>46280.107847222222</v>
      </c>
      <c r="E841" s="2">
        <f t="shared" si="13"/>
        <v>72.357847222221608</v>
      </c>
    </row>
    <row r="842" spans="1:5" x14ac:dyDescent="0.25">
      <c r="A842" t="s">
        <v>7</v>
      </c>
      <c r="B842" t="s">
        <v>13</v>
      </c>
      <c r="C842" s="1">
        <v>45952.229166666657</v>
      </c>
      <c r="D842" s="1">
        <v>46001.25</v>
      </c>
      <c r="E842" s="2">
        <f t="shared" si="13"/>
        <v>49.020833333343035</v>
      </c>
    </row>
    <row r="843" spans="1:5" x14ac:dyDescent="0.25">
      <c r="A843" t="s">
        <v>27</v>
      </c>
      <c r="B843" t="s">
        <v>8</v>
      </c>
      <c r="C843" s="1">
        <v>46137.933333333327</v>
      </c>
      <c r="D843" s="1">
        <v>46180.919444444437</v>
      </c>
      <c r="E843" s="2">
        <f t="shared" si="13"/>
        <v>42.986111111109494</v>
      </c>
    </row>
    <row r="844" spans="1:5" x14ac:dyDescent="0.25">
      <c r="A844" t="s">
        <v>28</v>
      </c>
      <c r="B844" t="s">
        <v>8</v>
      </c>
      <c r="C844" s="1">
        <v>45911.868750000001</v>
      </c>
      <c r="D844" s="1">
        <v>45984.291666666657</v>
      </c>
      <c r="E844" s="2">
        <f t="shared" si="13"/>
        <v>72.42291666665551</v>
      </c>
    </row>
    <row r="845" spans="1:5" x14ac:dyDescent="0.25">
      <c r="A845" t="s">
        <v>28</v>
      </c>
      <c r="B845" t="s">
        <v>18</v>
      </c>
      <c r="C845" s="1">
        <v>45940.23333333333</v>
      </c>
      <c r="D845" s="1">
        <v>46008.915277777778</v>
      </c>
      <c r="E845" s="2">
        <f t="shared" si="13"/>
        <v>68.681944444448163</v>
      </c>
    </row>
    <row r="846" spans="1:5" x14ac:dyDescent="0.25">
      <c r="A846" t="s">
        <v>12</v>
      </c>
      <c r="B846" t="s">
        <v>18</v>
      </c>
      <c r="C846" s="1">
        <v>46057.875</v>
      </c>
      <c r="D846" s="1">
        <v>46119.064583333333</v>
      </c>
      <c r="E846" s="2">
        <f t="shared" si="13"/>
        <v>61.189583333332848</v>
      </c>
    </row>
    <row r="847" spans="1:5" x14ac:dyDescent="0.25">
      <c r="A847" t="s">
        <v>27</v>
      </c>
      <c r="B847" t="s">
        <v>8</v>
      </c>
      <c r="C847" s="1">
        <v>46005.75</v>
      </c>
      <c r="D847" s="1">
        <v>46054.188194444447</v>
      </c>
      <c r="E847" s="2">
        <f t="shared" si="13"/>
        <v>48.438194444446708</v>
      </c>
    </row>
    <row r="848" spans="1:5" x14ac:dyDescent="0.25">
      <c r="A848" t="s">
        <v>27</v>
      </c>
      <c r="B848" t="s">
        <v>8</v>
      </c>
      <c r="C848" s="1">
        <v>45879.625</v>
      </c>
      <c r="D848" s="1">
        <v>45928.208333333343</v>
      </c>
      <c r="E848" s="2">
        <f t="shared" si="13"/>
        <v>48.583333333343035</v>
      </c>
    </row>
    <row r="849" spans="1:5" x14ac:dyDescent="0.25">
      <c r="A849" t="s">
        <v>27</v>
      </c>
      <c r="B849" t="s">
        <v>8</v>
      </c>
      <c r="C849" s="1">
        <v>45951.487500000003</v>
      </c>
      <c r="D849" s="1">
        <v>45991.530555555553</v>
      </c>
      <c r="E849" s="2">
        <f t="shared" si="13"/>
        <v>40.043055555550382</v>
      </c>
    </row>
    <row r="850" spans="1:5" x14ac:dyDescent="0.25">
      <c r="A850" t="s">
        <v>28</v>
      </c>
      <c r="B850" t="s">
        <v>38</v>
      </c>
      <c r="C850" s="1">
        <v>45920.666666666657</v>
      </c>
      <c r="D850" s="1">
        <v>45978.370833333327</v>
      </c>
      <c r="E850" s="2">
        <f t="shared" si="13"/>
        <v>57.704166666670062</v>
      </c>
    </row>
    <row r="851" spans="1:5" x14ac:dyDescent="0.25">
      <c r="A851" t="s">
        <v>27</v>
      </c>
      <c r="B851" t="s">
        <v>18</v>
      </c>
      <c r="C851" s="1">
        <v>45852.091666666667</v>
      </c>
      <c r="D851" s="1">
        <v>45909.30972222222</v>
      </c>
      <c r="E851" s="2">
        <f t="shared" si="13"/>
        <v>57.218055555553292</v>
      </c>
    </row>
    <row r="852" spans="1:5" x14ac:dyDescent="0.25">
      <c r="A852" t="s">
        <v>18</v>
      </c>
      <c r="B852" t="s">
        <v>27</v>
      </c>
      <c r="C852" s="1">
        <v>45972.375</v>
      </c>
      <c r="D852" s="1">
        <v>46062.425000000003</v>
      </c>
      <c r="E852" s="2">
        <f t="shared" si="13"/>
        <v>90.05000000000291</v>
      </c>
    </row>
    <row r="853" spans="1:5" x14ac:dyDescent="0.25">
      <c r="A853" t="s">
        <v>27</v>
      </c>
      <c r="B853" t="s">
        <v>8</v>
      </c>
      <c r="C853" s="1">
        <v>45773.5</v>
      </c>
      <c r="D853" s="1">
        <v>45830.208333333343</v>
      </c>
      <c r="E853" s="2">
        <f t="shared" si="13"/>
        <v>56.708333333343035</v>
      </c>
    </row>
    <row r="854" spans="1:5" x14ac:dyDescent="0.25">
      <c r="A854" t="s">
        <v>27</v>
      </c>
      <c r="B854" t="s">
        <v>8</v>
      </c>
      <c r="C854" s="1">
        <v>46045.083333333343</v>
      </c>
      <c r="D854" s="1">
        <v>46089.166666666657</v>
      </c>
      <c r="E854" s="2">
        <f t="shared" si="13"/>
        <v>44.083333333313931</v>
      </c>
    </row>
    <row r="855" spans="1:5" x14ac:dyDescent="0.25">
      <c r="A855" t="s">
        <v>12</v>
      </c>
      <c r="B855" t="s">
        <v>8</v>
      </c>
      <c r="C855" s="1">
        <v>46135.07916666667</v>
      </c>
      <c r="D855" s="1">
        <v>46200.706944444442</v>
      </c>
      <c r="E855" s="2">
        <f t="shared" si="13"/>
        <v>65.62777777777228</v>
      </c>
    </row>
    <row r="856" spans="1:5" x14ac:dyDescent="0.25">
      <c r="A856" t="s">
        <v>12</v>
      </c>
      <c r="B856" t="s">
        <v>8</v>
      </c>
      <c r="C856" s="1">
        <v>46019.85</v>
      </c>
      <c r="D856" s="1">
        <v>46067.625</v>
      </c>
      <c r="E856" s="2">
        <f t="shared" si="13"/>
        <v>47.775000000001455</v>
      </c>
    </row>
    <row r="857" spans="1:5" x14ac:dyDescent="0.25">
      <c r="A857" t="s">
        <v>12</v>
      </c>
      <c r="B857" t="s">
        <v>13</v>
      </c>
      <c r="C857" s="1">
        <v>45871.95</v>
      </c>
      <c r="D857" s="1">
        <v>45921.675000000003</v>
      </c>
      <c r="E857" s="2">
        <f t="shared" si="13"/>
        <v>49.725000000005821</v>
      </c>
    </row>
    <row r="858" spans="1:5" x14ac:dyDescent="0.25">
      <c r="A858" t="s">
        <v>27</v>
      </c>
      <c r="B858" t="s">
        <v>8</v>
      </c>
      <c r="C858" s="1">
        <v>45852.091666666667</v>
      </c>
      <c r="D858" s="1">
        <v>45901</v>
      </c>
      <c r="E858" s="2">
        <f t="shared" si="13"/>
        <v>48.908333333332848</v>
      </c>
    </row>
    <row r="859" spans="1:5" x14ac:dyDescent="0.25">
      <c r="A859" t="s">
        <v>27</v>
      </c>
      <c r="B859" t="s">
        <v>18</v>
      </c>
      <c r="C859" s="1">
        <v>46099.712500000001</v>
      </c>
      <c r="D859" s="1">
        <v>46156.002083333333</v>
      </c>
      <c r="E859" s="2">
        <f t="shared" si="13"/>
        <v>56.289583333331393</v>
      </c>
    </row>
    <row r="860" spans="1:5" x14ac:dyDescent="0.25">
      <c r="A860" t="s">
        <v>15</v>
      </c>
      <c r="B860" t="s">
        <v>18</v>
      </c>
      <c r="C860" s="1">
        <v>45825.448611111111</v>
      </c>
      <c r="D860" s="1">
        <v>45879.256944444453</v>
      </c>
      <c r="E860" s="2">
        <f t="shared" si="13"/>
        <v>53.808333333341579</v>
      </c>
    </row>
    <row r="861" spans="1:5" x14ac:dyDescent="0.25">
      <c r="A861" t="s">
        <v>28</v>
      </c>
      <c r="B861" t="s">
        <v>46</v>
      </c>
      <c r="C861" s="1">
        <v>45981.655555555553</v>
      </c>
      <c r="D861" s="1">
        <v>46028.777777777781</v>
      </c>
      <c r="E861" s="2">
        <f t="shared" si="13"/>
        <v>47.12222222222772</v>
      </c>
    </row>
    <row r="862" spans="1:5" x14ac:dyDescent="0.25">
      <c r="A862" t="s">
        <v>16</v>
      </c>
      <c r="B862" t="s">
        <v>6</v>
      </c>
      <c r="C862" s="1">
        <v>45703.462500000001</v>
      </c>
      <c r="D862" s="1">
        <v>45765.916666666657</v>
      </c>
      <c r="E862" s="2">
        <f t="shared" si="13"/>
        <v>62.45416666665551</v>
      </c>
    </row>
    <row r="863" spans="1:5" x14ac:dyDescent="0.25">
      <c r="A863" t="s">
        <v>7</v>
      </c>
      <c r="B863" t="s">
        <v>6</v>
      </c>
      <c r="C863" s="1">
        <v>46162.645833333343</v>
      </c>
      <c r="D863" s="1">
        <v>46215.35833333333</v>
      </c>
      <c r="E863" s="2">
        <f t="shared" si="13"/>
        <v>52.712499999986903</v>
      </c>
    </row>
    <row r="864" spans="1:5" x14ac:dyDescent="0.25">
      <c r="A864" t="s">
        <v>6</v>
      </c>
      <c r="B864" t="s">
        <v>8</v>
      </c>
      <c r="C864" s="1">
        <v>45917.662499999999</v>
      </c>
      <c r="D864" s="1">
        <v>45966.770833333343</v>
      </c>
      <c r="E864" s="2">
        <f t="shared" si="13"/>
        <v>49.10833333334449</v>
      </c>
    </row>
    <row r="865" spans="1:5" x14ac:dyDescent="0.25">
      <c r="A865" t="s">
        <v>6</v>
      </c>
      <c r="B865" t="s">
        <v>8</v>
      </c>
      <c r="C865" s="1">
        <v>45917.662499999999</v>
      </c>
      <c r="D865" s="1">
        <v>45966.770833333343</v>
      </c>
      <c r="E865" s="2">
        <f t="shared" si="13"/>
        <v>49.10833333334449</v>
      </c>
    </row>
    <row r="866" spans="1:5" x14ac:dyDescent="0.25">
      <c r="A866" t="s">
        <v>8</v>
      </c>
      <c r="B866" t="s">
        <v>18</v>
      </c>
      <c r="C866" s="1">
        <v>46234.25</v>
      </c>
      <c r="D866" s="1">
        <v>46284.76666666667</v>
      </c>
      <c r="E866" s="2">
        <f t="shared" si="13"/>
        <v>50.516666666670062</v>
      </c>
    </row>
    <row r="867" spans="1:5" x14ac:dyDescent="0.25">
      <c r="A867" t="s">
        <v>12</v>
      </c>
      <c r="B867" t="s">
        <v>18</v>
      </c>
      <c r="C867" s="1">
        <v>46036.183333333327</v>
      </c>
      <c r="D867" s="1">
        <v>46087.666666666657</v>
      </c>
      <c r="E867" s="2">
        <f t="shared" si="13"/>
        <v>51.483333333329938</v>
      </c>
    </row>
    <row r="868" spans="1:5" x14ac:dyDescent="0.25">
      <c r="A868" t="s">
        <v>23</v>
      </c>
      <c r="B868" t="s">
        <v>18</v>
      </c>
      <c r="C868" s="1">
        <v>45933.418055555558</v>
      </c>
      <c r="D868" s="1">
        <v>45986.619444444441</v>
      </c>
      <c r="E868" s="2">
        <f t="shared" si="13"/>
        <v>53.20138888888323</v>
      </c>
    </row>
    <row r="869" spans="1:5" x14ac:dyDescent="0.25">
      <c r="A869" t="s">
        <v>6</v>
      </c>
      <c r="B869" t="s">
        <v>8</v>
      </c>
      <c r="C869" s="1">
        <v>45755.96875</v>
      </c>
      <c r="D869" s="1">
        <v>45799.242361111108</v>
      </c>
      <c r="E869" s="2">
        <f t="shared" si="13"/>
        <v>43.273611111108039</v>
      </c>
    </row>
    <row r="870" spans="1:5" x14ac:dyDescent="0.25">
      <c r="A870" t="s">
        <v>26</v>
      </c>
      <c r="B870" t="s">
        <v>21</v>
      </c>
      <c r="C870" s="1">
        <v>46141.482638888891</v>
      </c>
      <c r="D870" s="1">
        <v>46191.245833333327</v>
      </c>
      <c r="E870" s="2">
        <f t="shared" si="13"/>
        <v>49.763194444436522</v>
      </c>
    </row>
    <row r="871" spans="1:5" x14ac:dyDescent="0.25">
      <c r="A871" t="s">
        <v>12</v>
      </c>
      <c r="B871" t="s">
        <v>13</v>
      </c>
      <c r="C871" s="1">
        <v>45994.375</v>
      </c>
      <c r="D871" s="1">
        <v>46042.833333333343</v>
      </c>
      <c r="E871" s="2">
        <f t="shared" si="13"/>
        <v>48.458333333343035</v>
      </c>
    </row>
    <row r="872" spans="1:5" x14ac:dyDescent="0.25">
      <c r="A872" t="s">
        <v>8</v>
      </c>
      <c r="B872" t="s">
        <v>13</v>
      </c>
      <c r="C872" s="1">
        <v>45722</v>
      </c>
      <c r="D872" s="1">
        <v>45762</v>
      </c>
      <c r="E872" s="2">
        <f t="shared" si="13"/>
        <v>40</v>
      </c>
    </row>
    <row r="873" spans="1:5" x14ac:dyDescent="0.25">
      <c r="A873" t="s">
        <v>19</v>
      </c>
      <c r="B873" t="s">
        <v>8</v>
      </c>
      <c r="C873" s="1">
        <v>45669.933333333327</v>
      </c>
      <c r="D873" s="1">
        <v>45698.310416666667</v>
      </c>
      <c r="E873" s="2">
        <f t="shared" si="13"/>
        <v>28.377083333340124</v>
      </c>
    </row>
    <row r="874" spans="1:5" x14ac:dyDescent="0.25">
      <c r="A874" t="s">
        <v>20</v>
      </c>
      <c r="B874" t="s">
        <v>8</v>
      </c>
      <c r="C874" s="1">
        <v>46133.35</v>
      </c>
      <c r="D874" s="1">
        <v>46168.885416666657</v>
      </c>
      <c r="E874" s="2">
        <f t="shared" si="13"/>
        <v>35.535416666658421</v>
      </c>
    </row>
    <row r="875" spans="1:5" x14ac:dyDescent="0.25">
      <c r="A875" t="s">
        <v>8</v>
      </c>
      <c r="B875" t="s">
        <v>18</v>
      </c>
      <c r="C875" s="1">
        <v>46206.283333333333</v>
      </c>
      <c r="D875" s="1">
        <v>46251.208333333343</v>
      </c>
      <c r="E875" s="2">
        <f t="shared" si="13"/>
        <v>44.925000000010186</v>
      </c>
    </row>
    <row r="876" spans="1:5" x14ac:dyDescent="0.25">
      <c r="A876" t="s">
        <v>17</v>
      </c>
      <c r="B876" t="s">
        <v>18</v>
      </c>
      <c r="C876" s="1">
        <v>45777.75</v>
      </c>
      <c r="D876" s="1">
        <v>45832.666666666657</v>
      </c>
      <c r="E876" s="2">
        <f t="shared" si="13"/>
        <v>54.916666666656965</v>
      </c>
    </row>
    <row r="877" spans="1:5" x14ac:dyDescent="0.25">
      <c r="A877" t="s">
        <v>8</v>
      </c>
      <c r="B877" t="s">
        <v>18</v>
      </c>
      <c r="C877" s="1">
        <v>46212.760416666657</v>
      </c>
      <c r="D877" s="1">
        <v>46269.7</v>
      </c>
      <c r="E877" s="2">
        <f t="shared" si="13"/>
        <v>56.939583333340124</v>
      </c>
    </row>
    <row r="878" spans="1:5" x14ac:dyDescent="0.25">
      <c r="A878" t="s">
        <v>13</v>
      </c>
      <c r="B878" t="s">
        <v>8</v>
      </c>
      <c r="C878" s="1">
        <v>46060.12222222222</v>
      </c>
      <c r="D878" s="1">
        <v>46085.457638888889</v>
      </c>
      <c r="E878" s="2">
        <f t="shared" si="13"/>
        <v>25.335416666668607</v>
      </c>
    </row>
    <row r="879" spans="1:5" x14ac:dyDescent="0.25">
      <c r="A879" t="s">
        <v>15</v>
      </c>
      <c r="B879" t="s">
        <v>13</v>
      </c>
      <c r="C879" s="1">
        <v>45683</v>
      </c>
      <c r="D879" s="1">
        <v>45723.27847222222</v>
      </c>
      <c r="E879" s="2">
        <f t="shared" si="13"/>
        <v>40.278472222220444</v>
      </c>
    </row>
    <row r="880" spans="1:5" x14ac:dyDescent="0.25">
      <c r="A880" t="s">
        <v>13</v>
      </c>
      <c r="B880" t="s">
        <v>8</v>
      </c>
      <c r="C880" s="1">
        <v>45716.133333333331</v>
      </c>
      <c r="D880" s="1">
        <v>45740.777777777781</v>
      </c>
      <c r="E880" s="2">
        <f t="shared" si="13"/>
        <v>24.644444444449618</v>
      </c>
    </row>
    <row r="881" spans="1:5" x14ac:dyDescent="0.25">
      <c r="A881" t="s">
        <v>12</v>
      </c>
      <c r="B881" t="s">
        <v>18</v>
      </c>
      <c r="C881" s="1">
        <v>45736.462500000001</v>
      </c>
      <c r="D881" s="1">
        <v>45800.666666666657</v>
      </c>
      <c r="E881" s="2">
        <f t="shared" si="13"/>
        <v>64.20416666665551</v>
      </c>
    </row>
    <row r="882" spans="1:5" x14ac:dyDescent="0.25">
      <c r="A882" t="s">
        <v>19</v>
      </c>
      <c r="B882" t="s">
        <v>8</v>
      </c>
      <c r="C882" s="1">
        <v>46109.888888888891</v>
      </c>
      <c r="D882" s="1">
        <v>46142.0625</v>
      </c>
      <c r="E882" s="2">
        <f t="shared" si="13"/>
        <v>32.173611111109494</v>
      </c>
    </row>
    <row r="883" spans="1:5" x14ac:dyDescent="0.25">
      <c r="A883" t="s">
        <v>12</v>
      </c>
      <c r="B883" t="s">
        <v>13</v>
      </c>
      <c r="C883" s="1">
        <v>45733.666666666657</v>
      </c>
      <c r="D883" s="1">
        <v>45777.879166666673</v>
      </c>
      <c r="E883" s="2">
        <f t="shared" si="13"/>
        <v>44.212500000016007</v>
      </c>
    </row>
    <row r="884" spans="1:5" x14ac:dyDescent="0.25">
      <c r="A884" t="s">
        <v>13</v>
      </c>
      <c r="B884" t="s">
        <v>8</v>
      </c>
      <c r="C884" s="1">
        <v>45741.29583333333</v>
      </c>
      <c r="D884" s="1">
        <v>45777</v>
      </c>
      <c r="E884" s="2">
        <f t="shared" si="13"/>
        <v>35.704166666670062</v>
      </c>
    </row>
    <row r="885" spans="1:5" x14ac:dyDescent="0.25">
      <c r="A885" t="s">
        <v>28</v>
      </c>
      <c r="B885" t="s">
        <v>18</v>
      </c>
      <c r="C885" s="1">
        <v>45807.166666666657</v>
      </c>
      <c r="D885" s="1">
        <v>45879</v>
      </c>
      <c r="E885" s="2">
        <f t="shared" si="13"/>
        <v>71.833333333343035</v>
      </c>
    </row>
    <row r="886" spans="1:5" x14ac:dyDescent="0.25">
      <c r="A886" t="s">
        <v>23</v>
      </c>
      <c r="B886" t="s">
        <v>18</v>
      </c>
      <c r="C886" s="1">
        <v>45981.18472222222</v>
      </c>
      <c r="D886" s="1">
        <v>46035.51666666667</v>
      </c>
      <c r="E886" s="2">
        <f t="shared" si="13"/>
        <v>54.331944444449618</v>
      </c>
    </row>
    <row r="887" spans="1:5" x14ac:dyDescent="0.25">
      <c r="A887" t="s">
        <v>12</v>
      </c>
      <c r="B887" t="s">
        <v>18</v>
      </c>
      <c r="C887" s="1">
        <v>45697.637499999997</v>
      </c>
      <c r="D887" s="1">
        <v>45769.9</v>
      </c>
      <c r="E887" s="2">
        <f t="shared" si="13"/>
        <v>72.262500000004366</v>
      </c>
    </row>
    <row r="888" spans="1:5" x14ac:dyDescent="0.25">
      <c r="A888" t="s">
        <v>12</v>
      </c>
      <c r="B888" t="s">
        <v>18</v>
      </c>
      <c r="C888" s="1">
        <v>45947.123611111107</v>
      </c>
      <c r="D888" s="1">
        <v>46008.915277777778</v>
      </c>
      <c r="E888" s="2">
        <f t="shared" si="13"/>
        <v>61.791666666671517</v>
      </c>
    </row>
    <row r="889" spans="1:5" x14ac:dyDescent="0.25">
      <c r="A889" t="s">
        <v>27</v>
      </c>
      <c r="B889" t="s">
        <v>39</v>
      </c>
      <c r="C889" s="1">
        <v>45719.8</v>
      </c>
      <c r="D889" s="1">
        <v>45791.220833333333</v>
      </c>
      <c r="E889" s="2">
        <f t="shared" si="13"/>
        <v>71.420833333329938</v>
      </c>
    </row>
    <row r="890" spans="1:5" x14ac:dyDescent="0.25">
      <c r="A890" t="s">
        <v>12</v>
      </c>
      <c r="B890" t="s">
        <v>13</v>
      </c>
      <c r="C890" s="1">
        <v>46057.875</v>
      </c>
      <c r="D890" s="1">
        <v>46102.833333333343</v>
      </c>
      <c r="E890" s="2">
        <f t="shared" si="13"/>
        <v>44.958333333343035</v>
      </c>
    </row>
    <row r="891" spans="1:5" x14ac:dyDescent="0.25">
      <c r="A891" t="s">
        <v>17</v>
      </c>
      <c r="B891" t="s">
        <v>18</v>
      </c>
      <c r="C891" s="1">
        <v>45709</v>
      </c>
      <c r="D891" s="1">
        <v>45757</v>
      </c>
      <c r="E891" s="2">
        <f t="shared" si="13"/>
        <v>48</v>
      </c>
    </row>
    <row r="892" spans="1:5" x14ac:dyDescent="0.25">
      <c r="A892" t="s">
        <v>8</v>
      </c>
      <c r="B892" t="s">
        <v>18</v>
      </c>
      <c r="C892" s="1">
        <v>46212.760416666657</v>
      </c>
      <c r="D892" s="1">
        <v>46269.7</v>
      </c>
      <c r="E892" s="2">
        <f t="shared" si="13"/>
        <v>56.939583333340124</v>
      </c>
    </row>
    <row r="893" spans="1:5" x14ac:dyDescent="0.25">
      <c r="A893" t="s">
        <v>13</v>
      </c>
      <c r="B893" t="s">
        <v>8</v>
      </c>
      <c r="C893" s="1">
        <v>45961.866666666669</v>
      </c>
      <c r="D893" s="1">
        <v>46007.008333333331</v>
      </c>
      <c r="E893" s="2">
        <f t="shared" si="13"/>
        <v>45.141666666662786</v>
      </c>
    </row>
    <row r="894" spans="1:5" x14ac:dyDescent="0.25">
      <c r="A894" t="s">
        <v>8</v>
      </c>
      <c r="B894" t="s">
        <v>13</v>
      </c>
      <c r="C894" s="1">
        <v>45729.736111111109</v>
      </c>
      <c r="D894" s="1">
        <v>45768.474999999999</v>
      </c>
      <c r="E894" s="2">
        <f t="shared" si="13"/>
        <v>38.738888888889051</v>
      </c>
    </row>
    <row r="895" spans="1:5" x14ac:dyDescent="0.25">
      <c r="A895" t="s">
        <v>12</v>
      </c>
      <c r="B895" t="s">
        <v>13</v>
      </c>
      <c r="C895" s="1">
        <v>46132.84375</v>
      </c>
      <c r="D895" s="1">
        <v>46178.856944444437</v>
      </c>
      <c r="E895" s="2">
        <f t="shared" si="13"/>
        <v>46.013194444436522</v>
      </c>
    </row>
    <row r="896" spans="1:5" x14ac:dyDescent="0.25">
      <c r="A896" t="s">
        <v>28</v>
      </c>
      <c r="B896" t="s">
        <v>18</v>
      </c>
      <c r="C896" s="1">
        <v>45803.540277777778</v>
      </c>
      <c r="D896" s="1">
        <v>45875.361805555563</v>
      </c>
      <c r="E896" s="2">
        <f t="shared" si="13"/>
        <v>71.821527777785377</v>
      </c>
    </row>
    <row r="897" spans="1:5" x14ac:dyDescent="0.25">
      <c r="A897" t="s">
        <v>27</v>
      </c>
      <c r="B897" t="s">
        <v>20</v>
      </c>
      <c r="C897" s="1">
        <v>45748.5625</v>
      </c>
      <c r="D897" s="1">
        <v>45813.379166666673</v>
      </c>
      <c r="E897" s="2">
        <f t="shared" si="13"/>
        <v>64.816666666672972</v>
      </c>
    </row>
    <row r="898" spans="1:5" x14ac:dyDescent="0.25">
      <c r="A898" t="s">
        <v>28</v>
      </c>
      <c r="B898" t="s">
        <v>8</v>
      </c>
      <c r="C898" s="1">
        <v>45904.94027777778</v>
      </c>
      <c r="D898" s="1">
        <v>45977.614583333343</v>
      </c>
      <c r="E898" s="2">
        <f t="shared" ref="E898:E961" si="14">D898-C898</f>
        <v>72.674305555563478</v>
      </c>
    </row>
    <row r="899" spans="1:5" x14ac:dyDescent="0.25">
      <c r="A899" t="s">
        <v>16</v>
      </c>
      <c r="B899" t="s">
        <v>20</v>
      </c>
      <c r="C899" s="1">
        <v>45726.875</v>
      </c>
      <c r="D899" s="1">
        <v>45778.3125</v>
      </c>
      <c r="E899" s="2">
        <f t="shared" si="14"/>
        <v>51.4375</v>
      </c>
    </row>
    <row r="900" spans="1:5" x14ac:dyDescent="0.25">
      <c r="A900" t="s">
        <v>20</v>
      </c>
      <c r="B900" t="s">
        <v>8</v>
      </c>
      <c r="C900" s="1">
        <v>46198.345833333333</v>
      </c>
      <c r="D900" s="1">
        <v>46233.001388888893</v>
      </c>
      <c r="E900" s="2">
        <f t="shared" si="14"/>
        <v>34.655555555560568</v>
      </c>
    </row>
    <row r="901" spans="1:5" x14ac:dyDescent="0.25">
      <c r="A901" t="s">
        <v>10</v>
      </c>
      <c r="B901" t="s">
        <v>8</v>
      </c>
      <c r="C901" s="1">
        <v>46103.106249999997</v>
      </c>
      <c r="D901" s="1">
        <v>46118.716666666667</v>
      </c>
      <c r="E901" s="2">
        <f t="shared" si="14"/>
        <v>15.610416666670062</v>
      </c>
    </row>
    <row r="902" spans="1:5" x14ac:dyDescent="0.25">
      <c r="A902" t="s">
        <v>27</v>
      </c>
      <c r="B902" t="s">
        <v>8</v>
      </c>
      <c r="C902" s="1">
        <v>46031.229166666657</v>
      </c>
      <c r="D902" s="1">
        <v>46074.836805555547</v>
      </c>
      <c r="E902" s="2">
        <f t="shared" si="14"/>
        <v>43.607638888890506</v>
      </c>
    </row>
    <row r="903" spans="1:5" x14ac:dyDescent="0.25">
      <c r="A903" t="s">
        <v>19</v>
      </c>
      <c r="B903" t="s">
        <v>11</v>
      </c>
      <c r="C903" s="1">
        <v>46138.508333333331</v>
      </c>
      <c r="D903" s="1">
        <v>46175.958333333343</v>
      </c>
      <c r="E903" s="2">
        <f t="shared" si="14"/>
        <v>37.450000000011642</v>
      </c>
    </row>
    <row r="904" spans="1:5" x14ac:dyDescent="0.25">
      <c r="A904" t="s">
        <v>12</v>
      </c>
      <c r="B904" t="s">
        <v>18</v>
      </c>
      <c r="C904" s="1">
        <v>45706.92083333333</v>
      </c>
      <c r="D904" s="1">
        <v>45757.104166666657</v>
      </c>
      <c r="E904" s="2">
        <f t="shared" si="14"/>
        <v>50.183333333327028</v>
      </c>
    </row>
    <row r="905" spans="1:5" x14ac:dyDescent="0.25">
      <c r="A905" t="s">
        <v>12</v>
      </c>
      <c r="B905" t="s">
        <v>13</v>
      </c>
      <c r="C905" s="1">
        <v>45968.186111111107</v>
      </c>
      <c r="D905" s="1">
        <v>46015.118055555547</v>
      </c>
      <c r="E905" s="2">
        <f t="shared" si="14"/>
        <v>46.931944444440887</v>
      </c>
    </row>
    <row r="906" spans="1:5" x14ac:dyDescent="0.25">
      <c r="A906" t="s">
        <v>16</v>
      </c>
      <c r="B906" t="s">
        <v>8</v>
      </c>
      <c r="C906" s="1">
        <v>45687.745833333327</v>
      </c>
      <c r="D906" s="1">
        <v>45729.704861111109</v>
      </c>
      <c r="E906" s="2">
        <f t="shared" si="14"/>
        <v>41.959027777782467</v>
      </c>
    </row>
    <row r="907" spans="1:5" x14ac:dyDescent="0.25">
      <c r="A907" t="s">
        <v>19</v>
      </c>
      <c r="B907" t="s">
        <v>8</v>
      </c>
      <c r="C907" s="1">
        <v>45882.708333333343</v>
      </c>
      <c r="D907" s="1">
        <v>45910.938888888893</v>
      </c>
      <c r="E907" s="2">
        <f t="shared" si="14"/>
        <v>28.230555555550382</v>
      </c>
    </row>
    <row r="908" spans="1:5" x14ac:dyDescent="0.25">
      <c r="A908" t="s">
        <v>13</v>
      </c>
      <c r="B908" t="s">
        <v>11</v>
      </c>
      <c r="C908" s="1">
        <v>45683.762499999997</v>
      </c>
      <c r="D908" s="1">
        <v>45728.054166666669</v>
      </c>
      <c r="E908" s="2">
        <f t="shared" si="14"/>
        <v>44.291666666671517</v>
      </c>
    </row>
    <row r="909" spans="1:5" x14ac:dyDescent="0.25">
      <c r="A909" t="s">
        <v>27</v>
      </c>
      <c r="B909" t="s">
        <v>20</v>
      </c>
      <c r="C909" s="1">
        <v>45697.027083333327</v>
      </c>
      <c r="D909" s="1">
        <v>45769</v>
      </c>
      <c r="E909" s="2">
        <f t="shared" si="14"/>
        <v>71.972916666672972</v>
      </c>
    </row>
    <row r="910" spans="1:5" x14ac:dyDescent="0.25">
      <c r="A910" t="s">
        <v>27</v>
      </c>
      <c r="B910" t="s">
        <v>39</v>
      </c>
      <c r="C910" s="1">
        <v>45697.027083333327</v>
      </c>
      <c r="D910" s="1">
        <v>45769</v>
      </c>
      <c r="E910" s="2">
        <f t="shared" si="14"/>
        <v>71.972916666672972</v>
      </c>
    </row>
    <row r="911" spans="1:5" x14ac:dyDescent="0.25">
      <c r="A911" t="s">
        <v>20</v>
      </c>
      <c r="B911" t="s">
        <v>8</v>
      </c>
      <c r="C911" s="1">
        <v>45831.095833333333</v>
      </c>
      <c r="D911" s="1">
        <v>45871.181250000001</v>
      </c>
      <c r="E911" s="2">
        <f t="shared" si="14"/>
        <v>40.085416666668607</v>
      </c>
    </row>
    <row r="912" spans="1:5" x14ac:dyDescent="0.25">
      <c r="A912" t="s">
        <v>9</v>
      </c>
      <c r="B912" t="s">
        <v>11</v>
      </c>
      <c r="C912" s="1">
        <v>45758.351388888892</v>
      </c>
      <c r="D912" s="1">
        <v>45840.291666666657</v>
      </c>
      <c r="E912" s="2">
        <f t="shared" si="14"/>
        <v>81.940277777765004</v>
      </c>
    </row>
    <row r="913" spans="1:5" x14ac:dyDescent="0.25">
      <c r="A913" t="s">
        <v>8</v>
      </c>
      <c r="B913" t="s">
        <v>18</v>
      </c>
      <c r="C913" s="1">
        <v>46227.745833333327</v>
      </c>
      <c r="D913" s="1">
        <v>46269.7</v>
      </c>
      <c r="E913" s="2">
        <f t="shared" si="14"/>
        <v>41.954166666670062</v>
      </c>
    </row>
    <row r="914" spans="1:5" x14ac:dyDescent="0.25">
      <c r="A914" t="s">
        <v>11</v>
      </c>
      <c r="B914" t="s">
        <v>19</v>
      </c>
      <c r="C914" s="1">
        <v>45975.191666666673</v>
      </c>
      <c r="D914" s="1">
        <v>46020.945833333331</v>
      </c>
      <c r="E914" s="2">
        <f t="shared" si="14"/>
        <v>45.754166666658421</v>
      </c>
    </row>
    <row r="915" spans="1:5" x14ac:dyDescent="0.25">
      <c r="A915" t="s">
        <v>20</v>
      </c>
      <c r="B915" t="s">
        <v>8</v>
      </c>
      <c r="C915" s="1">
        <v>45740.51666666667</v>
      </c>
      <c r="D915" s="1">
        <v>45777.254861111112</v>
      </c>
      <c r="E915" s="2">
        <f t="shared" si="14"/>
        <v>36.738194444442343</v>
      </c>
    </row>
    <row r="916" spans="1:5" x14ac:dyDescent="0.25">
      <c r="A916" t="s">
        <v>8</v>
      </c>
      <c r="B916" t="s">
        <v>18</v>
      </c>
      <c r="C916" s="1">
        <v>46170.131249999999</v>
      </c>
      <c r="D916" s="1">
        <v>46210.020833333343</v>
      </c>
      <c r="E916" s="2">
        <f t="shared" si="14"/>
        <v>39.88958333334449</v>
      </c>
    </row>
    <row r="917" spans="1:5" x14ac:dyDescent="0.25">
      <c r="A917" t="s">
        <v>8</v>
      </c>
      <c r="B917" t="s">
        <v>18</v>
      </c>
      <c r="C917" s="1">
        <v>46220.605555555558</v>
      </c>
      <c r="D917" s="1">
        <v>46269.7</v>
      </c>
      <c r="E917" s="2">
        <f t="shared" si="14"/>
        <v>49.094444444439432</v>
      </c>
    </row>
    <row r="918" spans="1:5" x14ac:dyDescent="0.25">
      <c r="A918" t="s">
        <v>17</v>
      </c>
      <c r="B918" t="s">
        <v>18</v>
      </c>
      <c r="C918" s="1">
        <v>45777.75</v>
      </c>
      <c r="D918" s="1">
        <v>45832.666666666657</v>
      </c>
      <c r="E918" s="2">
        <f t="shared" si="14"/>
        <v>54.916666666656965</v>
      </c>
    </row>
    <row r="919" spans="1:5" x14ac:dyDescent="0.25">
      <c r="A919" t="s">
        <v>8</v>
      </c>
      <c r="B919" t="s">
        <v>18</v>
      </c>
      <c r="C919" s="1">
        <v>46227.745833333327</v>
      </c>
      <c r="D919" s="1">
        <v>46269.7</v>
      </c>
      <c r="E919" s="2">
        <f t="shared" si="14"/>
        <v>41.954166666670062</v>
      </c>
    </row>
    <row r="920" spans="1:5" x14ac:dyDescent="0.25">
      <c r="A920" t="s">
        <v>7</v>
      </c>
      <c r="B920" t="s">
        <v>11</v>
      </c>
      <c r="C920" s="1">
        <v>45736.241666666669</v>
      </c>
      <c r="D920" s="1">
        <v>45812.137499999997</v>
      </c>
      <c r="E920" s="2">
        <f t="shared" si="14"/>
        <v>75.895833333328483</v>
      </c>
    </row>
    <row r="921" spans="1:5" x14ac:dyDescent="0.25">
      <c r="A921" t="s">
        <v>15</v>
      </c>
      <c r="B921" t="s">
        <v>18</v>
      </c>
      <c r="C921" s="1">
        <v>45957.560416666667</v>
      </c>
      <c r="D921" s="1">
        <v>46008.915277777778</v>
      </c>
      <c r="E921" s="2">
        <f t="shared" si="14"/>
        <v>51.354861111110949</v>
      </c>
    </row>
    <row r="922" spans="1:5" x14ac:dyDescent="0.25">
      <c r="A922" t="s">
        <v>20</v>
      </c>
      <c r="B922" t="s">
        <v>8</v>
      </c>
      <c r="C922" s="1">
        <v>46228.166666666657</v>
      </c>
      <c r="D922" s="1">
        <v>46261.125</v>
      </c>
      <c r="E922" s="2">
        <f t="shared" si="14"/>
        <v>32.958333333343035</v>
      </c>
    </row>
    <row r="923" spans="1:5" x14ac:dyDescent="0.25">
      <c r="A923" t="s">
        <v>16</v>
      </c>
      <c r="B923" t="s">
        <v>13</v>
      </c>
      <c r="C923" s="1">
        <v>45728.875</v>
      </c>
      <c r="D923" s="1">
        <v>45774.709722222222</v>
      </c>
      <c r="E923" s="2">
        <f t="shared" si="14"/>
        <v>45.834722222221899</v>
      </c>
    </row>
    <row r="924" spans="1:5" x14ac:dyDescent="0.25">
      <c r="A924" t="s">
        <v>13</v>
      </c>
      <c r="B924" t="s">
        <v>11</v>
      </c>
      <c r="C924" s="1">
        <v>45810.041666666657</v>
      </c>
      <c r="D924" s="1">
        <v>45846.662499999999</v>
      </c>
      <c r="E924" s="2">
        <f t="shared" si="14"/>
        <v>36.620833333341579</v>
      </c>
    </row>
    <row r="925" spans="1:5" x14ac:dyDescent="0.25">
      <c r="A925" t="s">
        <v>20</v>
      </c>
      <c r="B925" t="s">
        <v>8</v>
      </c>
      <c r="C925" s="1">
        <v>45948.17083333333</v>
      </c>
      <c r="D925" s="1">
        <v>45981.145833333343</v>
      </c>
      <c r="E925" s="2">
        <f t="shared" si="14"/>
        <v>32.975000000013097</v>
      </c>
    </row>
    <row r="926" spans="1:5" x14ac:dyDescent="0.25">
      <c r="A926" t="s">
        <v>7</v>
      </c>
      <c r="B926" t="s">
        <v>11</v>
      </c>
      <c r="C926" s="1">
        <v>45689.423611111109</v>
      </c>
      <c r="D926" s="1">
        <v>45770.2</v>
      </c>
      <c r="E926" s="2">
        <f t="shared" si="14"/>
        <v>80.776388888887595</v>
      </c>
    </row>
    <row r="927" spans="1:5" x14ac:dyDescent="0.25">
      <c r="A927" t="s">
        <v>12</v>
      </c>
      <c r="B927" t="s">
        <v>18</v>
      </c>
      <c r="C927" s="1">
        <v>45731.79791666667</v>
      </c>
      <c r="D927" s="1">
        <v>45783.079861111109</v>
      </c>
      <c r="E927" s="2">
        <f t="shared" si="14"/>
        <v>51.281944444439432</v>
      </c>
    </row>
    <row r="928" spans="1:5" x14ac:dyDescent="0.25">
      <c r="A928" t="s">
        <v>12</v>
      </c>
      <c r="B928" t="s">
        <v>13</v>
      </c>
      <c r="C928" s="1">
        <v>46132.84375</v>
      </c>
      <c r="D928" s="1">
        <v>46178.856944444437</v>
      </c>
      <c r="E928" s="2">
        <f t="shared" si="14"/>
        <v>46.013194444436522</v>
      </c>
    </row>
    <row r="929" spans="1:5" x14ac:dyDescent="0.25">
      <c r="A929" t="s">
        <v>13</v>
      </c>
      <c r="B929" t="s">
        <v>8</v>
      </c>
      <c r="C929" s="1">
        <v>46031.404166666667</v>
      </c>
      <c r="D929" s="1">
        <v>46055.6875</v>
      </c>
      <c r="E929" s="2">
        <f t="shared" si="14"/>
        <v>24.283333333332848</v>
      </c>
    </row>
    <row r="930" spans="1:5" x14ac:dyDescent="0.25">
      <c r="A930" t="s">
        <v>10</v>
      </c>
      <c r="B930" t="s">
        <v>8</v>
      </c>
      <c r="C930" s="1">
        <v>46174.682638888888</v>
      </c>
      <c r="D930" s="1">
        <v>46195.529166666667</v>
      </c>
      <c r="E930" s="2">
        <f t="shared" si="14"/>
        <v>20.846527777779556</v>
      </c>
    </row>
    <row r="931" spans="1:5" x14ac:dyDescent="0.25">
      <c r="A931" t="s">
        <v>13</v>
      </c>
      <c r="B931" t="s">
        <v>8</v>
      </c>
      <c r="C931" s="1">
        <v>45759.85833333333</v>
      </c>
      <c r="D931" s="1">
        <v>45784.279861111107</v>
      </c>
      <c r="E931" s="2">
        <f t="shared" si="14"/>
        <v>24.421527777776646</v>
      </c>
    </row>
    <row r="932" spans="1:5" x14ac:dyDescent="0.25">
      <c r="A932" t="s">
        <v>7</v>
      </c>
      <c r="B932" t="s">
        <v>11</v>
      </c>
      <c r="C932" s="1">
        <v>45663.51666666667</v>
      </c>
      <c r="D932" s="1">
        <v>45749.220833333333</v>
      </c>
      <c r="E932" s="2">
        <f t="shared" si="14"/>
        <v>85.704166666662786</v>
      </c>
    </row>
    <row r="933" spans="1:5" x14ac:dyDescent="0.25">
      <c r="A933" t="s">
        <v>7</v>
      </c>
      <c r="B933" t="s">
        <v>11</v>
      </c>
      <c r="C933" s="1">
        <v>45694.807638888888</v>
      </c>
      <c r="D933" s="1">
        <v>45769.900694444441</v>
      </c>
      <c r="E933" s="2">
        <f t="shared" si="14"/>
        <v>75.093055555553292</v>
      </c>
    </row>
    <row r="934" spans="1:5" x14ac:dyDescent="0.25">
      <c r="A934" t="s">
        <v>7</v>
      </c>
      <c r="B934" t="s">
        <v>13</v>
      </c>
      <c r="C934" s="1">
        <v>46102.293749999997</v>
      </c>
      <c r="D934" s="1">
        <v>46150.511805555558</v>
      </c>
      <c r="E934" s="2">
        <f t="shared" si="14"/>
        <v>48.218055555560568</v>
      </c>
    </row>
    <row r="935" spans="1:5" x14ac:dyDescent="0.25">
      <c r="A935" t="s">
        <v>16</v>
      </c>
      <c r="B935" t="s">
        <v>13</v>
      </c>
      <c r="C935" s="1">
        <v>45757.408333333333</v>
      </c>
      <c r="D935" s="1">
        <v>45801.333333333343</v>
      </c>
      <c r="E935" s="2">
        <f t="shared" si="14"/>
        <v>43.925000000010186</v>
      </c>
    </row>
    <row r="936" spans="1:5" x14ac:dyDescent="0.25">
      <c r="A936" t="s">
        <v>11</v>
      </c>
      <c r="B936" t="s">
        <v>7</v>
      </c>
      <c r="C936" s="1">
        <v>45944.25</v>
      </c>
      <c r="D936" s="1">
        <v>46015.145833333343</v>
      </c>
      <c r="E936" s="2">
        <f t="shared" si="14"/>
        <v>70.895833333343035</v>
      </c>
    </row>
    <row r="937" spans="1:5" x14ac:dyDescent="0.25">
      <c r="A937" t="s">
        <v>26</v>
      </c>
      <c r="B937" t="s">
        <v>21</v>
      </c>
      <c r="C937" s="1">
        <v>46175.373611111107</v>
      </c>
      <c r="D937" s="1">
        <v>46205.692361111112</v>
      </c>
      <c r="E937" s="2">
        <f t="shared" si="14"/>
        <v>30.318750000005821</v>
      </c>
    </row>
    <row r="938" spans="1:5" x14ac:dyDescent="0.25">
      <c r="A938" t="s">
        <v>13</v>
      </c>
      <c r="B938" t="s">
        <v>8</v>
      </c>
      <c r="C938" s="1">
        <v>45769.25</v>
      </c>
      <c r="D938" s="1">
        <v>45796.327777777777</v>
      </c>
      <c r="E938" s="2">
        <f t="shared" si="14"/>
        <v>27.077777777776646</v>
      </c>
    </row>
    <row r="939" spans="1:5" x14ac:dyDescent="0.25">
      <c r="A939" t="s">
        <v>13</v>
      </c>
      <c r="B939" t="s">
        <v>8</v>
      </c>
      <c r="C939" s="1">
        <v>45885.07916666667</v>
      </c>
      <c r="D939" s="1">
        <v>45910.938888888893</v>
      </c>
      <c r="E939" s="2">
        <f t="shared" si="14"/>
        <v>25.859722222223354</v>
      </c>
    </row>
    <row r="940" spans="1:5" x14ac:dyDescent="0.25">
      <c r="A940" t="s">
        <v>26</v>
      </c>
      <c r="B940" t="s">
        <v>21</v>
      </c>
      <c r="C940" s="1">
        <v>46214.779166666667</v>
      </c>
      <c r="D940" s="1">
        <v>46254.470833333333</v>
      </c>
      <c r="E940" s="2">
        <f t="shared" si="14"/>
        <v>39.691666666665697</v>
      </c>
    </row>
    <row r="941" spans="1:5" x14ac:dyDescent="0.25">
      <c r="A941" t="s">
        <v>23</v>
      </c>
      <c r="B941" t="s">
        <v>24</v>
      </c>
      <c r="C941" s="1">
        <v>46033.42083333333</v>
      </c>
      <c r="D941" s="1">
        <v>46110.945833333331</v>
      </c>
      <c r="E941" s="2">
        <f t="shared" si="14"/>
        <v>77.525000000001455</v>
      </c>
    </row>
    <row r="942" spans="1:5" x14ac:dyDescent="0.25">
      <c r="A942" t="s">
        <v>13</v>
      </c>
      <c r="B942" t="s">
        <v>11</v>
      </c>
      <c r="C942" s="1">
        <v>46142.683333333327</v>
      </c>
      <c r="D942" s="1">
        <v>46196.95416666667</v>
      </c>
      <c r="E942" s="2">
        <f t="shared" si="14"/>
        <v>54.270833333343035</v>
      </c>
    </row>
    <row r="943" spans="1:5" x14ac:dyDescent="0.25">
      <c r="A943" t="s">
        <v>17</v>
      </c>
      <c r="B943" t="s">
        <v>18</v>
      </c>
      <c r="C943" s="1">
        <v>45777.75</v>
      </c>
      <c r="D943" s="1">
        <v>45832.666666666657</v>
      </c>
      <c r="E943" s="2">
        <f t="shared" si="14"/>
        <v>54.916666666656965</v>
      </c>
    </row>
    <row r="944" spans="1:5" x14ac:dyDescent="0.25">
      <c r="A944" t="s">
        <v>16</v>
      </c>
      <c r="B944" t="s">
        <v>8</v>
      </c>
      <c r="C944" s="1">
        <v>45744.76666666667</v>
      </c>
      <c r="D944" s="1">
        <v>45809.359027777777</v>
      </c>
      <c r="E944" s="2">
        <f t="shared" si="14"/>
        <v>64.592361111106584</v>
      </c>
    </row>
    <row r="945" spans="1:5" x14ac:dyDescent="0.25">
      <c r="A945" t="s">
        <v>13</v>
      </c>
      <c r="B945" t="s">
        <v>8</v>
      </c>
      <c r="C945" s="1">
        <v>45961.866666666669</v>
      </c>
      <c r="D945" s="1">
        <v>45999.799305555563</v>
      </c>
      <c r="E945" s="2">
        <f t="shared" si="14"/>
        <v>37.932638888894871</v>
      </c>
    </row>
    <row r="946" spans="1:5" x14ac:dyDescent="0.25">
      <c r="A946" t="s">
        <v>13</v>
      </c>
      <c r="B946" t="s">
        <v>8</v>
      </c>
      <c r="C946" s="1">
        <v>45885.07916666667</v>
      </c>
      <c r="D946" s="1">
        <v>45910.938888888893</v>
      </c>
      <c r="E946" s="2">
        <f t="shared" si="14"/>
        <v>25.859722222223354</v>
      </c>
    </row>
    <row r="947" spans="1:5" x14ac:dyDescent="0.25">
      <c r="A947" t="s">
        <v>28</v>
      </c>
      <c r="B947" t="s">
        <v>8</v>
      </c>
      <c r="C947" s="1">
        <v>45898.520833333343</v>
      </c>
      <c r="D947" s="1">
        <v>45970.375</v>
      </c>
      <c r="E947" s="2">
        <f t="shared" si="14"/>
        <v>71.854166666656965</v>
      </c>
    </row>
    <row r="948" spans="1:5" x14ac:dyDescent="0.25">
      <c r="A948" t="s">
        <v>20</v>
      </c>
      <c r="B948" t="s">
        <v>8</v>
      </c>
      <c r="C948" s="1">
        <v>46075.20416666667</v>
      </c>
      <c r="D948" s="1">
        <v>46113.945138888892</v>
      </c>
      <c r="E948" s="2">
        <f t="shared" si="14"/>
        <v>38.740972222221899</v>
      </c>
    </row>
    <row r="949" spans="1:5" x14ac:dyDescent="0.25">
      <c r="A949" t="s">
        <v>13</v>
      </c>
      <c r="B949" t="s">
        <v>8</v>
      </c>
      <c r="C949" s="1">
        <v>45948.466666666667</v>
      </c>
      <c r="D949" s="1">
        <v>45976.125</v>
      </c>
      <c r="E949" s="2">
        <f t="shared" si="14"/>
        <v>27.658333333332848</v>
      </c>
    </row>
    <row r="950" spans="1:5" x14ac:dyDescent="0.25">
      <c r="A950" t="s">
        <v>12</v>
      </c>
      <c r="B950" t="s">
        <v>18</v>
      </c>
      <c r="C950" s="1">
        <v>45855.097222222219</v>
      </c>
      <c r="D950" s="1">
        <v>45917.230555555558</v>
      </c>
      <c r="E950" s="2">
        <f t="shared" si="14"/>
        <v>62.133333333338669</v>
      </c>
    </row>
    <row r="951" spans="1:5" x14ac:dyDescent="0.25">
      <c r="A951" t="s">
        <v>16</v>
      </c>
      <c r="B951" t="s">
        <v>8</v>
      </c>
      <c r="C951" s="1">
        <v>45687.745833333327</v>
      </c>
      <c r="D951" s="1">
        <v>45729.704861111109</v>
      </c>
      <c r="E951" s="2">
        <f t="shared" si="14"/>
        <v>41.959027777782467</v>
      </c>
    </row>
    <row r="952" spans="1:5" x14ac:dyDescent="0.25">
      <c r="A952" t="s">
        <v>12</v>
      </c>
      <c r="B952" t="s">
        <v>13</v>
      </c>
      <c r="C952" s="1">
        <v>45879.837500000001</v>
      </c>
      <c r="D952" s="1">
        <v>45932.57916666667</v>
      </c>
      <c r="E952" s="2">
        <f t="shared" si="14"/>
        <v>52.741666666668607</v>
      </c>
    </row>
    <row r="953" spans="1:5" x14ac:dyDescent="0.25">
      <c r="A953" t="s">
        <v>12</v>
      </c>
      <c r="B953" t="s">
        <v>13</v>
      </c>
      <c r="C953" s="1">
        <v>45973.463888888888</v>
      </c>
      <c r="D953" s="1">
        <v>46022.405555555553</v>
      </c>
      <c r="E953" s="2">
        <f t="shared" si="14"/>
        <v>48.941666666665697</v>
      </c>
    </row>
    <row r="954" spans="1:5" x14ac:dyDescent="0.25">
      <c r="A954" t="s">
        <v>8</v>
      </c>
      <c r="B954" t="s">
        <v>18</v>
      </c>
      <c r="C954" s="1">
        <v>46186.24722222222</v>
      </c>
      <c r="D954" s="1">
        <v>46225.658333333333</v>
      </c>
      <c r="E954" s="2">
        <f t="shared" si="14"/>
        <v>39.411111111112405</v>
      </c>
    </row>
    <row r="955" spans="1:5" x14ac:dyDescent="0.25">
      <c r="A955" t="s">
        <v>20</v>
      </c>
      <c r="B955" t="s">
        <v>8</v>
      </c>
      <c r="C955" s="1">
        <v>46194.012499999997</v>
      </c>
      <c r="D955" s="1">
        <v>46226.323611111111</v>
      </c>
      <c r="E955" s="2">
        <f t="shared" si="14"/>
        <v>32.31111111111386</v>
      </c>
    </row>
    <row r="956" spans="1:5" x14ac:dyDescent="0.25">
      <c r="A956" t="s">
        <v>15</v>
      </c>
      <c r="B956" t="s">
        <v>18</v>
      </c>
      <c r="C956" s="1">
        <v>46081.041666666657</v>
      </c>
      <c r="D956" s="1">
        <v>46131.375</v>
      </c>
      <c r="E956" s="2">
        <f t="shared" si="14"/>
        <v>50.333333333343035</v>
      </c>
    </row>
    <row r="957" spans="1:5" x14ac:dyDescent="0.25">
      <c r="A957" t="s">
        <v>23</v>
      </c>
      <c r="B957" t="s">
        <v>18</v>
      </c>
      <c r="C957" s="1">
        <v>45939.654166666667</v>
      </c>
      <c r="D957" s="1">
        <v>45990.75</v>
      </c>
      <c r="E957" s="2">
        <f t="shared" si="14"/>
        <v>51.095833333332848</v>
      </c>
    </row>
    <row r="958" spans="1:5" x14ac:dyDescent="0.25">
      <c r="A958" t="s">
        <v>12</v>
      </c>
      <c r="B958" t="s">
        <v>13</v>
      </c>
      <c r="C958" s="1">
        <v>45720.837500000001</v>
      </c>
      <c r="D958" s="1">
        <v>45765.578472222223</v>
      </c>
      <c r="E958" s="2">
        <f t="shared" si="14"/>
        <v>44.740972222221899</v>
      </c>
    </row>
    <row r="959" spans="1:5" x14ac:dyDescent="0.25">
      <c r="A959" t="s">
        <v>8</v>
      </c>
      <c r="B959" t="s">
        <v>18</v>
      </c>
      <c r="C959" s="1">
        <v>46206.283333333333</v>
      </c>
      <c r="D959" s="1">
        <v>46251.208333333343</v>
      </c>
      <c r="E959" s="2">
        <f t="shared" si="14"/>
        <v>44.925000000010186</v>
      </c>
    </row>
    <row r="960" spans="1:5" x14ac:dyDescent="0.25">
      <c r="A960" t="s">
        <v>28</v>
      </c>
      <c r="B960" t="s">
        <v>18</v>
      </c>
      <c r="C960" s="1">
        <v>45852.695138888892</v>
      </c>
      <c r="D960" s="1">
        <v>45917.230555555558</v>
      </c>
      <c r="E960" s="2">
        <f t="shared" si="14"/>
        <v>64.535416666665697</v>
      </c>
    </row>
    <row r="961" spans="1:5" x14ac:dyDescent="0.25">
      <c r="A961" t="s">
        <v>13</v>
      </c>
      <c r="B961" t="s">
        <v>11</v>
      </c>
      <c r="C961" s="1">
        <v>45734.956944444442</v>
      </c>
      <c r="D961" s="1">
        <v>45786.275000000001</v>
      </c>
      <c r="E961" s="2">
        <f t="shared" si="14"/>
        <v>51.318055555559113</v>
      </c>
    </row>
    <row r="962" spans="1:5" x14ac:dyDescent="0.25">
      <c r="A962" t="s">
        <v>23</v>
      </c>
      <c r="B962" t="s">
        <v>18</v>
      </c>
      <c r="C962" s="1">
        <v>45939.654166666667</v>
      </c>
      <c r="D962" s="1">
        <v>45990.75</v>
      </c>
      <c r="E962" s="2">
        <f t="shared" ref="E962:E1025" si="15">D962-C962</f>
        <v>51.095833333332848</v>
      </c>
    </row>
    <row r="963" spans="1:5" x14ac:dyDescent="0.25">
      <c r="A963" t="s">
        <v>16</v>
      </c>
      <c r="B963" t="s">
        <v>8</v>
      </c>
      <c r="C963" s="1">
        <v>45744.76666666667</v>
      </c>
      <c r="D963" s="1">
        <v>45791.914583333331</v>
      </c>
      <c r="E963" s="2">
        <f t="shared" si="15"/>
        <v>47.147916666661331</v>
      </c>
    </row>
    <row r="964" spans="1:5" x14ac:dyDescent="0.25">
      <c r="A964" t="s">
        <v>12</v>
      </c>
      <c r="B964" t="s">
        <v>8</v>
      </c>
      <c r="C964" s="1">
        <v>45944.186805555553</v>
      </c>
      <c r="D964" s="1">
        <v>45991.530555555553</v>
      </c>
      <c r="E964" s="2">
        <f t="shared" si="15"/>
        <v>47.34375</v>
      </c>
    </row>
    <row r="965" spans="1:5" x14ac:dyDescent="0.25">
      <c r="A965" t="s">
        <v>13</v>
      </c>
      <c r="B965" t="s">
        <v>8</v>
      </c>
      <c r="C965" s="1">
        <v>45904.879166666673</v>
      </c>
      <c r="D965" s="1">
        <v>45931</v>
      </c>
      <c r="E965" s="2">
        <f t="shared" si="15"/>
        <v>26.120833333327028</v>
      </c>
    </row>
    <row r="966" spans="1:5" x14ac:dyDescent="0.25">
      <c r="A966" t="s">
        <v>14</v>
      </c>
      <c r="B966" t="s">
        <v>22</v>
      </c>
      <c r="C966" s="1">
        <v>46087.787499999999</v>
      </c>
      <c r="D966" s="1">
        <v>46153.174305555563</v>
      </c>
      <c r="E966" s="2">
        <f t="shared" si="15"/>
        <v>65.386805555564933</v>
      </c>
    </row>
    <row r="967" spans="1:5" x14ac:dyDescent="0.25">
      <c r="A967" t="s">
        <v>12</v>
      </c>
      <c r="B967" t="s">
        <v>13</v>
      </c>
      <c r="C967" s="1">
        <v>45947.123611111107</v>
      </c>
      <c r="D967" s="1">
        <v>45988.083333333343</v>
      </c>
      <c r="E967" s="2">
        <f t="shared" si="15"/>
        <v>40.959722222236451</v>
      </c>
    </row>
    <row r="968" spans="1:5" x14ac:dyDescent="0.25">
      <c r="A968" t="s">
        <v>8</v>
      </c>
      <c r="B968" t="s">
        <v>18</v>
      </c>
      <c r="C968" s="1">
        <v>46212.760416666657</v>
      </c>
      <c r="D968" s="1">
        <v>46269.7</v>
      </c>
      <c r="E968" s="2">
        <f t="shared" si="15"/>
        <v>56.939583333340124</v>
      </c>
    </row>
    <row r="969" spans="1:5" x14ac:dyDescent="0.25">
      <c r="A969" t="s">
        <v>23</v>
      </c>
      <c r="B969" t="s">
        <v>18</v>
      </c>
      <c r="C969" s="1">
        <v>46034.098611111112</v>
      </c>
      <c r="D969" s="1">
        <v>46079.863888888889</v>
      </c>
      <c r="E969" s="2">
        <f t="shared" si="15"/>
        <v>45.765277777776646</v>
      </c>
    </row>
    <row r="970" spans="1:5" x14ac:dyDescent="0.25">
      <c r="A970" t="s">
        <v>11</v>
      </c>
      <c r="B970" t="s">
        <v>21</v>
      </c>
      <c r="C970" s="1">
        <v>46102.208333333343</v>
      </c>
      <c r="D970" s="1">
        <v>46112.675694444442</v>
      </c>
      <c r="E970" s="2">
        <f t="shared" si="15"/>
        <v>10.467361111099308</v>
      </c>
    </row>
    <row r="971" spans="1:5" x14ac:dyDescent="0.25">
      <c r="A971" t="s">
        <v>8</v>
      </c>
      <c r="B971" t="s">
        <v>18</v>
      </c>
      <c r="C971" s="1">
        <v>46234.25</v>
      </c>
      <c r="D971" s="1">
        <v>46284.76666666667</v>
      </c>
      <c r="E971" s="2">
        <f t="shared" si="15"/>
        <v>50.516666666670062</v>
      </c>
    </row>
    <row r="972" spans="1:5" x14ac:dyDescent="0.25">
      <c r="A972" t="s">
        <v>15</v>
      </c>
      <c r="B972" t="s">
        <v>20</v>
      </c>
      <c r="C972" s="1">
        <v>46185.4</v>
      </c>
      <c r="D972" s="1">
        <v>46229.652777777781</v>
      </c>
      <c r="E972" s="2">
        <f t="shared" si="15"/>
        <v>44.252777777779556</v>
      </c>
    </row>
    <row r="973" spans="1:5" x14ac:dyDescent="0.25">
      <c r="A973" t="s">
        <v>12</v>
      </c>
      <c r="B973" t="s">
        <v>8</v>
      </c>
      <c r="C973" s="1">
        <v>46056.25277777778</v>
      </c>
      <c r="D973" s="1">
        <v>46102.916666666657</v>
      </c>
      <c r="E973" s="2">
        <f t="shared" si="15"/>
        <v>46.663888888877409</v>
      </c>
    </row>
    <row r="974" spans="1:5" x14ac:dyDescent="0.25">
      <c r="A974" t="s">
        <v>27</v>
      </c>
      <c r="B974" t="s">
        <v>18</v>
      </c>
      <c r="C974" s="1">
        <v>45769.287499999999</v>
      </c>
      <c r="D974" s="1">
        <v>45827.402777777781</v>
      </c>
      <c r="E974" s="2">
        <f t="shared" si="15"/>
        <v>58.115277777782467</v>
      </c>
    </row>
    <row r="975" spans="1:5" x14ac:dyDescent="0.25">
      <c r="A975" t="s">
        <v>14</v>
      </c>
      <c r="B975" t="s">
        <v>11</v>
      </c>
      <c r="C975" s="1">
        <v>45683.375</v>
      </c>
      <c r="D975" s="1">
        <v>45735.212500000001</v>
      </c>
      <c r="E975" s="2">
        <f t="shared" si="15"/>
        <v>51.837500000001455</v>
      </c>
    </row>
    <row r="976" spans="1:5" x14ac:dyDescent="0.25">
      <c r="A976" t="s">
        <v>13</v>
      </c>
      <c r="B976" t="s">
        <v>8</v>
      </c>
      <c r="C976" s="1">
        <v>45704.237500000003</v>
      </c>
      <c r="D976" s="1">
        <v>45728.632638888892</v>
      </c>
      <c r="E976" s="2">
        <f t="shared" si="15"/>
        <v>24.395138888889051</v>
      </c>
    </row>
    <row r="977" spans="1:5" x14ac:dyDescent="0.25">
      <c r="A977" t="s">
        <v>26</v>
      </c>
      <c r="B977" t="s">
        <v>21</v>
      </c>
      <c r="C977" s="1">
        <v>46194.208333333343</v>
      </c>
      <c r="D977" s="1">
        <v>46241.2</v>
      </c>
      <c r="E977" s="2">
        <f t="shared" si="15"/>
        <v>46.991666666654055</v>
      </c>
    </row>
    <row r="978" spans="1:5" x14ac:dyDescent="0.25">
      <c r="A978" t="s">
        <v>27</v>
      </c>
      <c r="B978" t="s">
        <v>18</v>
      </c>
      <c r="C978" s="1">
        <v>45813.168055555558</v>
      </c>
      <c r="D978" s="1">
        <v>45869.003472222219</v>
      </c>
      <c r="E978" s="2">
        <f t="shared" si="15"/>
        <v>55.835416666661331</v>
      </c>
    </row>
    <row r="979" spans="1:5" x14ac:dyDescent="0.25">
      <c r="A979" t="s">
        <v>8</v>
      </c>
      <c r="B979" t="s">
        <v>18</v>
      </c>
      <c r="C979" s="1">
        <v>46149.661805555559</v>
      </c>
      <c r="D979" s="1">
        <v>46195.804166666669</v>
      </c>
      <c r="E979" s="2">
        <f t="shared" si="15"/>
        <v>46.142361111109494</v>
      </c>
    </row>
    <row r="980" spans="1:5" x14ac:dyDescent="0.25">
      <c r="A980" t="s">
        <v>27</v>
      </c>
      <c r="B980" t="s">
        <v>18</v>
      </c>
      <c r="C980" s="1">
        <v>45930.24722222222</v>
      </c>
      <c r="D980" s="1">
        <v>45986.619444444441</v>
      </c>
      <c r="E980" s="2">
        <f t="shared" si="15"/>
        <v>56.372222222220444</v>
      </c>
    </row>
    <row r="981" spans="1:5" x14ac:dyDescent="0.25">
      <c r="A981" t="s">
        <v>11</v>
      </c>
      <c r="B981" t="s">
        <v>7</v>
      </c>
      <c r="C981" s="1">
        <v>45944.25</v>
      </c>
      <c r="D981" s="1">
        <v>46015.145833333343</v>
      </c>
      <c r="E981" s="2">
        <f t="shared" si="15"/>
        <v>70.895833333343035</v>
      </c>
    </row>
    <row r="982" spans="1:5" x14ac:dyDescent="0.25">
      <c r="A982" t="s">
        <v>12</v>
      </c>
      <c r="B982" t="s">
        <v>13</v>
      </c>
      <c r="C982" s="1">
        <v>46106.09375</v>
      </c>
      <c r="D982" s="1">
        <v>46165.1</v>
      </c>
      <c r="E982" s="2">
        <f t="shared" si="15"/>
        <v>59.006249999998545</v>
      </c>
    </row>
    <row r="983" spans="1:5" x14ac:dyDescent="0.25">
      <c r="A983" t="s">
        <v>12</v>
      </c>
      <c r="B983" t="s">
        <v>13</v>
      </c>
      <c r="C983" s="1">
        <v>45799.050694444442</v>
      </c>
      <c r="D983" s="1">
        <v>45844.353472222218</v>
      </c>
      <c r="E983" s="2">
        <f t="shared" si="15"/>
        <v>45.302777777775191</v>
      </c>
    </row>
    <row r="984" spans="1:5" x14ac:dyDescent="0.25">
      <c r="A984" t="s">
        <v>15</v>
      </c>
      <c r="B984" t="s">
        <v>18</v>
      </c>
      <c r="C984" s="1">
        <v>45885.958333333343</v>
      </c>
      <c r="D984" s="1">
        <v>45948.833333333343</v>
      </c>
      <c r="E984" s="2">
        <f t="shared" si="15"/>
        <v>62.875</v>
      </c>
    </row>
    <row r="985" spans="1:5" x14ac:dyDescent="0.25">
      <c r="A985" t="s">
        <v>13</v>
      </c>
      <c r="B985" t="s">
        <v>8</v>
      </c>
      <c r="C985" s="1">
        <v>45708.916666666657</v>
      </c>
      <c r="D985" s="1">
        <v>45733.46875</v>
      </c>
      <c r="E985" s="2">
        <f t="shared" si="15"/>
        <v>24.552083333343035</v>
      </c>
    </row>
    <row r="986" spans="1:5" x14ac:dyDescent="0.25">
      <c r="A986" t="s">
        <v>16</v>
      </c>
      <c r="B986" t="s">
        <v>8</v>
      </c>
      <c r="C986" s="1">
        <v>45764.879166666673</v>
      </c>
      <c r="D986" s="1">
        <v>45827.75</v>
      </c>
      <c r="E986" s="2">
        <f t="shared" si="15"/>
        <v>62.870833333327028</v>
      </c>
    </row>
    <row r="987" spans="1:5" x14ac:dyDescent="0.25">
      <c r="A987" t="s">
        <v>27</v>
      </c>
      <c r="B987" t="s">
        <v>18</v>
      </c>
      <c r="C987" s="1">
        <v>45938.5</v>
      </c>
      <c r="D987" s="1">
        <v>45990.75</v>
      </c>
      <c r="E987" s="2">
        <f t="shared" si="15"/>
        <v>52.25</v>
      </c>
    </row>
    <row r="988" spans="1:5" x14ac:dyDescent="0.25">
      <c r="A988" t="s">
        <v>12</v>
      </c>
      <c r="B988" t="s">
        <v>13</v>
      </c>
      <c r="C988" s="1">
        <v>45711.834027777782</v>
      </c>
      <c r="D988" s="1">
        <v>45758</v>
      </c>
      <c r="E988" s="2">
        <f t="shared" si="15"/>
        <v>46.165972222217533</v>
      </c>
    </row>
    <row r="989" spans="1:5" x14ac:dyDescent="0.25">
      <c r="A989" t="s">
        <v>13</v>
      </c>
      <c r="B989" t="s">
        <v>8</v>
      </c>
      <c r="C989" s="1">
        <v>46031.720833333333</v>
      </c>
      <c r="D989" s="1">
        <v>46057.604861111111</v>
      </c>
      <c r="E989" s="2">
        <f t="shared" si="15"/>
        <v>25.884027777778101</v>
      </c>
    </row>
    <row r="990" spans="1:5" x14ac:dyDescent="0.25">
      <c r="A990" t="s">
        <v>23</v>
      </c>
      <c r="B990" t="s">
        <v>18</v>
      </c>
      <c r="C990" s="1">
        <v>45919.554166666669</v>
      </c>
      <c r="D990" s="1">
        <v>45970.963194444441</v>
      </c>
      <c r="E990" s="2">
        <f t="shared" si="15"/>
        <v>51.40902777777228</v>
      </c>
    </row>
    <row r="991" spans="1:5" x14ac:dyDescent="0.25">
      <c r="A991" t="s">
        <v>20</v>
      </c>
      <c r="B991" t="s">
        <v>8</v>
      </c>
      <c r="C991" s="1">
        <v>45846.145833333343</v>
      </c>
      <c r="D991" s="1">
        <v>45874.833333333343</v>
      </c>
      <c r="E991" s="2">
        <f t="shared" si="15"/>
        <v>28.6875</v>
      </c>
    </row>
    <row r="992" spans="1:5" x14ac:dyDescent="0.25">
      <c r="A992" t="s">
        <v>15</v>
      </c>
      <c r="B992" t="s">
        <v>18</v>
      </c>
      <c r="C992" s="1">
        <v>45760.34375</v>
      </c>
      <c r="D992" s="1">
        <v>45807.625</v>
      </c>
      <c r="E992" s="2">
        <f t="shared" si="15"/>
        <v>47.28125</v>
      </c>
    </row>
    <row r="993" spans="1:5" x14ac:dyDescent="0.25">
      <c r="A993" t="s">
        <v>23</v>
      </c>
      <c r="B993" t="s">
        <v>19</v>
      </c>
      <c r="C993" s="1">
        <v>45805.625</v>
      </c>
      <c r="D993" s="1">
        <v>45843.406944444447</v>
      </c>
      <c r="E993" s="2">
        <f t="shared" si="15"/>
        <v>37.781944444446708</v>
      </c>
    </row>
    <row r="994" spans="1:5" x14ac:dyDescent="0.25">
      <c r="A994" t="s">
        <v>14</v>
      </c>
      <c r="B994" t="s">
        <v>22</v>
      </c>
      <c r="C994" s="1">
        <v>45855.216666666667</v>
      </c>
      <c r="D994" s="1">
        <v>45918.041666666657</v>
      </c>
      <c r="E994" s="2">
        <f t="shared" si="15"/>
        <v>62.824999999989814</v>
      </c>
    </row>
    <row r="995" spans="1:5" x14ac:dyDescent="0.25">
      <c r="A995" t="s">
        <v>23</v>
      </c>
      <c r="B995" t="s">
        <v>18</v>
      </c>
      <c r="C995" s="1">
        <v>46071.378472222219</v>
      </c>
      <c r="D995" s="1">
        <v>46119.064583333333</v>
      </c>
      <c r="E995" s="2">
        <f t="shared" si="15"/>
        <v>47.68611111111386</v>
      </c>
    </row>
    <row r="996" spans="1:5" x14ac:dyDescent="0.25">
      <c r="A996" t="s">
        <v>7</v>
      </c>
      <c r="B996" t="s">
        <v>13</v>
      </c>
      <c r="C996" s="1">
        <v>46109.006249999999</v>
      </c>
      <c r="D996" s="1">
        <v>46157.086111111108</v>
      </c>
      <c r="E996" s="2">
        <f t="shared" si="15"/>
        <v>48.079861111109494</v>
      </c>
    </row>
    <row r="997" spans="1:5" x14ac:dyDescent="0.25">
      <c r="A997" t="s">
        <v>8</v>
      </c>
      <c r="B997" t="s">
        <v>18</v>
      </c>
      <c r="C997" s="1">
        <v>46157.003472222219</v>
      </c>
      <c r="D997" s="1">
        <v>46195.804166666669</v>
      </c>
      <c r="E997" s="2">
        <f t="shared" si="15"/>
        <v>38.800694444449618</v>
      </c>
    </row>
    <row r="998" spans="1:5" x14ac:dyDescent="0.25">
      <c r="A998" t="s">
        <v>16</v>
      </c>
      <c r="B998" t="s">
        <v>8</v>
      </c>
      <c r="C998" s="1">
        <v>45764.879166666673</v>
      </c>
      <c r="D998" s="1">
        <v>45827.75</v>
      </c>
      <c r="E998" s="2">
        <f t="shared" si="15"/>
        <v>62.870833333327028</v>
      </c>
    </row>
    <row r="999" spans="1:5" x14ac:dyDescent="0.25">
      <c r="A999" t="s">
        <v>12</v>
      </c>
      <c r="B999" t="s">
        <v>18</v>
      </c>
      <c r="C999" s="1">
        <v>45731.79791666667</v>
      </c>
      <c r="D999" s="1">
        <v>45783.079861111109</v>
      </c>
      <c r="E999" s="2">
        <f t="shared" si="15"/>
        <v>51.281944444439432</v>
      </c>
    </row>
    <row r="1000" spans="1:5" x14ac:dyDescent="0.25">
      <c r="A1000" t="s">
        <v>11</v>
      </c>
      <c r="B1000" t="s">
        <v>7</v>
      </c>
      <c r="C1000" s="1">
        <v>45922.875</v>
      </c>
      <c r="D1000" s="1">
        <v>46003.95</v>
      </c>
      <c r="E1000" s="2">
        <f t="shared" si="15"/>
        <v>81.07499999999709</v>
      </c>
    </row>
    <row r="1001" spans="1:5" x14ac:dyDescent="0.25">
      <c r="A1001" t="s">
        <v>23</v>
      </c>
      <c r="B1001" t="s">
        <v>19</v>
      </c>
      <c r="C1001" s="1">
        <v>45805.625</v>
      </c>
      <c r="D1001" s="1">
        <v>45843.406944444447</v>
      </c>
      <c r="E1001" s="2">
        <f t="shared" si="15"/>
        <v>37.781944444446708</v>
      </c>
    </row>
    <row r="1002" spans="1:5" x14ac:dyDescent="0.25">
      <c r="A1002" t="s">
        <v>15</v>
      </c>
      <c r="B1002" t="s">
        <v>18</v>
      </c>
      <c r="C1002" s="1">
        <v>45735.651388888888</v>
      </c>
      <c r="D1002" s="1">
        <v>45786.710416666669</v>
      </c>
      <c r="E1002" s="2">
        <f t="shared" si="15"/>
        <v>51.059027777781012</v>
      </c>
    </row>
    <row r="1003" spans="1:5" x14ac:dyDescent="0.25">
      <c r="A1003" t="s">
        <v>17</v>
      </c>
      <c r="B1003" t="s">
        <v>18</v>
      </c>
      <c r="C1003" s="1">
        <v>45681.708333333343</v>
      </c>
      <c r="D1003" s="1">
        <v>45732.921527777777</v>
      </c>
      <c r="E1003" s="2">
        <f t="shared" si="15"/>
        <v>51.213194444433611</v>
      </c>
    </row>
    <row r="1004" spans="1:5" x14ac:dyDescent="0.25">
      <c r="A1004" t="s">
        <v>23</v>
      </c>
      <c r="B1004" t="s">
        <v>18</v>
      </c>
      <c r="C1004" s="1">
        <v>45910.129166666673</v>
      </c>
      <c r="D1004" s="1">
        <v>45964.081944444442</v>
      </c>
      <c r="E1004" s="2">
        <f t="shared" si="15"/>
        <v>53.95277777776937</v>
      </c>
    </row>
    <row r="1005" spans="1:5" x14ac:dyDescent="0.25">
      <c r="A1005" t="s">
        <v>11</v>
      </c>
      <c r="B1005" t="s">
        <v>19</v>
      </c>
      <c r="C1005" s="1">
        <v>45709.306250000001</v>
      </c>
      <c r="D1005" s="1">
        <v>45771.574999999997</v>
      </c>
      <c r="E1005" s="2">
        <f t="shared" si="15"/>
        <v>62.268749999995634</v>
      </c>
    </row>
    <row r="1006" spans="1:5" x14ac:dyDescent="0.25">
      <c r="A1006" t="s">
        <v>8</v>
      </c>
      <c r="B1006" t="s">
        <v>13</v>
      </c>
      <c r="C1006" s="1">
        <v>45770.5</v>
      </c>
      <c r="D1006" s="1">
        <v>45802.041666666657</v>
      </c>
      <c r="E1006" s="2">
        <f t="shared" si="15"/>
        <v>31.541666666656965</v>
      </c>
    </row>
    <row r="1007" spans="1:5" x14ac:dyDescent="0.25">
      <c r="A1007" t="s">
        <v>13</v>
      </c>
      <c r="B1007" t="s">
        <v>8</v>
      </c>
      <c r="C1007" s="1">
        <v>45829.554166666669</v>
      </c>
      <c r="D1007" s="1">
        <v>45854.631944444453</v>
      </c>
      <c r="E1007" s="2">
        <f t="shared" si="15"/>
        <v>25.077777777783922</v>
      </c>
    </row>
    <row r="1008" spans="1:5" x14ac:dyDescent="0.25">
      <c r="A1008" t="s">
        <v>16</v>
      </c>
      <c r="B1008" t="s">
        <v>8</v>
      </c>
      <c r="C1008" s="1">
        <v>46196.916666666657</v>
      </c>
      <c r="D1008" s="1">
        <v>46249.041666666657</v>
      </c>
      <c r="E1008" s="2">
        <f t="shared" si="15"/>
        <v>52.125</v>
      </c>
    </row>
    <row r="1009" spans="1:5" x14ac:dyDescent="0.25">
      <c r="A1009" t="s">
        <v>23</v>
      </c>
      <c r="B1009" t="s">
        <v>18</v>
      </c>
      <c r="C1009" s="1">
        <v>45910.129166666673</v>
      </c>
      <c r="D1009" s="1">
        <v>45964.081944444442</v>
      </c>
      <c r="E1009" s="2">
        <f t="shared" si="15"/>
        <v>53.95277777776937</v>
      </c>
    </row>
    <row r="1010" spans="1:5" x14ac:dyDescent="0.25">
      <c r="A1010" t="s">
        <v>12</v>
      </c>
      <c r="B1010" t="s">
        <v>18</v>
      </c>
      <c r="C1010" s="1">
        <v>45757.34375</v>
      </c>
      <c r="D1010" s="1">
        <v>45807.625</v>
      </c>
      <c r="E1010" s="2">
        <f t="shared" si="15"/>
        <v>50.28125</v>
      </c>
    </row>
    <row r="1011" spans="1:5" x14ac:dyDescent="0.25">
      <c r="A1011" t="s">
        <v>16</v>
      </c>
      <c r="B1011" t="s">
        <v>8</v>
      </c>
      <c r="C1011" s="1">
        <v>45703.462500000001</v>
      </c>
      <c r="D1011" s="1">
        <v>45747.796527777777</v>
      </c>
      <c r="E1011" s="2">
        <f t="shared" si="15"/>
        <v>44.334027777775191</v>
      </c>
    </row>
    <row r="1012" spans="1:5" x14ac:dyDescent="0.25">
      <c r="A1012" t="s">
        <v>13</v>
      </c>
      <c r="B1012" t="s">
        <v>8</v>
      </c>
      <c r="C1012" s="1">
        <v>45850.0625</v>
      </c>
      <c r="D1012" s="1">
        <v>45876.867361111108</v>
      </c>
      <c r="E1012" s="2">
        <f t="shared" si="15"/>
        <v>26.804861111108039</v>
      </c>
    </row>
    <row r="1013" spans="1:5" x14ac:dyDescent="0.25">
      <c r="A1013" t="s">
        <v>15</v>
      </c>
      <c r="B1013" t="s">
        <v>13</v>
      </c>
      <c r="C1013" s="1">
        <v>45936.479166666657</v>
      </c>
      <c r="D1013" s="1">
        <v>45983.504166666673</v>
      </c>
      <c r="E1013" s="2">
        <f t="shared" si="15"/>
        <v>47.025000000016007</v>
      </c>
    </row>
    <row r="1014" spans="1:5" x14ac:dyDescent="0.25">
      <c r="A1014" t="s">
        <v>12</v>
      </c>
      <c r="B1014" t="s">
        <v>8</v>
      </c>
      <c r="C1014" s="1">
        <v>45902.512499999997</v>
      </c>
      <c r="D1014" s="1">
        <v>45976.125</v>
      </c>
      <c r="E1014" s="2">
        <f t="shared" si="15"/>
        <v>73.61250000000291</v>
      </c>
    </row>
    <row r="1015" spans="1:5" x14ac:dyDescent="0.25">
      <c r="A1015" t="s">
        <v>10</v>
      </c>
      <c r="B1015" t="s">
        <v>8</v>
      </c>
      <c r="C1015" s="1">
        <v>46252.706944444442</v>
      </c>
      <c r="D1015" s="1">
        <v>46271.708333333343</v>
      </c>
      <c r="E1015" s="2">
        <f t="shared" si="15"/>
        <v>19.001388888900692</v>
      </c>
    </row>
    <row r="1016" spans="1:5" x14ac:dyDescent="0.25">
      <c r="A1016" t="s">
        <v>15</v>
      </c>
      <c r="B1016" t="s">
        <v>18</v>
      </c>
      <c r="C1016" s="1">
        <v>45864.958333333343</v>
      </c>
      <c r="D1016" s="1">
        <v>45917.230555555558</v>
      </c>
      <c r="E1016" s="2">
        <f t="shared" si="15"/>
        <v>52.272222222214623</v>
      </c>
    </row>
    <row r="1017" spans="1:5" x14ac:dyDescent="0.25">
      <c r="A1017" t="s">
        <v>23</v>
      </c>
      <c r="B1017" t="s">
        <v>8</v>
      </c>
      <c r="C1017" s="1">
        <v>46034.098611111112</v>
      </c>
      <c r="D1017" s="1">
        <v>46074.836805555547</v>
      </c>
      <c r="E1017" s="2">
        <f t="shared" si="15"/>
        <v>40.738194444435067</v>
      </c>
    </row>
    <row r="1018" spans="1:5" x14ac:dyDescent="0.25">
      <c r="A1018" t="s">
        <v>12</v>
      </c>
      <c r="B1018" t="s">
        <v>13</v>
      </c>
      <c r="C1018" s="1">
        <v>45973.463888888888</v>
      </c>
      <c r="D1018" s="1">
        <v>46022.405555555553</v>
      </c>
      <c r="E1018" s="2">
        <f t="shared" si="15"/>
        <v>48.941666666665697</v>
      </c>
    </row>
    <row r="1019" spans="1:5" x14ac:dyDescent="0.25">
      <c r="A1019" t="s">
        <v>26</v>
      </c>
      <c r="B1019" t="s">
        <v>21</v>
      </c>
      <c r="C1019" s="1">
        <v>46044.041666666657</v>
      </c>
      <c r="D1019" s="1">
        <v>46092.333333333343</v>
      </c>
      <c r="E1019" s="2">
        <f t="shared" si="15"/>
        <v>48.291666666686069</v>
      </c>
    </row>
    <row r="1020" spans="1:5" x14ac:dyDescent="0.25">
      <c r="A1020" t="s">
        <v>12</v>
      </c>
      <c r="B1020" t="s">
        <v>13</v>
      </c>
      <c r="C1020" s="1">
        <v>45994.375</v>
      </c>
      <c r="D1020" s="1">
        <v>46042.833333333343</v>
      </c>
      <c r="E1020" s="2">
        <f t="shared" si="15"/>
        <v>48.458333333343035</v>
      </c>
    </row>
    <row r="1021" spans="1:5" x14ac:dyDescent="0.25">
      <c r="A1021" t="s">
        <v>17</v>
      </c>
      <c r="B1021" t="s">
        <v>18</v>
      </c>
      <c r="C1021" s="1">
        <v>45680.722916666673</v>
      </c>
      <c r="D1021" s="1">
        <v>45732.921527777777</v>
      </c>
      <c r="E1021" s="2">
        <f t="shared" si="15"/>
        <v>52.198611111103673</v>
      </c>
    </row>
    <row r="1022" spans="1:5" x14ac:dyDescent="0.25">
      <c r="A1022" t="s">
        <v>12</v>
      </c>
      <c r="B1022" t="s">
        <v>13</v>
      </c>
      <c r="C1022" s="1">
        <v>45678.344444444447</v>
      </c>
      <c r="D1022" s="1">
        <v>45723.27847222222</v>
      </c>
      <c r="E1022" s="2">
        <f t="shared" si="15"/>
        <v>44.934027777773736</v>
      </c>
    </row>
    <row r="1023" spans="1:5" x14ac:dyDescent="0.25">
      <c r="A1023" t="s">
        <v>16</v>
      </c>
      <c r="B1023" t="s">
        <v>13</v>
      </c>
      <c r="C1023" s="1">
        <v>45703.462500000001</v>
      </c>
      <c r="D1023" s="1">
        <v>45742.387499999997</v>
      </c>
      <c r="E1023" s="2">
        <f t="shared" si="15"/>
        <v>38.924999999995634</v>
      </c>
    </row>
    <row r="1024" spans="1:5" x14ac:dyDescent="0.25">
      <c r="A1024" t="s">
        <v>16</v>
      </c>
      <c r="B1024" t="s">
        <v>8</v>
      </c>
      <c r="C1024" s="1">
        <v>45744.76666666667</v>
      </c>
      <c r="D1024" s="1">
        <v>45809.359027777777</v>
      </c>
      <c r="E1024" s="2">
        <f t="shared" si="15"/>
        <v>64.592361111106584</v>
      </c>
    </row>
    <row r="1025" spans="1:5" x14ac:dyDescent="0.25">
      <c r="A1025" t="s">
        <v>7</v>
      </c>
      <c r="B1025" t="s">
        <v>13</v>
      </c>
      <c r="C1025" s="1">
        <v>45869.5</v>
      </c>
      <c r="D1025" s="1">
        <v>45911.708333333343</v>
      </c>
      <c r="E1025" s="2">
        <f t="shared" si="15"/>
        <v>42.208333333343035</v>
      </c>
    </row>
    <row r="1026" spans="1:5" x14ac:dyDescent="0.25">
      <c r="A1026" t="s">
        <v>27</v>
      </c>
      <c r="B1026" t="s">
        <v>20</v>
      </c>
      <c r="C1026" s="1">
        <v>45741.387499999997</v>
      </c>
      <c r="D1026" s="1">
        <v>45813.379166666673</v>
      </c>
      <c r="E1026" s="2">
        <f t="shared" ref="E1026:E1089" si="16">D1026-C1026</f>
        <v>71.991666666675883</v>
      </c>
    </row>
    <row r="1027" spans="1:5" x14ac:dyDescent="0.25">
      <c r="A1027" t="s">
        <v>27</v>
      </c>
      <c r="B1027" t="s">
        <v>8</v>
      </c>
      <c r="C1027" s="1">
        <v>45814.433333333327</v>
      </c>
      <c r="D1027" s="1">
        <v>45873.418749999997</v>
      </c>
      <c r="E1027" s="2">
        <f t="shared" si="16"/>
        <v>58.985416666670062</v>
      </c>
    </row>
    <row r="1028" spans="1:5" x14ac:dyDescent="0.25">
      <c r="A1028" t="s">
        <v>11</v>
      </c>
      <c r="B1028" t="s">
        <v>21</v>
      </c>
      <c r="C1028" s="1">
        <v>46235.666666666657</v>
      </c>
      <c r="D1028" s="1">
        <v>46246.875</v>
      </c>
      <c r="E1028" s="2">
        <f t="shared" si="16"/>
        <v>11.208333333343035</v>
      </c>
    </row>
    <row r="1029" spans="1:5" x14ac:dyDescent="0.25">
      <c r="A1029" t="s">
        <v>16</v>
      </c>
      <c r="B1029" t="s">
        <v>20</v>
      </c>
      <c r="C1029" s="1">
        <v>45667.54583333333</v>
      </c>
      <c r="D1029" s="1">
        <v>45741.408333333333</v>
      </c>
      <c r="E1029" s="2">
        <f t="shared" si="16"/>
        <v>73.86250000000291</v>
      </c>
    </row>
    <row r="1030" spans="1:5" x14ac:dyDescent="0.25">
      <c r="A1030" t="s">
        <v>28</v>
      </c>
      <c r="B1030" t="s">
        <v>8</v>
      </c>
      <c r="C1030" s="1">
        <v>45842.625</v>
      </c>
      <c r="D1030" s="1">
        <v>45923.416666666657</v>
      </c>
      <c r="E1030" s="2">
        <f t="shared" si="16"/>
        <v>80.791666666656965</v>
      </c>
    </row>
    <row r="1031" spans="1:5" x14ac:dyDescent="0.25">
      <c r="A1031" t="s">
        <v>16</v>
      </c>
      <c r="B1031" t="s">
        <v>13</v>
      </c>
      <c r="C1031" s="1">
        <v>45773.75</v>
      </c>
      <c r="D1031" s="1">
        <v>45817.291666666657</v>
      </c>
      <c r="E1031" s="2">
        <f t="shared" si="16"/>
        <v>43.541666666656965</v>
      </c>
    </row>
    <row r="1032" spans="1:5" x14ac:dyDescent="0.25">
      <c r="A1032" t="s">
        <v>13</v>
      </c>
      <c r="B1032" t="s">
        <v>8</v>
      </c>
      <c r="C1032" s="1">
        <v>45836.020833333343</v>
      </c>
      <c r="D1032" s="1">
        <v>45859.28125</v>
      </c>
      <c r="E1032" s="2">
        <f t="shared" si="16"/>
        <v>23.260416666656965</v>
      </c>
    </row>
    <row r="1033" spans="1:5" x14ac:dyDescent="0.25">
      <c r="A1033" t="s">
        <v>12</v>
      </c>
      <c r="B1033" t="s">
        <v>8</v>
      </c>
      <c r="C1033" s="1">
        <v>45994.375</v>
      </c>
      <c r="D1033" s="1">
        <v>46040.25</v>
      </c>
      <c r="E1033" s="2">
        <f t="shared" si="16"/>
        <v>45.875</v>
      </c>
    </row>
    <row r="1034" spans="1:5" x14ac:dyDescent="0.25">
      <c r="A1034" t="s">
        <v>27</v>
      </c>
      <c r="B1034" t="s">
        <v>18</v>
      </c>
      <c r="C1034" s="1">
        <v>45773.5</v>
      </c>
      <c r="D1034" s="1">
        <v>45832.666666666657</v>
      </c>
      <c r="E1034" s="2">
        <f t="shared" si="16"/>
        <v>59.166666666656965</v>
      </c>
    </row>
    <row r="1035" spans="1:5" x14ac:dyDescent="0.25">
      <c r="A1035" t="s">
        <v>12</v>
      </c>
      <c r="B1035" t="s">
        <v>18</v>
      </c>
      <c r="C1035" s="1">
        <v>45838.333333333343</v>
      </c>
      <c r="D1035" s="1">
        <v>45909.30972222222</v>
      </c>
      <c r="E1035" s="2">
        <f t="shared" si="16"/>
        <v>70.976388888877409</v>
      </c>
    </row>
    <row r="1036" spans="1:5" x14ac:dyDescent="0.25">
      <c r="A1036" t="s">
        <v>27</v>
      </c>
      <c r="B1036" t="s">
        <v>20</v>
      </c>
      <c r="C1036" s="1">
        <v>45748.5625</v>
      </c>
      <c r="D1036" s="1">
        <v>45813.379166666673</v>
      </c>
      <c r="E1036" s="2">
        <f t="shared" si="16"/>
        <v>64.816666666672972</v>
      </c>
    </row>
    <row r="1037" spans="1:5" x14ac:dyDescent="0.25">
      <c r="A1037" t="s">
        <v>28</v>
      </c>
      <c r="B1037" t="s">
        <v>46</v>
      </c>
      <c r="C1037" s="1">
        <v>45898.520833333343</v>
      </c>
      <c r="D1037" s="1">
        <v>45931.833333333343</v>
      </c>
      <c r="E1037" s="2">
        <f t="shared" si="16"/>
        <v>33.3125</v>
      </c>
    </row>
    <row r="1038" spans="1:5" x14ac:dyDescent="0.25">
      <c r="A1038" t="s">
        <v>11</v>
      </c>
      <c r="B1038" t="s">
        <v>7</v>
      </c>
      <c r="C1038" s="1">
        <v>46014.677777777782</v>
      </c>
      <c r="D1038" s="1">
        <v>46085.020833333343</v>
      </c>
      <c r="E1038" s="2">
        <f t="shared" si="16"/>
        <v>70.343055555560568</v>
      </c>
    </row>
    <row r="1039" spans="1:5" x14ac:dyDescent="0.25">
      <c r="A1039" t="s">
        <v>17</v>
      </c>
      <c r="B1039" t="s">
        <v>18</v>
      </c>
      <c r="C1039" s="1">
        <v>45695.722222222219</v>
      </c>
      <c r="D1039" s="1">
        <v>45744.01458333333</v>
      </c>
      <c r="E1039" s="2">
        <f t="shared" si="16"/>
        <v>48.292361111110949</v>
      </c>
    </row>
    <row r="1040" spans="1:5" x14ac:dyDescent="0.25">
      <c r="A1040" t="s">
        <v>27</v>
      </c>
      <c r="B1040" t="s">
        <v>20</v>
      </c>
      <c r="C1040" s="1">
        <v>45690.995833333327</v>
      </c>
      <c r="D1040" s="1">
        <v>45763</v>
      </c>
      <c r="E1040" s="2">
        <f t="shared" si="16"/>
        <v>72.004166666672972</v>
      </c>
    </row>
    <row r="1041" spans="1:5" x14ac:dyDescent="0.25">
      <c r="A1041" t="s">
        <v>12</v>
      </c>
      <c r="B1041" t="s">
        <v>18</v>
      </c>
      <c r="C1041" s="1">
        <v>45667.296527777777</v>
      </c>
      <c r="D1041" s="1">
        <v>45727.680555555547</v>
      </c>
      <c r="E1041" s="2">
        <f t="shared" si="16"/>
        <v>60.384027777770825</v>
      </c>
    </row>
    <row r="1042" spans="1:5" x14ac:dyDescent="0.25">
      <c r="A1042" t="s">
        <v>26</v>
      </c>
      <c r="B1042" t="s">
        <v>21</v>
      </c>
      <c r="C1042" s="1">
        <v>46020.320833333331</v>
      </c>
      <c r="D1042" s="1">
        <v>46065.188194444447</v>
      </c>
      <c r="E1042" s="2">
        <f t="shared" si="16"/>
        <v>44.867361111115315</v>
      </c>
    </row>
    <row r="1043" spans="1:5" x14ac:dyDescent="0.25">
      <c r="A1043" t="s">
        <v>12</v>
      </c>
      <c r="B1043" t="s">
        <v>13</v>
      </c>
      <c r="C1043" s="1">
        <v>45986.5</v>
      </c>
      <c r="D1043" s="1">
        <v>46035.51666666667</v>
      </c>
      <c r="E1043" s="2">
        <f t="shared" si="16"/>
        <v>49.016666666670062</v>
      </c>
    </row>
    <row r="1044" spans="1:5" x14ac:dyDescent="0.25">
      <c r="A1044" t="s">
        <v>9</v>
      </c>
      <c r="B1044" t="s">
        <v>11</v>
      </c>
      <c r="C1044" s="1">
        <v>45732.020833333343</v>
      </c>
      <c r="D1044" s="1">
        <v>45812.137499999997</v>
      </c>
      <c r="E1044" s="2">
        <f t="shared" si="16"/>
        <v>80.116666666654055</v>
      </c>
    </row>
    <row r="1045" spans="1:5" x14ac:dyDescent="0.25">
      <c r="A1045" t="s">
        <v>23</v>
      </c>
      <c r="B1045" t="s">
        <v>24</v>
      </c>
      <c r="C1045" s="1">
        <v>45968.25</v>
      </c>
      <c r="D1045" s="1">
        <v>46014.875</v>
      </c>
      <c r="E1045" s="2">
        <f t="shared" si="16"/>
        <v>46.625</v>
      </c>
    </row>
    <row r="1046" spans="1:5" x14ac:dyDescent="0.25">
      <c r="A1046" t="s">
        <v>27</v>
      </c>
      <c r="B1046" t="s">
        <v>20</v>
      </c>
      <c r="C1046" s="1">
        <v>45741.387499999997</v>
      </c>
      <c r="D1046" s="1">
        <v>45813.379166666673</v>
      </c>
      <c r="E1046" s="2">
        <f t="shared" si="16"/>
        <v>71.991666666675883</v>
      </c>
    </row>
    <row r="1047" spans="1:5" x14ac:dyDescent="0.25">
      <c r="A1047" t="s">
        <v>11</v>
      </c>
      <c r="B1047" t="s">
        <v>7</v>
      </c>
      <c r="C1047" s="1">
        <v>45754.934027777781</v>
      </c>
      <c r="D1047" s="1">
        <v>45826.523611111108</v>
      </c>
      <c r="E1047" s="2">
        <f t="shared" si="16"/>
        <v>71.589583333327028</v>
      </c>
    </row>
    <row r="1048" spans="1:5" x14ac:dyDescent="0.25">
      <c r="A1048" t="s">
        <v>14</v>
      </c>
      <c r="B1048" t="s">
        <v>22</v>
      </c>
      <c r="C1048" s="1">
        <v>45947.520833333343</v>
      </c>
      <c r="D1048" s="1">
        <v>46028.270833333343</v>
      </c>
      <c r="E1048" s="2">
        <f t="shared" si="16"/>
        <v>80.75</v>
      </c>
    </row>
    <row r="1049" spans="1:5" x14ac:dyDescent="0.25">
      <c r="A1049" t="s">
        <v>17</v>
      </c>
      <c r="B1049" t="s">
        <v>18</v>
      </c>
      <c r="C1049" s="1">
        <v>45721.722916666673</v>
      </c>
      <c r="D1049" s="1">
        <v>45777</v>
      </c>
      <c r="E1049" s="2">
        <f t="shared" si="16"/>
        <v>55.277083333327028</v>
      </c>
    </row>
    <row r="1050" spans="1:5" x14ac:dyDescent="0.25">
      <c r="A1050" t="s">
        <v>13</v>
      </c>
      <c r="B1050" t="s">
        <v>8</v>
      </c>
      <c r="C1050" s="1">
        <v>45912.958333333343</v>
      </c>
      <c r="D1050" s="1">
        <v>45937.5</v>
      </c>
      <c r="E1050" s="2">
        <f t="shared" si="16"/>
        <v>24.541666666656965</v>
      </c>
    </row>
    <row r="1051" spans="1:5" x14ac:dyDescent="0.25">
      <c r="A1051" t="s">
        <v>15</v>
      </c>
      <c r="B1051" t="s">
        <v>6</v>
      </c>
      <c r="C1051" s="1">
        <v>46140.572222222218</v>
      </c>
      <c r="D1051" s="1">
        <v>46215.35833333333</v>
      </c>
      <c r="E1051" s="2">
        <f t="shared" si="16"/>
        <v>74.786111111112405</v>
      </c>
    </row>
    <row r="1052" spans="1:5" x14ac:dyDescent="0.25">
      <c r="A1052" t="s">
        <v>11</v>
      </c>
      <c r="B1052" t="s">
        <v>7</v>
      </c>
      <c r="C1052" s="1">
        <v>45994.004861111112</v>
      </c>
      <c r="D1052" s="1">
        <v>46044.416666666657</v>
      </c>
      <c r="E1052" s="2">
        <f t="shared" si="16"/>
        <v>50.411805555544561</v>
      </c>
    </row>
    <row r="1053" spans="1:5" x14ac:dyDescent="0.25">
      <c r="A1053" t="s">
        <v>26</v>
      </c>
      <c r="B1053" t="s">
        <v>21</v>
      </c>
      <c r="C1053" s="1">
        <v>46084.025000000001</v>
      </c>
      <c r="D1053" s="1">
        <v>46128.304166666669</v>
      </c>
      <c r="E1053" s="2">
        <f t="shared" si="16"/>
        <v>44.279166666667152</v>
      </c>
    </row>
    <row r="1054" spans="1:5" x14ac:dyDescent="0.25">
      <c r="A1054" t="s">
        <v>15</v>
      </c>
      <c r="B1054" t="s">
        <v>13</v>
      </c>
      <c r="C1054" s="1">
        <v>46232.020833333343</v>
      </c>
      <c r="D1054" s="1">
        <v>46267.020833333343</v>
      </c>
      <c r="E1054" s="2">
        <f t="shared" si="16"/>
        <v>35</v>
      </c>
    </row>
    <row r="1055" spans="1:5" x14ac:dyDescent="0.25">
      <c r="A1055" t="s">
        <v>12</v>
      </c>
      <c r="B1055" t="s">
        <v>13</v>
      </c>
      <c r="C1055" s="1">
        <v>46000.875</v>
      </c>
      <c r="D1055" s="1">
        <v>46045.625</v>
      </c>
      <c r="E1055" s="2">
        <f t="shared" si="16"/>
        <v>44.75</v>
      </c>
    </row>
    <row r="1056" spans="1:5" x14ac:dyDescent="0.25">
      <c r="A1056" t="s">
        <v>12</v>
      </c>
      <c r="B1056" t="s">
        <v>18</v>
      </c>
      <c r="C1056" s="1">
        <v>45757.515277777777</v>
      </c>
      <c r="D1056" s="1">
        <v>45807.625</v>
      </c>
      <c r="E1056" s="2">
        <f t="shared" si="16"/>
        <v>50.109722222223354</v>
      </c>
    </row>
    <row r="1057" spans="1:5" x14ac:dyDescent="0.25">
      <c r="A1057" t="s">
        <v>11</v>
      </c>
      <c r="B1057" t="s">
        <v>21</v>
      </c>
      <c r="C1057" s="1">
        <v>46129.598611111112</v>
      </c>
      <c r="D1057" s="1">
        <v>46142.566666666673</v>
      </c>
      <c r="E1057" s="2">
        <f t="shared" si="16"/>
        <v>12.968055555560568</v>
      </c>
    </row>
    <row r="1058" spans="1:5" x14ac:dyDescent="0.25">
      <c r="A1058" t="s">
        <v>7</v>
      </c>
      <c r="B1058" t="s">
        <v>13</v>
      </c>
      <c r="C1058" s="1">
        <v>45883.5</v>
      </c>
      <c r="D1058" s="1">
        <v>45945.593055555553</v>
      </c>
      <c r="E1058" s="2">
        <f t="shared" si="16"/>
        <v>62.093055555553292</v>
      </c>
    </row>
    <row r="1059" spans="1:5" x14ac:dyDescent="0.25">
      <c r="A1059" t="s">
        <v>26</v>
      </c>
      <c r="B1059" t="s">
        <v>21</v>
      </c>
      <c r="C1059" s="1">
        <v>46020.320833333331</v>
      </c>
      <c r="D1059" s="1">
        <v>46065.188194444447</v>
      </c>
      <c r="E1059" s="2">
        <f t="shared" si="16"/>
        <v>44.867361111115315</v>
      </c>
    </row>
    <row r="1060" spans="1:5" x14ac:dyDescent="0.25">
      <c r="A1060" t="s">
        <v>25</v>
      </c>
      <c r="B1060" t="s">
        <v>7</v>
      </c>
      <c r="C1060" s="1">
        <v>45700.974999999999</v>
      </c>
      <c r="D1060" s="1">
        <v>45750.75</v>
      </c>
      <c r="E1060" s="2">
        <f t="shared" si="16"/>
        <v>49.775000000001455</v>
      </c>
    </row>
    <row r="1061" spans="1:5" x14ac:dyDescent="0.25">
      <c r="A1061" t="s">
        <v>8</v>
      </c>
      <c r="B1061" t="s">
        <v>5</v>
      </c>
      <c r="C1061" s="1">
        <v>45780.583333333343</v>
      </c>
      <c r="D1061" s="1">
        <v>45826.125</v>
      </c>
      <c r="E1061" s="2">
        <f t="shared" si="16"/>
        <v>45.541666666656965</v>
      </c>
    </row>
    <row r="1062" spans="1:5" x14ac:dyDescent="0.25">
      <c r="A1062" t="s">
        <v>14</v>
      </c>
      <c r="B1062" t="s">
        <v>22</v>
      </c>
      <c r="C1062" s="1">
        <v>46010.416666666657</v>
      </c>
      <c r="D1062" s="1">
        <v>46074.979166666657</v>
      </c>
      <c r="E1062" s="2">
        <f t="shared" si="16"/>
        <v>64.5625</v>
      </c>
    </row>
    <row r="1063" spans="1:5" x14ac:dyDescent="0.25">
      <c r="A1063" t="s">
        <v>17</v>
      </c>
      <c r="B1063" t="s">
        <v>18</v>
      </c>
      <c r="C1063" s="1">
        <v>45695.722222222219</v>
      </c>
      <c r="D1063" s="1">
        <v>45744.01458333333</v>
      </c>
      <c r="E1063" s="2">
        <f t="shared" si="16"/>
        <v>48.292361111110949</v>
      </c>
    </row>
    <row r="1064" spans="1:5" x14ac:dyDescent="0.25">
      <c r="A1064" t="s">
        <v>8</v>
      </c>
      <c r="B1064" t="s">
        <v>18</v>
      </c>
      <c r="C1064" s="1">
        <v>46199.770833333343</v>
      </c>
      <c r="D1064" s="1">
        <v>46241.870833333327</v>
      </c>
      <c r="E1064" s="2">
        <f t="shared" si="16"/>
        <v>42.099999999983993</v>
      </c>
    </row>
    <row r="1065" spans="1:5" x14ac:dyDescent="0.25">
      <c r="A1065" t="s">
        <v>28</v>
      </c>
      <c r="B1065" t="s">
        <v>18</v>
      </c>
      <c r="C1065" s="1">
        <v>45898.520833333343</v>
      </c>
      <c r="D1065" s="1">
        <v>45973</v>
      </c>
      <c r="E1065" s="2">
        <f t="shared" si="16"/>
        <v>74.479166666656965</v>
      </c>
    </row>
    <row r="1066" spans="1:5" x14ac:dyDescent="0.25">
      <c r="A1066" t="s">
        <v>13</v>
      </c>
      <c r="B1066" t="s">
        <v>8</v>
      </c>
      <c r="C1066" s="1">
        <v>45872.354166666657</v>
      </c>
      <c r="D1066" s="1">
        <v>45895.902083333327</v>
      </c>
      <c r="E1066" s="2">
        <f t="shared" si="16"/>
        <v>23.547916666670062</v>
      </c>
    </row>
    <row r="1067" spans="1:5" x14ac:dyDescent="0.25">
      <c r="A1067" t="s">
        <v>23</v>
      </c>
      <c r="B1067" t="s">
        <v>18</v>
      </c>
      <c r="C1067" s="1">
        <v>45939.654166666667</v>
      </c>
      <c r="D1067" s="1">
        <v>45990.75</v>
      </c>
      <c r="E1067" s="2">
        <f t="shared" si="16"/>
        <v>51.095833333332848</v>
      </c>
    </row>
    <row r="1068" spans="1:5" x14ac:dyDescent="0.25">
      <c r="A1068" t="s">
        <v>12</v>
      </c>
      <c r="B1068" t="s">
        <v>18</v>
      </c>
      <c r="C1068" s="1">
        <v>45879</v>
      </c>
      <c r="D1068" s="1">
        <v>45948</v>
      </c>
      <c r="E1068" s="2">
        <f t="shared" si="16"/>
        <v>69</v>
      </c>
    </row>
    <row r="1069" spans="1:5" x14ac:dyDescent="0.25">
      <c r="A1069" t="s">
        <v>12</v>
      </c>
      <c r="B1069" t="s">
        <v>13</v>
      </c>
      <c r="C1069" s="1">
        <v>45911.45416666667</v>
      </c>
      <c r="D1069" s="1">
        <v>45958.50277777778</v>
      </c>
      <c r="E1069" s="2">
        <f t="shared" si="16"/>
        <v>47.048611111109494</v>
      </c>
    </row>
    <row r="1070" spans="1:5" x14ac:dyDescent="0.25">
      <c r="A1070" t="s">
        <v>10</v>
      </c>
      <c r="B1070" t="s">
        <v>8</v>
      </c>
      <c r="C1070" s="1">
        <v>46174.682638888888</v>
      </c>
      <c r="D1070" s="1">
        <v>46195.529166666667</v>
      </c>
      <c r="E1070" s="2">
        <f t="shared" si="16"/>
        <v>20.846527777779556</v>
      </c>
    </row>
    <row r="1071" spans="1:5" x14ac:dyDescent="0.25">
      <c r="A1071" t="s">
        <v>12</v>
      </c>
      <c r="B1071" t="s">
        <v>13</v>
      </c>
      <c r="C1071" s="1">
        <v>45947.123611111107</v>
      </c>
      <c r="D1071" s="1">
        <v>45988.083333333343</v>
      </c>
      <c r="E1071" s="2">
        <f t="shared" si="16"/>
        <v>40.959722222236451</v>
      </c>
    </row>
    <row r="1072" spans="1:5" x14ac:dyDescent="0.25">
      <c r="A1072" t="s">
        <v>13</v>
      </c>
      <c r="B1072" t="s">
        <v>8</v>
      </c>
      <c r="C1072" s="1">
        <v>46024.841666666667</v>
      </c>
      <c r="D1072" s="1">
        <v>46050.554166666669</v>
      </c>
      <c r="E1072" s="2">
        <f t="shared" si="16"/>
        <v>25.712500000001455</v>
      </c>
    </row>
    <row r="1073" spans="1:5" x14ac:dyDescent="0.25">
      <c r="A1073" t="s">
        <v>12</v>
      </c>
      <c r="B1073" t="s">
        <v>18</v>
      </c>
      <c r="C1073" s="1">
        <v>45697.637499999997</v>
      </c>
      <c r="D1073" s="1">
        <v>45769.9</v>
      </c>
      <c r="E1073" s="2">
        <f t="shared" si="16"/>
        <v>72.262500000004366</v>
      </c>
    </row>
    <row r="1074" spans="1:5" x14ac:dyDescent="0.25">
      <c r="A1074" t="s">
        <v>12</v>
      </c>
      <c r="B1074" t="s">
        <v>18</v>
      </c>
      <c r="C1074" s="1">
        <v>46065.302083333343</v>
      </c>
      <c r="D1074" s="1">
        <v>46131.375</v>
      </c>
      <c r="E1074" s="2">
        <f t="shared" si="16"/>
        <v>66.072916666656965</v>
      </c>
    </row>
    <row r="1075" spans="1:5" x14ac:dyDescent="0.25">
      <c r="A1075" t="s">
        <v>12</v>
      </c>
      <c r="B1075" t="s">
        <v>18</v>
      </c>
      <c r="C1075" s="1">
        <v>45731.79791666667</v>
      </c>
      <c r="D1075" s="1">
        <v>45783.079861111109</v>
      </c>
      <c r="E1075" s="2">
        <f t="shared" si="16"/>
        <v>51.281944444439432</v>
      </c>
    </row>
    <row r="1076" spans="1:5" x14ac:dyDescent="0.25">
      <c r="A1076" t="s">
        <v>12</v>
      </c>
      <c r="B1076" t="s">
        <v>18</v>
      </c>
      <c r="C1076" s="1">
        <v>45903.05</v>
      </c>
      <c r="D1076" s="1">
        <v>45970.963194444441</v>
      </c>
      <c r="E1076" s="2">
        <f t="shared" si="16"/>
        <v>67.913194444437977</v>
      </c>
    </row>
    <row r="1077" spans="1:5" x14ac:dyDescent="0.25">
      <c r="A1077" t="s">
        <v>17</v>
      </c>
      <c r="B1077" t="s">
        <v>18</v>
      </c>
      <c r="C1077" s="1">
        <v>45777.75</v>
      </c>
      <c r="D1077" s="1">
        <v>45832.666666666657</v>
      </c>
      <c r="E1077" s="2">
        <f t="shared" si="16"/>
        <v>54.916666666656965</v>
      </c>
    </row>
    <row r="1078" spans="1:5" x14ac:dyDescent="0.25">
      <c r="A1078" t="s">
        <v>12</v>
      </c>
      <c r="B1078" t="s">
        <v>13</v>
      </c>
      <c r="C1078" s="1">
        <v>45770.025000000001</v>
      </c>
      <c r="D1078" s="1">
        <v>45817.291666666657</v>
      </c>
      <c r="E1078" s="2">
        <f t="shared" si="16"/>
        <v>47.26666666665551</v>
      </c>
    </row>
    <row r="1079" spans="1:5" x14ac:dyDescent="0.25">
      <c r="A1079" t="s">
        <v>13</v>
      </c>
      <c r="B1079" t="s">
        <v>8</v>
      </c>
      <c r="C1079" s="1">
        <v>45842.881944444453</v>
      </c>
      <c r="D1079" s="1">
        <v>45872.79791666667</v>
      </c>
      <c r="E1079" s="2">
        <f t="shared" si="16"/>
        <v>29.915972222217533</v>
      </c>
    </row>
    <row r="1080" spans="1:5" x14ac:dyDescent="0.25">
      <c r="A1080" t="s">
        <v>8</v>
      </c>
      <c r="B1080" t="s">
        <v>18</v>
      </c>
      <c r="C1080" s="1">
        <v>46157.003472222219</v>
      </c>
      <c r="D1080" s="1">
        <v>46195.804166666669</v>
      </c>
      <c r="E1080" s="2">
        <f t="shared" si="16"/>
        <v>38.800694444449618</v>
      </c>
    </row>
    <row r="1081" spans="1:5" x14ac:dyDescent="0.25">
      <c r="A1081" t="s">
        <v>11</v>
      </c>
      <c r="B1081" t="s">
        <v>16</v>
      </c>
      <c r="C1081" s="1">
        <v>46132.974999999999</v>
      </c>
      <c r="D1081" s="1">
        <v>46248.886805555558</v>
      </c>
      <c r="E1081" s="2">
        <f t="shared" si="16"/>
        <v>115.91180555555911</v>
      </c>
    </row>
    <row r="1082" spans="1:5" x14ac:dyDescent="0.25">
      <c r="A1082" t="s">
        <v>11</v>
      </c>
      <c r="B1082" t="s">
        <v>7</v>
      </c>
      <c r="C1082" s="1">
        <v>46132.974999999999</v>
      </c>
      <c r="D1082" s="1">
        <v>46248.886805555558</v>
      </c>
      <c r="E1082" s="2">
        <f t="shared" si="16"/>
        <v>115.91180555555911</v>
      </c>
    </row>
    <row r="1083" spans="1:5" x14ac:dyDescent="0.25">
      <c r="A1083" t="s">
        <v>15</v>
      </c>
      <c r="B1083" t="s">
        <v>19</v>
      </c>
      <c r="C1083" s="1">
        <v>46222.425000000003</v>
      </c>
      <c r="D1083" s="1">
        <v>46256.763888888891</v>
      </c>
      <c r="E1083" s="2">
        <f t="shared" si="16"/>
        <v>34.338888888887595</v>
      </c>
    </row>
    <row r="1084" spans="1:5" x14ac:dyDescent="0.25">
      <c r="A1084" t="s">
        <v>12</v>
      </c>
      <c r="B1084" t="s">
        <v>13</v>
      </c>
      <c r="C1084" s="1">
        <v>45781.375</v>
      </c>
      <c r="D1084" s="1">
        <v>45825.833333333343</v>
      </c>
      <c r="E1084" s="2">
        <f t="shared" si="16"/>
        <v>44.458333333343035</v>
      </c>
    </row>
    <row r="1085" spans="1:5" x14ac:dyDescent="0.25">
      <c r="A1085" t="s">
        <v>13</v>
      </c>
      <c r="B1085" t="s">
        <v>11</v>
      </c>
      <c r="C1085" s="1">
        <v>45857.175000000003</v>
      </c>
      <c r="D1085" s="1">
        <v>45899.583333333343</v>
      </c>
      <c r="E1085" s="2">
        <f t="shared" si="16"/>
        <v>42.408333333340124</v>
      </c>
    </row>
    <row r="1086" spans="1:5" x14ac:dyDescent="0.25">
      <c r="A1086" t="s">
        <v>8</v>
      </c>
      <c r="B1086" t="s">
        <v>18</v>
      </c>
      <c r="C1086" s="1">
        <v>46212.760416666657</v>
      </c>
      <c r="D1086" s="1">
        <v>46269.7</v>
      </c>
      <c r="E1086" s="2">
        <f t="shared" si="16"/>
        <v>56.939583333340124</v>
      </c>
    </row>
    <row r="1087" spans="1:5" x14ac:dyDescent="0.25">
      <c r="A1087" t="s">
        <v>12</v>
      </c>
      <c r="B1087" t="s">
        <v>18</v>
      </c>
      <c r="C1087" s="1">
        <v>45736.462500000001</v>
      </c>
      <c r="D1087" s="1">
        <v>45800.666666666657</v>
      </c>
      <c r="E1087" s="2">
        <f t="shared" si="16"/>
        <v>64.20416666665551</v>
      </c>
    </row>
    <row r="1088" spans="1:5" x14ac:dyDescent="0.25">
      <c r="A1088" t="s">
        <v>12</v>
      </c>
      <c r="B1088" t="s">
        <v>18</v>
      </c>
      <c r="C1088" s="1">
        <v>46043.625</v>
      </c>
      <c r="D1088" s="1">
        <v>46103.675694444442</v>
      </c>
      <c r="E1088" s="2">
        <f t="shared" si="16"/>
        <v>60.050694444442343</v>
      </c>
    </row>
    <row r="1089" spans="1:5" x14ac:dyDescent="0.25">
      <c r="A1089" t="s">
        <v>20</v>
      </c>
      <c r="B1089" t="s">
        <v>8</v>
      </c>
      <c r="C1089" s="1">
        <v>46194.012499999997</v>
      </c>
      <c r="D1089" s="1">
        <v>46226.323611111111</v>
      </c>
      <c r="E1089" s="2">
        <f t="shared" si="16"/>
        <v>32.31111111111386</v>
      </c>
    </row>
    <row r="1090" spans="1:5" x14ac:dyDescent="0.25">
      <c r="A1090" t="s">
        <v>6</v>
      </c>
      <c r="B1090" t="s">
        <v>8</v>
      </c>
      <c r="C1090" s="1">
        <v>45690.933333333327</v>
      </c>
      <c r="D1090" s="1">
        <v>45735.334027777782</v>
      </c>
      <c r="E1090" s="2">
        <f t="shared" ref="E1090:E1153" si="17">D1090-C1090</f>
        <v>44.400694444455439</v>
      </c>
    </row>
    <row r="1091" spans="1:5" x14ac:dyDescent="0.25">
      <c r="A1091" t="s">
        <v>13</v>
      </c>
      <c r="B1091" t="s">
        <v>8</v>
      </c>
      <c r="C1091" s="1">
        <v>46046.355555555558</v>
      </c>
      <c r="D1091" s="1">
        <v>46078.697916666657</v>
      </c>
      <c r="E1091" s="2">
        <f t="shared" si="17"/>
        <v>32.342361111099308</v>
      </c>
    </row>
    <row r="1092" spans="1:5" x14ac:dyDescent="0.25">
      <c r="A1092" t="s">
        <v>13</v>
      </c>
      <c r="B1092" t="s">
        <v>8</v>
      </c>
      <c r="C1092" s="1">
        <v>45954.966666666667</v>
      </c>
      <c r="D1092" s="1">
        <v>45989.541666666657</v>
      </c>
      <c r="E1092" s="2">
        <f t="shared" si="17"/>
        <v>34.574999999989814</v>
      </c>
    </row>
    <row r="1093" spans="1:5" x14ac:dyDescent="0.25">
      <c r="A1093" t="s">
        <v>12</v>
      </c>
      <c r="B1093" t="s">
        <v>13</v>
      </c>
      <c r="C1093" s="1">
        <v>45902.512499999997</v>
      </c>
      <c r="D1093" s="1">
        <v>45954.50277777778</v>
      </c>
      <c r="E1093" s="2">
        <f t="shared" si="17"/>
        <v>51.990277777782467</v>
      </c>
    </row>
    <row r="1094" spans="1:5" x14ac:dyDescent="0.25">
      <c r="A1094" t="s">
        <v>28</v>
      </c>
      <c r="B1094" t="s">
        <v>18</v>
      </c>
      <c r="C1094" s="1">
        <v>45824.886111111111</v>
      </c>
      <c r="D1094" s="1">
        <v>45891</v>
      </c>
      <c r="E1094" s="2">
        <f t="shared" si="17"/>
        <v>66.113888888889051</v>
      </c>
    </row>
    <row r="1095" spans="1:5" x14ac:dyDescent="0.25">
      <c r="A1095" t="s">
        <v>23</v>
      </c>
      <c r="B1095" t="s">
        <v>18</v>
      </c>
      <c r="C1095" s="1">
        <v>46087.270833333343</v>
      </c>
      <c r="D1095" s="1">
        <v>46131.375</v>
      </c>
      <c r="E1095" s="2">
        <f t="shared" si="17"/>
        <v>44.104166666656965</v>
      </c>
    </row>
    <row r="1096" spans="1:5" x14ac:dyDescent="0.25">
      <c r="A1096" t="s">
        <v>13</v>
      </c>
      <c r="B1096" t="s">
        <v>8</v>
      </c>
      <c r="C1096" s="1">
        <v>45684.566666666673</v>
      </c>
      <c r="D1096" s="1">
        <v>45705.824999999997</v>
      </c>
      <c r="E1096" s="2">
        <f t="shared" si="17"/>
        <v>21.258333333324117</v>
      </c>
    </row>
    <row r="1097" spans="1:5" x14ac:dyDescent="0.25">
      <c r="A1097" t="s">
        <v>13</v>
      </c>
      <c r="B1097" t="s">
        <v>8</v>
      </c>
      <c r="C1097" s="1">
        <v>45684.566666666673</v>
      </c>
      <c r="D1097" s="1">
        <v>45705.824999999997</v>
      </c>
      <c r="E1097" s="2">
        <f t="shared" si="17"/>
        <v>21.258333333324117</v>
      </c>
    </row>
    <row r="1098" spans="1:5" x14ac:dyDescent="0.25">
      <c r="A1098" t="s">
        <v>11</v>
      </c>
      <c r="B1098" t="s">
        <v>21</v>
      </c>
      <c r="C1098" s="1">
        <v>45772.25</v>
      </c>
      <c r="D1098" s="1">
        <v>45784.125</v>
      </c>
      <c r="E1098" s="2">
        <f t="shared" si="17"/>
        <v>11.875</v>
      </c>
    </row>
    <row r="1099" spans="1:5" x14ac:dyDescent="0.25">
      <c r="A1099" t="s">
        <v>23</v>
      </c>
      <c r="B1099" t="s">
        <v>18</v>
      </c>
      <c r="C1099" s="1">
        <v>46090.923611111109</v>
      </c>
      <c r="D1099" s="1">
        <v>46143.875</v>
      </c>
      <c r="E1099" s="2">
        <f t="shared" si="17"/>
        <v>52.951388888890506</v>
      </c>
    </row>
    <row r="1100" spans="1:5" x14ac:dyDescent="0.25">
      <c r="A1100" t="s">
        <v>7</v>
      </c>
      <c r="B1100" t="s">
        <v>13</v>
      </c>
      <c r="C1100" s="1">
        <v>46029.6875</v>
      </c>
      <c r="D1100" s="1">
        <v>46079.3125</v>
      </c>
      <c r="E1100" s="2">
        <f t="shared" si="17"/>
        <v>49.625</v>
      </c>
    </row>
    <row r="1101" spans="1:5" x14ac:dyDescent="0.25">
      <c r="A1101" t="s">
        <v>27</v>
      </c>
      <c r="B1101" t="s">
        <v>8</v>
      </c>
      <c r="C1101" s="1">
        <v>46000.770833333343</v>
      </c>
      <c r="D1101" s="1">
        <v>46040.25</v>
      </c>
      <c r="E1101" s="2">
        <f t="shared" si="17"/>
        <v>39.479166666656965</v>
      </c>
    </row>
    <row r="1102" spans="1:5" x14ac:dyDescent="0.25">
      <c r="A1102" t="s">
        <v>23</v>
      </c>
      <c r="B1102" t="s">
        <v>18</v>
      </c>
      <c r="C1102" s="1">
        <v>45910.129166666673</v>
      </c>
      <c r="D1102" s="1">
        <v>45964.081944444442</v>
      </c>
      <c r="E1102" s="2">
        <f t="shared" si="17"/>
        <v>53.95277777776937</v>
      </c>
    </row>
    <row r="1103" spans="1:5" x14ac:dyDescent="0.25">
      <c r="A1103" t="s">
        <v>12</v>
      </c>
      <c r="B1103" t="s">
        <v>13</v>
      </c>
      <c r="C1103" s="1">
        <v>45968.186111111107</v>
      </c>
      <c r="D1103" s="1">
        <v>46015.118055555547</v>
      </c>
      <c r="E1103" s="2">
        <f t="shared" si="17"/>
        <v>46.931944444440887</v>
      </c>
    </row>
    <row r="1104" spans="1:5" x14ac:dyDescent="0.25">
      <c r="A1104" t="s">
        <v>12</v>
      </c>
      <c r="B1104" t="s">
        <v>13</v>
      </c>
      <c r="C1104" s="1">
        <v>45949.916666666657</v>
      </c>
      <c r="D1104" s="1">
        <v>46002.104166666657</v>
      </c>
      <c r="E1104" s="2">
        <f t="shared" si="17"/>
        <v>52.1875</v>
      </c>
    </row>
    <row r="1105" spans="1:5" x14ac:dyDescent="0.25">
      <c r="A1105" t="s">
        <v>13</v>
      </c>
      <c r="B1105" t="s">
        <v>8</v>
      </c>
      <c r="C1105" s="1">
        <v>46130.258333333331</v>
      </c>
      <c r="D1105" s="1">
        <v>46153.31527777778</v>
      </c>
      <c r="E1105" s="2">
        <f t="shared" si="17"/>
        <v>23.056944444448163</v>
      </c>
    </row>
    <row r="1106" spans="1:5" x14ac:dyDescent="0.25">
      <c r="A1106" t="s">
        <v>23</v>
      </c>
      <c r="B1106" t="s">
        <v>18</v>
      </c>
      <c r="C1106" s="1">
        <v>45939.654166666667</v>
      </c>
      <c r="D1106" s="1">
        <v>45990.75</v>
      </c>
      <c r="E1106" s="2">
        <f t="shared" si="17"/>
        <v>51.095833333332848</v>
      </c>
    </row>
    <row r="1107" spans="1:5" x14ac:dyDescent="0.25">
      <c r="A1107" t="s">
        <v>28</v>
      </c>
      <c r="B1107" t="s">
        <v>18</v>
      </c>
      <c r="C1107" s="1">
        <v>45824.886111111111</v>
      </c>
      <c r="D1107" s="1">
        <v>45891</v>
      </c>
      <c r="E1107" s="2">
        <f t="shared" si="17"/>
        <v>66.113888888889051</v>
      </c>
    </row>
    <row r="1108" spans="1:5" x14ac:dyDescent="0.25">
      <c r="A1108" t="s">
        <v>23</v>
      </c>
      <c r="B1108" t="s">
        <v>18</v>
      </c>
      <c r="C1108" s="1">
        <v>45950.375</v>
      </c>
      <c r="D1108" s="1">
        <v>46008.915277777778</v>
      </c>
      <c r="E1108" s="2">
        <f t="shared" si="17"/>
        <v>58.540277777778101</v>
      </c>
    </row>
    <row r="1109" spans="1:5" x14ac:dyDescent="0.25">
      <c r="A1109" t="s">
        <v>15</v>
      </c>
      <c r="B1109" t="s">
        <v>18</v>
      </c>
      <c r="C1109" s="1">
        <v>45915.945833333331</v>
      </c>
      <c r="D1109" s="1">
        <v>45970.963194444441</v>
      </c>
      <c r="E1109" s="2">
        <f t="shared" si="17"/>
        <v>55.017361111109494</v>
      </c>
    </row>
    <row r="1110" spans="1:5" x14ac:dyDescent="0.25">
      <c r="A1110" t="s">
        <v>12</v>
      </c>
      <c r="B1110" t="s">
        <v>13</v>
      </c>
      <c r="C1110" s="1">
        <v>45698.62777777778</v>
      </c>
      <c r="D1110" s="1">
        <v>45742.387499999997</v>
      </c>
      <c r="E1110" s="2">
        <f t="shared" si="17"/>
        <v>43.759722222217533</v>
      </c>
    </row>
    <row r="1111" spans="1:5" x14ac:dyDescent="0.25">
      <c r="A1111" t="s">
        <v>12</v>
      </c>
      <c r="B1111" t="s">
        <v>18</v>
      </c>
      <c r="C1111" s="1">
        <v>45697.637499999997</v>
      </c>
      <c r="D1111" s="1">
        <v>45757.104166666657</v>
      </c>
      <c r="E1111" s="2">
        <f t="shared" si="17"/>
        <v>59.466666666659876</v>
      </c>
    </row>
    <row r="1112" spans="1:5" x14ac:dyDescent="0.25">
      <c r="A1112" t="s">
        <v>10</v>
      </c>
      <c r="B1112" t="s">
        <v>8</v>
      </c>
      <c r="C1112" s="1">
        <v>46153.027777777781</v>
      </c>
      <c r="D1112" s="1">
        <v>46185.458333333343</v>
      </c>
      <c r="E1112" s="2">
        <f t="shared" si="17"/>
        <v>32.430555555562023</v>
      </c>
    </row>
    <row r="1113" spans="1:5" x14ac:dyDescent="0.25">
      <c r="A1113" t="s">
        <v>7</v>
      </c>
      <c r="B1113" t="s">
        <v>13</v>
      </c>
      <c r="C1113" s="1">
        <v>45869.5</v>
      </c>
      <c r="D1113" s="1">
        <v>45911.708333333343</v>
      </c>
      <c r="E1113" s="2">
        <f t="shared" si="17"/>
        <v>42.208333333343035</v>
      </c>
    </row>
    <row r="1114" spans="1:5" x14ac:dyDescent="0.25">
      <c r="A1114" t="s">
        <v>28</v>
      </c>
      <c r="B1114" t="s">
        <v>24</v>
      </c>
      <c r="C1114" s="1">
        <v>45898.520833333343</v>
      </c>
      <c r="D1114" s="1">
        <v>45968.675000000003</v>
      </c>
      <c r="E1114" s="2">
        <f t="shared" si="17"/>
        <v>70.154166666659876</v>
      </c>
    </row>
    <row r="1115" spans="1:5" x14ac:dyDescent="0.25">
      <c r="A1115" t="s">
        <v>13</v>
      </c>
      <c r="B1115" t="s">
        <v>8</v>
      </c>
      <c r="C1115" s="1">
        <v>45797.741666666669</v>
      </c>
      <c r="D1115" s="1">
        <v>45824.51458333333</v>
      </c>
      <c r="E1115" s="2">
        <f t="shared" si="17"/>
        <v>26.772916666661331</v>
      </c>
    </row>
    <row r="1116" spans="1:5" x14ac:dyDescent="0.25">
      <c r="A1116" t="s">
        <v>15</v>
      </c>
      <c r="B1116" t="s">
        <v>13</v>
      </c>
      <c r="C1116" s="1">
        <v>46130.53402777778</v>
      </c>
      <c r="D1116" s="1">
        <v>46168.666666666657</v>
      </c>
      <c r="E1116" s="2">
        <f t="shared" si="17"/>
        <v>38.132638888877409</v>
      </c>
    </row>
    <row r="1117" spans="1:5" x14ac:dyDescent="0.25">
      <c r="A1117" t="s">
        <v>10</v>
      </c>
      <c r="B1117" t="s">
        <v>8</v>
      </c>
      <c r="C1117" s="1">
        <v>46103.106249999997</v>
      </c>
      <c r="D1117" s="1">
        <v>46118.716666666667</v>
      </c>
      <c r="E1117" s="2">
        <f t="shared" si="17"/>
        <v>15.610416666670062</v>
      </c>
    </row>
    <row r="1118" spans="1:5" x14ac:dyDescent="0.25">
      <c r="A1118" t="s">
        <v>15</v>
      </c>
      <c r="B1118" t="s">
        <v>6</v>
      </c>
      <c r="C1118" s="1">
        <v>45771.577777777777</v>
      </c>
      <c r="D1118" s="1">
        <v>45841.255555555559</v>
      </c>
      <c r="E1118" s="2">
        <f t="shared" si="17"/>
        <v>69.677777777782467</v>
      </c>
    </row>
    <row r="1119" spans="1:5" x14ac:dyDescent="0.25">
      <c r="A1119" t="s">
        <v>27</v>
      </c>
      <c r="B1119" t="s">
        <v>18</v>
      </c>
      <c r="C1119" s="1">
        <v>45773.5</v>
      </c>
      <c r="D1119" s="1">
        <v>45832.666666666657</v>
      </c>
      <c r="E1119" s="2">
        <f t="shared" si="17"/>
        <v>59.166666666656965</v>
      </c>
    </row>
    <row r="1120" spans="1:5" x14ac:dyDescent="0.25">
      <c r="A1120" t="s">
        <v>7</v>
      </c>
      <c r="B1120" t="s">
        <v>11</v>
      </c>
      <c r="C1120" s="1">
        <v>45707.804166666669</v>
      </c>
      <c r="D1120" s="1">
        <v>45783.9</v>
      </c>
      <c r="E1120" s="2">
        <f t="shared" si="17"/>
        <v>76.095833333332848</v>
      </c>
    </row>
    <row r="1121" spans="1:5" x14ac:dyDescent="0.25">
      <c r="A1121" t="s">
        <v>14</v>
      </c>
      <c r="B1121" t="s">
        <v>22</v>
      </c>
      <c r="C1121" s="1">
        <v>45918.616666666669</v>
      </c>
      <c r="D1121" s="1">
        <v>45983.51666666667</v>
      </c>
      <c r="E1121" s="2">
        <f t="shared" si="17"/>
        <v>64.900000000001455</v>
      </c>
    </row>
    <row r="1122" spans="1:5" x14ac:dyDescent="0.25">
      <c r="A1122" t="s">
        <v>15</v>
      </c>
      <c r="B1122" t="s">
        <v>18</v>
      </c>
      <c r="C1122" s="1">
        <v>46117.854166666657</v>
      </c>
      <c r="D1122" s="1">
        <v>46170.275000000001</v>
      </c>
      <c r="E1122" s="2">
        <f t="shared" si="17"/>
        <v>52.42083333334449</v>
      </c>
    </row>
    <row r="1123" spans="1:5" x14ac:dyDescent="0.25">
      <c r="A1123" t="s">
        <v>15</v>
      </c>
      <c r="B1123" t="s">
        <v>18</v>
      </c>
      <c r="C1123" s="1">
        <v>45749.37777777778</v>
      </c>
      <c r="D1123" s="1">
        <v>45800.666666666657</v>
      </c>
      <c r="E1123" s="2">
        <f t="shared" si="17"/>
        <v>51.288888888877409</v>
      </c>
    </row>
    <row r="1124" spans="1:5" x14ac:dyDescent="0.25">
      <c r="A1124" t="s">
        <v>14</v>
      </c>
      <c r="B1124" t="s">
        <v>22</v>
      </c>
      <c r="C1124" s="1">
        <v>45960.224999999999</v>
      </c>
      <c r="D1124" s="1">
        <v>46041.96875</v>
      </c>
      <c r="E1124" s="2">
        <f t="shared" si="17"/>
        <v>81.743750000001455</v>
      </c>
    </row>
    <row r="1125" spans="1:5" x14ac:dyDescent="0.25">
      <c r="A1125" t="s">
        <v>16</v>
      </c>
      <c r="B1125" t="s">
        <v>8</v>
      </c>
      <c r="C1125" s="1">
        <v>45687.418749999997</v>
      </c>
      <c r="D1125" s="1">
        <v>45729.613888888889</v>
      </c>
      <c r="E1125" s="2">
        <f t="shared" si="17"/>
        <v>42.195138888891961</v>
      </c>
    </row>
    <row r="1126" spans="1:5" x14ac:dyDescent="0.25">
      <c r="A1126" t="s">
        <v>14</v>
      </c>
      <c r="B1126" t="s">
        <v>22</v>
      </c>
      <c r="C1126" s="1">
        <v>45868.695833333331</v>
      </c>
      <c r="D1126" s="1">
        <v>45953.338194444441</v>
      </c>
      <c r="E1126" s="2">
        <f t="shared" si="17"/>
        <v>84.642361111109494</v>
      </c>
    </row>
    <row r="1127" spans="1:5" x14ac:dyDescent="0.25">
      <c r="A1127" t="s">
        <v>8</v>
      </c>
      <c r="B1127" t="s">
        <v>18</v>
      </c>
      <c r="C1127" s="1">
        <v>46157.003472222219</v>
      </c>
      <c r="D1127" s="1">
        <v>46195.804166666669</v>
      </c>
      <c r="E1127" s="2">
        <f t="shared" si="17"/>
        <v>38.800694444449618</v>
      </c>
    </row>
    <row r="1128" spans="1:5" x14ac:dyDescent="0.25">
      <c r="A1128" t="s">
        <v>17</v>
      </c>
      <c r="B1128" t="s">
        <v>18</v>
      </c>
      <c r="C1128" s="1">
        <v>45709</v>
      </c>
      <c r="D1128" s="1">
        <v>45757</v>
      </c>
      <c r="E1128" s="2">
        <f t="shared" si="17"/>
        <v>48</v>
      </c>
    </row>
    <row r="1129" spans="1:5" x14ac:dyDescent="0.25">
      <c r="A1129" t="s">
        <v>19</v>
      </c>
      <c r="B1129" t="s">
        <v>8</v>
      </c>
      <c r="C1129" s="1">
        <v>46056.166666666657</v>
      </c>
      <c r="D1129" s="1">
        <v>46092.330555555563</v>
      </c>
      <c r="E1129" s="2">
        <f t="shared" si="17"/>
        <v>36.163888888906513</v>
      </c>
    </row>
    <row r="1130" spans="1:5" x14ac:dyDescent="0.25">
      <c r="A1130" t="s">
        <v>12</v>
      </c>
      <c r="B1130" t="s">
        <v>13</v>
      </c>
      <c r="C1130" s="1">
        <v>45902.512499999997</v>
      </c>
      <c r="D1130" s="1">
        <v>45954.50277777778</v>
      </c>
      <c r="E1130" s="2">
        <f t="shared" si="17"/>
        <v>51.990277777782467</v>
      </c>
    </row>
    <row r="1131" spans="1:5" x14ac:dyDescent="0.25">
      <c r="A1131" t="s">
        <v>23</v>
      </c>
      <c r="B1131" t="s">
        <v>18</v>
      </c>
      <c r="C1131" s="1">
        <v>46051.133333333331</v>
      </c>
      <c r="D1131" s="1">
        <v>46100.083333333343</v>
      </c>
      <c r="E1131" s="2">
        <f t="shared" si="17"/>
        <v>48.950000000011642</v>
      </c>
    </row>
    <row r="1132" spans="1:5" x14ac:dyDescent="0.25">
      <c r="A1132" t="s">
        <v>8</v>
      </c>
      <c r="B1132" t="s">
        <v>18</v>
      </c>
      <c r="C1132" s="1">
        <v>46157.003472222219</v>
      </c>
      <c r="D1132" s="1">
        <v>46195.804166666669</v>
      </c>
      <c r="E1132" s="2">
        <f t="shared" si="17"/>
        <v>38.800694444449618</v>
      </c>
    </row>
    <row r="1133" spans="1:5" x14ac:dyDescent="0.25">
      <c r="A1133" t="s">
        <v>8</v>
      </c>
      <c r="B1133" t="s">
        <v>18</v>
      </c>
      <c r="C1133" s="1">
        <v>46227.745833333327</v>
      </c>
      <c r="D1133" s="1">
        <v>46269.7</v>
      </c>
      <c r="E1133" s="2">
        <f t="shared" si="17"/>
        <v>41.954166666670062</v>
      </c>
    </row>
    <row r="1134" spans="1:5" x14ac:dyDescent="0.25">
      <c r="A1134" t="s">
        <v>27</v>
      </c>
      <c r="B1134" t="s">
        <v>59</v>
      </c>
      <c r="C1134" s="1">
        <v>45732.020833333343</v>
      </c>
      <c r="D1134" s="1">
        <v>45800.90625</v>
      </c>
      <c r="E1134" s="2">
        <f t="shared" si="17"/>
        <v>68.885416666656965</v>
      </c>
    </row>
    <row r="1135" spans="1:5" x14ac:dyDescent="0.25">
      <c r="A1135" t="s">
        <v>12</v>
      </c>
      <c r="B1135" t="s">
        <v>13</v>
      </c>
      <c r="C1135" s="1">
        <v>46106.09375</v>
      </c>
      <c r="D1135" s="1">
        <v>46165.1</v>
      </c>
      <c r="E1135" s="2">
        <f t="shared" si="17"/>
        <v>59.006249999998545</v>
      </c>
    </row>
    <row r="1136" spans="1:5" x14ac:dyDescent="0.25">
      <c r="A1136" t="s">
        <v>14</v>
      </c>
      <c r="B1136" t="s">
        <v>22</v>
      </c>
      <c r="C1136" s="1">
        <v>46115.633333333331</v>
      </c>
      <c r="D1136" s="1">
        <v>46177.5</v>
      </c>
      <c r="E1136" s="2">
        <f t="shared" si="17"/>
        <v>61.866666666668607</v>
      </c>
    </row>
    <row r="1137" spans="1:5" x14ac:dyDescent="0.25">
      <c r="A1137" t="s">
        <v>16</v>
      </c>
      <c r="B1137" t="s">
        <v>8</v>
      </c>
      <c r="C1137" s="1">
        <v>45744.76666666667</v>
      </c>
      <c r="D1137" s="1">
        <v>45809.359027777777</v>
      </c>
      <c r="E1137" s="2">
        <f t="shared" si="17"/>
        <v>64.592361111106584</v>
      </c>
    </row>
    <row r="1138" spans="1:5" x14ac:dyDescent="0.25">
      <c r="A1138" t="s">
        <v>16</v>
      </c>
      <c r="B1138" t="s">
        <v>8</v>
      </c>
      <c r="C1138" s="1">
        <v>45773.75</v>
      </c>
      <c r="D1138" s="1">
        <v>45830.208333333343</v>
      </c>
      <c r="E1138" s="2">
        <f t="shared" si="17"/>
        <v>56.458333333343035</v>
      </c>
    </row>
    <row r="1139" spans="1:5" x14ac:dyDescent="0.25">
      <c r="A1139" t="s">
        <v>13</v>
      </c>
      <c r="B1139" t="s">
        <v>8</v>
      </c>
      <c r="C1139" s="1">
        <v>45704.237500000003</v>
      </c>
      <c r="D1139" s="1">
        <v>45728.632638888892</v>
      </c>
      <c r="E1139" s="2">
        <f t="shared" si="17"/>
        <v>24.395138888889051</v>
      </c>
    </row>
    <row r="1140" spans="1:5" x14ac:dyDescent="0.25">
      <c r="A1140" t="s">
        <v>6</v>
      </c>
      <c r="B1140" t="s">
        <v>8</v>
      </c>
      <c r="C1140" s="1">
        <v>45665.590277777781</v>
      </c>
      <c r="D1140" s="1">
        <v>45707.759027777778</v>
      </c>
      <c r="E1140" s="2">
        <f t="shared" si="17"/>
        <v>42.16874999999709</v>
      </c>
    </row>
    <row r="1141" spans="1:5" x14ac:dyDescent="0.25">
      <c r="A1141" t="s">
        <v>10</v>
      </c>
      <c r="B1141" t="s">
        <v>8</v>
      </c>
      <c r="C1141" s="1">
        <v>46238.214918981481</v>
      </c>
      <c r="D1141" s="1">
        <v>46257.893750000003</v>
      </c>
      <c r="E1141" s="2">
        <f t="shared" si="17"/>
        <v>19.678831018522033</v>
      </c>
    </row>
    <row r="1142" spans="1:5" x14ac:dyDescent="0.25">
      <c r="A1142" t="s">
        <v>12</v>
      </c>
      <c r="B1142" t="s">
        <v>18</v>
      </c>
      <c r="C1142" s="1">
        <v>45918.879166666673</v>
      </c>
      <c r="D1142" s="1">
        <v>45986.619444444441</v>
      </c>
      <c r="E1142" s="2">
        <f t="shared" si="17"/>
        <v>67.740277777767915</v>
      </c>
    </row>
    <row r="1143" spans="1:5" x14ac:dyDescent="0.25">
      <c r="A1143" t="s">
        <v>6</v>
      </c>
      <c r="B1143" t="s">
        <v>8</v>
      </c>
      <c r="C1143" s="1">
        <v>45744.258333333331</v>
      </c>
      <c r="D1143" s="1">
        <v>45784.279861111107</v>
      </c>
      <c r="E1143" s="2">
        <f t="shared" si="17"/>
        <v>40.021527777775191</v>
      </c>
    </row>
    <row r="1144" spans="1:5" x14ac:dyDescent="0.25">
      <c r="A1144" t="s">
        <v>15</v>
      </c>
      <c r="B1144" t="s">
        <v>13</v>
      </c>
      <c r="C1144" s="1">
        <v>46185.171527777777</v>
      </c>
      <c r="D1144" s="1">
        <v>46221.126388888893</v>
      </c>
      <c r="E1144" s="2">
        <f t="shared" si="17"/>
        <v>35.95486111111677</v>
      </c>
    </row>
    <row r="1145" spans="1:5" x14ac:dyDescent="0.25">
      <c r="A1145" t="s">
        <v>23</v>
      </c>
      <c r="B1145" t="s">
        <v>8</v>
      </c>
      <c r="C1145" s="1">
        <v>46064.625</v>
      </c>
      <c r="D1145" s="1">
        <v>46102.916666666657</v>
      </c>
      <c r="E1145" s="2">
        <f t="shared" si="17"/>
        <v>38.291666666656965</v>
      </c>
    </row>
    <row r="1146" spans="1:5" x14ac:dyDescent="0.25">
      <c r="A1146" t="s">
        <v>16</v>
      </c>
      <c r="B1146" t="s">
        <v>8</v>
      </c>
      <c r="C1146" s="1">
        <v>46196.916666666657</v>
      </c>
      <c r="D1146" s="1">
        <v>46249.041666666657</v>
      </c>
      <c r="E1146" s="2">
        <f t="shared" si="17"/>
        <v>52.125</v>
      </c>
    </row>
    <row r="1147" spans="1:5" x14ac:dyDescent="0.25">
      <c r="A1147" t="s">
        <v>14</v>
      </c>
      <c r="B1147" t="s">
        <v>22</v>
      </c>
      <c r="C1147" s="1">
        <v>45848.052777777782</v>
      </c>
      <c r="D1147" s="1">
        <v>45918.041666666657</v>
      </c>
      <c r="E1147" s="2">
        <f t="shared" si="17"/>
        <v>69.988888888874499</v>
      </c>
    </row>
    <row r="1148" spans="1:5" x14ac:dyDescent="0.25">
      <c r="A1148" t="s">
        <v>7</v>
      </c>
      <c r="B1148" t="s">
        <v>13</v>
      </c>
      <c r="C1148" s="1">
        <v>45976.5</v>
      </c>
      <c r="D1148" s="1">
        <v>46025.229166666657</v>
      </c>
      <c r="E1148" s="2">
        <f t="shared" si="17"/>
        <v>48.729166666656965</v>
      </c>
    </row>
    <row r="1149" spans="1:5" x14ac:dyDescent="0.25">
      <c r="A1149" t="s">
        <v>10</v>
      </c>
      <c r="B1149" t="s">
        <v>8</v>
      </c>
      <c r="C1149" s="1">
        <v>46218.225949074083</v>
      </c>
      <c r="D1149" s="1">
        <v>46236.118055555547</v>
      </c>
      <c r="E1149" s="2">
        <f t="shared" si="17"/>
        <v>17.892106481463998</v>
      </c>
    </row>
    <row r="1150" spans="1:5" x14ac:dyDescent="0.25">
      <c r="A1150" t="s">
        <v>10</v>
      </c>
      <c r="B1150" t="s">
        <v>8</v>
      </c>
      <c r="C1150" s="1">
        <v>45727</v>
      </c>
      <c r="D1150" s="1">
        <v>45747.395833333343</v>
      </c>
      <c r="E1150" s="2">
        <f t="shared" si="17"/>
        <v>20.395833333343035</v>
      </c>
    </row>
    <row r="1151" spans="1:5" x14ac:dyDescent="0.25">
      <c r="A1151" t="s">
        <v>15</v>
      </c>
      <c r="B1151" t="s">
        <v>18</v>
      </c>
      <c r="C1151" s="1">
        <v>45979.25</v>
      </c>
      <c r="D1151" s="1">
        <v>46031.791666666657</v>
      </c>
      <c r="E1151" s="2">
        <f t="shared" si="17"/>
        <v>52.541666666656965</v>
      </c>
    </row>
    <row r="1152" spans="1:5" x14ac:dyDescent="0.25">
      <c r="A1152" t="s">
        <v>15</v>
      </c>
      <c r="B1152" t="s">
        <v>13</v>
      </c>
      <c r="C1152" s="1">
        <v>45755.591666666667</v>
      </c>
      <c r="D1152" s="1">
        <v>45797.95</v>
      </c>
      <c r="E1152" s="2">
        <f t="shared" si="17"/>
        <v>42.358333333329938</v>
      </c>
    </row>
    <row r="1153" spans="1:5" x14ac:dyDescent="0.25">
      <c r="A1153" t="s">
        <v>20</v>
      </c>
      <c r="B1153" t="s">
        <v>8</v>
      </c>
      <c r="C1153" s="1">
        <v>45824.98333333333</v>
      </c>
      <c r="D1153" s="1">
        <v>45861.511111111111</v>
      </c>
      <c r="E1153" s="2">
        <f t="shared" si="17"/>
        <v>36.527777777781012</v>
      </c>
    </row>
    <row r="1154" spans="1:5" x14ac:dyDescent="0.25">
      <c r="A1154" t="s">
        <v>8</v>
      </c>
      <c r="B1154" t="s">
        <v>13</v>
      </c>
      <c r="C1154" s="1">
        <v>45694</v>
      </c>
      <c r="D1154" s="1">
        <v>45739</v>
      </c>
      <c r="E1154" s="2">
        <f t="shared" ref="E1154:E1217" si="18">D1154-C1154</f>
        <v>45</v>
      </c>
    </row>
    <row r="1155" spans="1:5" x14ac:dyDescent="0.25">
      <c r="A1155" t="s">
        <v>15</v>
      </c>
      <c r="B1155" t="s">
        <v>18</v>
      </c>
      <c r="C1155" s="1">
        <v>45898.125</v>
      </c>
      <c r="D1155" s="1">
        <v>45964.081944444442</v>
      </c>
      <c r="E1155" s="2">
        <f t="shared" si="18"/>
        <v>65.956944444442343</v>
      </c>
    </row>
    <row r="1156" spans="1:5" x14ac:dyDescent="0.25">
      <c r="A1156" t="s">
        <v>27</v>
      </c>
      <c r="B1156" t="s">
        <v>59</v>
      </c>
      <c r="C1156" s="1">
        <v>45674</v>
      </c>
      <c r="D1156" s="1">
        <v>45748</v>
      </c>
      <c r="E1156" s="2">
        <f t="shared" si="18"/>
        <v>74</v>
      </c>
    </row>
    <row r="1157" spans="1:5" x14ac:dyDescent="0.25">
      <c r="A1157" t="s">
        <v>12</v>
      </c>
      <c r="B1157" t="s">
        <v>13</v>
      </c>
      <c r="C1157" s="1">
        <v>45764.756944444453</v>
      </c>
      <c r="D1157" s="1">
        <v>45811.083333333343</v>
      </c>
      <c r="E1157" s="2">
        <f t="shared" si="18"/>
        <v>46.326388888890506</v>
      </c>
    </row>
    <row r="1158" spans="1:5" x14ac:dyDescent="0.25">
      <c r="A1158" t="s">
        <v>13</v>
      </c>
      <c r="B1158" t="s">
        <v>8</v>
      </c>
      <c r="C1158" s="1">
        <v>45842.881944444453</v>
      </c>
      <c r="D1158" s="1">
        <v>45872.79791666667</v>
      </c>
      <c r="E1158" s="2">
        <f t="shared" si="18"/>
        <v>29.915972222217533</v>
      </c>
    </row>
    <row r="1159" spans="1:5" x14ac:dyDescent="0.25">
      <c r="A1159" t="s">
        <v>15</v>
      </c>
      <c r="B1159" t="s">
        <v>6</v>
      </c>
      <c r="C1159" s="1">
        <v>45706</v>
      </c>
      <c r="D1159" s="1">
        <v>45789.354166666657</v>
      </c>
      <c r="E1159" s="2">
        <f t="shared" si="18"/>
        <v>83.354166666656965</v>
      </c>
    </row>
    <row r="1160" spans="1:5" x14ac:dyDescent="0.25">
      <c r="A1160" t="s">
        <v>15</v>
      </c>
      <c r="B1160" t="s">
        <v>13</v>
      </c>
      <c r="C1160" s="1">
        <v>45767.474999999999</v>
      </c>
      <c r="D1160" s="1">
        <v>45811.083333333343</v>
      </c>
      <c r="E1160" s="2">
        <f t="shared" si="18"/>
        <v>43.60833333334449</v>
      </c>
    </row>
    <row r="1161" spans="1:5" x14ac:dyDescent="0.25">
      <c r="A1161" t="s">
        <v>16</v>
      </c>
      <c r="B1161" t="s">
        <v>8</v>
      </c>
      <c r="C1161" s="1">
        <v>45703.462500000001</v>
      </c>
      <c r="D1161" s="1">
        <v>45747.796527777777</v>
      </c>
      <c r="E1161" s="2">
        <f t="shared" si="18"/>
        <v>44.334027777775191</v>
      </c>
    </row>
    <row r="1162" spans="1:5" x14ac:dyDescent="0.25">
      <c r="A1162" t="s">
        <v>28</v>
      </c>
      <c r="B1162" t="s">
        <v>18</v>
      </c>
      <c r="C1162" s="1">
        <v>45803.540277777778</v>
      </c>
      <c r="D1162" s="1">
        <v>45875.361805555563</v>
      </c>
      <c r="E1162" s="2">
        <f t="shared" si="18"/>
        <v>71.821527777785377</v>
      </c>
    </row>
    <row r="1163" spans="1:5" x14ac:dyDescent="0.25">
      <c r="A1163" t="s">
        <v>15</v>
      </c>
      <c r="B1163" t="s">
        <v>13</v>
      </c>
      <c r="C1163" s="1">
        <v>45761.451388888891</v>
      </c>
      <c r="D1163" s="1">
        <v>45805.245833333327</v>
      </c>
      <c r="E1163" s="2">
        <f t="shared" si="18"/>
        <v>43.794444444436522</v>
      </c>
    </row>
    <row r="1164" spans="1:5" x14ac:dyDescent="0.25">
      <c r="A1164" t="s">
        <v>27</v>
      </c>
      <c r="B1164" t="s">
        <v>8</v>
      </c>
      <c r="C1164" s="1">
        <v>46109.183333333327</v>
      </c>
      <c r="D1164" s="1">
        <v>46159.291666666657</v>
      </c>
      <c r="E1164" s="2">
        <f t="shared" si="18"/>
        <v>50.108333333329938</v>
      </c>
    </row>
    <row r="1165" spans="1:5" x14ac:dyDescent="0.25">
      <c r="A1165" t="s">
        <v>12</v>
      </c>
      <c r="B1165" t="s">
        <v>18</v>
      </c>
      <c r="C1165" s="1">
        <v>45907.466666666667</v>
      </c>
      <c r="D1165" s="1">
        <v>45970.963194444441</v>
      </c>
      <c r="E1165" s="2">
        <f t="shared" si="18"/>
        <v>63.496527777773736</v>
      </c>
    </row>
    <row r="1166" spans="1:5" x14ac:dyDescent="0.25">
      <c r="A1166" t="s">
        <v>26</v>
      </c>
      <c r="B1166" t="s">
        <v>21</v>
      </c>
      <c r="C1166" s="1">
        <v>46084.025000000001</v>
      </c>
      <c r="D1166" s="1">
        <v>46128.304166666669</v>
      </c>
      <c r="E1166" s="2">
        <f t="shared" si="18"/>
        <v>44.279166666667152</v>
      </c>
    </row>
    <row r="1167" spans="1:5" x14ac:dyDescent="0.25">
      <c r="A1167" t="s">
        <v>12</v>
      </c>
      <c r="B1167" t="s">
        <v>13</v>
      </c>
      <c r="C1167" s="1">
        <v>45928.541666666657</v>
      </c>
      <c r="D1167" s="1">
        <v>45975.791666666657</v>
      </c>
      <c r="E1167" s="2">
        <f t="shared" si="18"/>
        <v>47.25</v>
      </c>
    </row>
    <row r="1168" spans="1:5" x14ac:dyDescent="0.25">
      <c r="A1168" t="s">
        <v>17</v>
      </c>
      <c r="B1168" t="s">
        <v>18</v>
      </c>
      <c r="C1168" s="1">
        <v>45672.722916666673</v>
      </c>
      <c r="D1168" s="1">
        <v>45723.833333333343</v>
      </c>
      <c r="E1168" s="2">
        <f t="shared" si="18"/>
        <v>51.110416666670062</v>
      </c>
    </row>
    <row r="1169" spans="1:5" x14ac:dyDescent="0.25">
      <c r="A1169" t="s">
        <v>27</v>
      </c>
      <c r="B1169" t="s">
        <v>8</v>
      </c>
      <c r="C1169" s="1">
        <v>45946.25</v>
      </c>
      <c r="D1169" s="1">
        <v>45991.530555555553</v>
      </c>
      <c r="E1169" s="2">
        <f t="shared" si="18"/>
        <v>45.280555555553292</v>
      </c>
    </row>
    <row r="1170" spans="1:5" x14ac:dyDescent="0.25">
      <c r="A1170" t="s">
        <v>7</v>
      </c>
      <c r="B1170" t="s">
        <v>13</v>
      </c>
      <c r="C1170" s="1">
        <v>45812.112500000003</v>
      </c>
      <c r="D1170" s="1">
        <v>45835.85</v>
      </c>
      <c r="E1170" s="2">
        <f t="shared" si="18"/>
        <v>23.737499999995634</v>
      </c>
    </row>
    <row r="1171" spans="1:5" x14ac:dyDescent="0.25">
      <c r="A1171" t="s">
        <v>23</v>
      </c>
      <c r="B1171" t="s">
        <v>18</v>
      </c>
      <c r="C1171" s="1">
        <v>46007.833333333343</v>
      </c>
      <c r="D1171" s="1">
        <v>46057.911111111112</v>
      </c>
      <c r="E1171" s="2">
        <f t="shared" si="18"/>
        <v>50.07777777776937</v>
      </c>
    </row>
    <row r="1172" spans="1:5" x14ac:dyDescent="0.25">
      <c r="A1172" t="s">
        <v>12</v>
      </c>
      <c r="B1172" t="s">
        <v>18</v>
      </c>
      <c r="C1172" s="1">
        <v>45994.375</v>
      </c>
      <c r="D1172" s="1">
        <v>46050.520833333343</v>
      </c>
      <c r="E1172" s="2">
        <f t="shared" si="18"/>
        <v>56.145833333343035</v>
      </c>
    </row>
    <row r="1173" spans="1:5" x14ac:dyDescent="0.25">
      <c r="A1173" t="s">
        <v>15</v>
      </c>
      <c r="B1173" t="s">
        <v>18</v>
      </c>
      <c r="C1173" s="1">
        <v>45854.686805555553</v>
      </c>
      <c r="D1173" s="1">
        <v>45909.30972222222</v>
      </c>
      <c r="E1173" s="2">
        <f t="shared" si="18"/>
        <v>54.622916666667152</v>
      </c>
    </row>
    <row r="1174" spans="1:5" x14ac:dyDescent="0.25">
      <c r="A1174" t="s">
        <v>15</v>
      </c>
      <c r="B1174" t="s">
        <v>13</v>
      </c>
      <c r="C1174" s="1">
        <v>45745.523611111108</v>
      </c>
      <c r="D1174" s="1">
        <v>45785.365972222222</v>
      </c>
      <c r="E1174" s="2">
        <f t="shared" si="18"/>
        <v>39.84236111111386</v>
      </c>
    </row>
    <row r="1175" spans="1:5" x14ac:dyDescent="0.25">
      <c r="A1175" t="s">
        <v>28</v>
      </c>
      <c r="B1175" t="s">
        <v>8</v>
      </c>
      <c r="C1175" s="1">
        <v>45803.540277777778</v>
      </c>
      <c r="D1175" s="1">
        <v>45873.418749999997</v>
      </c>
      <c r="E1175" s="2">
        <f t="shared" si="18"/>
        <v>69.878472222218988</v>
      </c>
    </row>
    <row r="1176" spans="1:5" x14ac:dyDescent="0.25">
      <c r="A1176" t="s">
        <v>12</v>
      </c>
      <c r="B1176" t="s">
        <v>18</v>
      </c>
      <c r="C1176" s="1">
        <v>45782.196527777778</v>
      </c>
      <c r="D1176" s="1">
        <v>45847.017361111109</v>
      </c>
      <c r="E1176" s="2">
        <f t="shared" si="18"/>
        <v>64.820833333331393</v>
      </c>
    </row>
    <row r="1177" spans="1:5" x14ac:dyDescent="0.25">
      <c r="A1177" t="s">
        <v>8</v>
      </c>
      <c r="B1177" t="s">
        <v>6</v>
      </c>
      <c r="C1177" s="1">
        <v>45770.745138888888</v>
      </c>
      <c r="D1177" s="1">
        <v>45811.491666666669</v>
      </c>
      <c r="E1177" s="2">
        <f t="shared" si="18"/>
        <v>40.746527777781012</v>
      </c>
    </row>
    <row r="1178" spans="1:5" x14ac:dyDescent="0.25">
      <c r="A1178" t="s">
        <v>7</v>
      </c>
      <c r="B1178" t="s">
        <v>13</v>
      </c>
      <c r="C1178" s="1">
        <v>45987.599305555559</v>
      </c>
      <c r="D1178" s="1">
        <v>46045.837500000001</v>
      </c>
      <c r="E1178" s="2">
        <f t="shared" si="18"/>
        <v>58.238194444442343</v>
      </c>
    </row>
    <row r="1179" spans="1:5" x14ac:dyDescent="0.25">
      <c r="A1179" t="s">
        <v>12</v>
      </c>
      <c r="B1179" t="s">
        <v>13</v>
      </c>
      <c r="C1179" s="1">
        <v>45698.62777777778</v>
      </c>
      <c r="D1179" s="1">
        <v>45742.387499999997</v>
      </c>
      <c r="E1179" s="2">
        <f t="shared" si="18"/>
        <v>43.759722222217533</v>
      </c>
    </row>
    <row r="1180" spans="1:5" x14ac:dyDescent="0.25">
      <c r="A1180" t="s">
        <v>15</v>
      </c>
      <c r="B1180" t="s">
        <v>18</v>
      </c>
      <c r="C1180" s="1">
        <v>45692</v>
      </c>
      <c r="D1180" s="1">
        <v>45744.01458333333</v>
      </c>
      <c r="E1180" s="2">
        <f t="shared" si="18"/>
        <v>52.014583333329938</v>
      </c>
    </row>
    <row r="1181" spans="1:5" x14ac:dyDescent="0.25">
      <c r="A1181" t="s">
        <v>10</v>
      </c>
      <c r="B1181" t="s">
        <v>8</v>
      </c>
      <c r="C1181" s="1">
        <v>46231.333333333343</v>
      </c>
      <c r="D1181" s="1">
        <v>46250.634027777778</v>
      </c>
      <c r="E1181" s="2">
        <f t="shared" si="18"/>
        <v>19.300694444435067</v>
      </c>
    </row>
    <row r="1182" spans="1:5" x14ac:dyDescent="0.25">
      <c r="A1182" t="s">
        <v>13</v>
      </c>
      <c r="B1182" t="s">
        <v>8</v>
      </c>
      <c r="C1182" s="1">
        <v>46037.32708333333</v>
      </c>
      <c r="D1182" s="1">
        <v>46078.697916666657</v>
      </c>
      <c r="E1182" s="2">
        <f t="shared" si="18"/>
        <v>41.370833333327028</v>
      </c>
    </row>
    <row r="1183" spans="1:5" x14ac:dyDescent="0.25">
      <c r="A1183" t="s">
        <v>14</v>
      </c>
      <c r="B1183" t="s">
        <v>22</v>
      </c>
      <c r="C1183" s="1">
        <v>45932.0625</v>
      </c>
      <c r="D1183" s="1">
        <v>46039.09097222222</v>
      </c>
      <c r="E1183" s="2">
        <f t="shared" si="18"/>
        <v>107.02847222222044</v>
      </c>
    </row>
    <row r="1184" spans="1:5" x14ac:dyDescent="0.25">
      <c r="A1184" t="s">
        <v>10</v>
      </c>
      <c r="B1184" t="s">
        <v>8</v>
      </c>
      <c r="C1184" s="1">
        <v>46140.763888888891</v>
      </c>
      <c r="D1184" s="1">
        <v>46160.583333333343</v>
      </c>
      <c r="E1184" s="2">
        <f t="shared" si="18"/>
        <v>19.819444444452529</v>
      </c>
    </row>
    <row r="1185" spans="1:5" x14ac:dyDescent="0.25">
      <c r="A1185" t="s">
        <v>28</v>
      </c>
      <c r="B1185" t="s">
        <v>13</v>
      </c>
      <c r="C1185" s="1">
        <v>46051.895833333343</v>
      </c>
      <c r="D1185" s="1">
        <v>46115.175000000003</v>
      </c>
      <c r="E1185" s="2">
        <f t="shared" si="18"/>
        <v>63.279166666659876</v>
      </c>
    </row>
    <row r="1186" spans="1:5" x14ac:dyDescent="0.25">
      <c r="A1186" t="s">
        <v>19</v>
      </c>
      <c r="B1186" t="s">
        <v>8</v>
      </c>
      <c r="C1186" s="1">
        <v>45690.5</v>
      </c>
      <c r="D1186" s="1">
        <v>45721</v>
      </c>
      <c r="E1186" s="2">
        <f t="shared" si="18"/>
        <v>30.5</v>
      </c>
    </row>
    <row r="1187" spans="1:5" x14ac:dyDescent="0.25">
      <c r="A1187" t="s">
        <v>20</v>
      </c>
      <c r="B1187" t="s">
        <v>8</v>
      </c>
      <c r="C1187" s="1">
        <v>46169.854166666657</v>
      </c>
      <c r="D1187" s="1">
        <v>46204.993055555547</v>
      </c>
      <c r="E1187" s="2">
        <f t="shared" si="18"/>
        <v>35.138888888890506</v>
      </c>
    </row>
    <row r="1188" spans="1:5" x14ac:dyDescent="0.25">
      <c r="A1188" t="s">
        <v>28</v>
      </c>
      <c r="B1188" t="s">
        <v>18</v>
      </c>
      <c r="C1188" s="1">
        <v>45862.888888888891</v>
      </c>
      <c r="D1188" s="1">
        <v>45948</v>
      </c>
      <c r="E1188" s="2">
        <f t="shared" si="18"/>
        <v>85.111111111109494</v>
      </c>
    </row>
    <row r="1189" spans="1:5" x14ac:dyDescent="0.25">
      <c r="A1189" t="s">
        <v>8</v>
      </c>
      <c r="B1189" t="s">
        <v>18</v>
      </c>
      <c r="C1189" s="1">
        <v>46162.799305555563</v>
      </c>
      <c r="D1189" s="1">
        <v>46210.020833333343</v>
      </c>
      <c r="E1189" s="2">
        <f t="shared" si="18"/>
        <v>47.221527777779556</v>
      </c>
    </row>
    <row r="1190" spans="1:5" x14ac:dyDescent="0.25">
      <c r="A1190" t="s">
        <v>16</v>
      </c>
      <c r="B1190" t="s">
        <v>13</v>
      </c>
      <c r="C1190" s="1">
        <v>45757.408333333333</v>
      </c>
      <c r="D1190" s="1">
        <v>45801.333333333343</v>
      </c>
      <c r="E1190" s="2">
        <f t="shared" si="18"/>
        <v>43.925000000010186</v>
      </c>
    </row>
    <row r="1191" spans="1:5" x14ac:dyDescent="0.25">
      <c r="A1191" t="s">
        <v>16</v>
      </c>
      <c r="B1191" t="s">
        <v>13</v>
      </c>
      <c r="C1191" s="1">
        <v>45719.6875</v>
      </c>
      <c r="D1191" s="1">
        <v>45764.008333333331</v>
      </c>
      <c r="E1191" s="2">
        <f t="shared" si="18"/>
        <v>44.320833333331393</v>
      </c>
    </row>
    <row r="1192" spans="1:5" x14ac:dyDescent="0.25">
      <c r="A1192" t="s">
        <v>10</v>
      </c>
      <c r="B1192" t="s">
        <v>8</v>
      </c>
      <c r="C1192" s="1">
        <v>45929.75</v>
      </c>
      <c r="D1192" s="1">
        <v>45957.322222222218</v>
      </c>
      <c r="E1192" s="2">
        <f t="shared" si="18"/>
        <v>27.572222222217533</v>
      </c>
    </row>
    <row r="1193" spans="1:5" x14ac:dyDescent="0.25">
      <c r="A1193" t="s">
        <v>12</v>
      </c>
      <c r="B1193" t="s">
        <v>13</v>
      </c>
      <c r="C1193" s="1">
        <v>46056.25277777778</v>
      </c>
      <c r="D1193" s="1">
        <v>46095.833333333343</v>
      </c>
      <c r="E1193" s="2">
        <f t="shared" si="18"/>
        <v>39.580555555563478</v>
      </c>
    </row>
    <row r="1194" spans="1:5" x14ac:dyDescent="0.25">
      <c r="A1194" t="s">
        <v>12</v>
      </c>
      <c r="B1194" t="s">
        <v>13</v>
      </c>
      <c r="C1194" s="1">
        <v>46094.051388888889</v>
      </c>
      <c r="D1194" s="1">
        <v>46140.6</v>
      </c>
      <c r="E1194" s="2">
        <f t="shared" si="18"/>
        <v>46.548611111109494</v>
      </c>
    </row>
    <row r="1195" spans="1:5" x14ac:dyDescent="0.25">
      <c r="A1195" t="s">
        <v>12</v>
      </c>
      <c r="B1195" t="s">
        <v>8</v>
      </c>
      <c r="C1195" s="1">
        <v>46110.625</v>
      </c>
      <c r="D1195" s="1">
        <v>46159.291666666657</v>
      </c>
      <c r="E1195" s="2">
        <f t="shared" si="18"/>
        <v>48.666666666656965</v>
      </c>
    </row>
    <row r="1196" spans="1:5" x14ac:dyDescent="0.25">
      <c r="A1196" t="s">
        <v>13</v>
      </c>
      <c r="B1196" t="s">
        <v>8</v>
      </c>
      <c r="C1196" s="1">
        <v>45759.864583333343</v>
      </c>
      <c r="D1196" s="1">
        <v>45797.28125</v>
      </c>
      <c r="E1196" s="2">
        <f t="shared" si="18"/>
        <v>37.416666666656965</v>
      </c>
    </row>
    <row r="1197" spans="1:5" x14ac:dyDescent="0.25">
      <c r="A1197" t="s">
        <v>12</v>
      </c>
      <c r="B1197" t="s">
        <v>18</v>
      </c>
      <c r="C1197" s="1">
        <v>46036.183333333327</v>
      </c>
      <c r="D1197" s="1">
        <v>46087.666666666657</v>
      </c>
      <c r="E1197" s="2">
        <f t="shared" si="18"/>
        <v>51.483333333329938</v>
      </c>
    </row>
    <row r="1198" spans="1:5" x14ac:dyDescent="0.25">
      <c r="A1198" t="s">
        <v>8</v>
      </c>
      <c r="B1198" t="s">
        <v>18</v>
      </c>
      <c r="C1198" s="1">
        <v>46206.283333333333</v>
      </c>
      <c r="D1198" s="1">
        <v>46251.208333333343</v>
      </c>
      <c r="E1198" s="2">
        <f t="shared" si="18"/>
        <v>44.925000000010186</v>
      </c>
    </row>
    <row r="1199" spans="1:5" x14ac:dyDescent="0.25">
      <c r="A1199" t="s">
        <v>12</v>
      </c>
      <c r="B1199" t="s">
        <v>13</v>
      </c>
      <c r="C1199" s="1">
        <v>45887</v>
      </c>
      <c r="D1199" s="1">
        <v>45942.337500000001</v>
      </c>
      <c r="E1199" s="2">
        <f t="shared" si="18"/>
        <v>55.337500000001455</v>
      </c>
    </row>
    <row r="1200" spans="1:5" x14ac:dyDescent="0.25">
      <c r="A1200" t="s">
        <v>13</v>
      </c>
      <c r="B1200" t="s">
        <v>8</v>
      </c>
      <c r="C1200" s="1">
        <v>45975.237500000003</v>
      </c>
      <c r="D1200" s="1">
        <v>45999.799305555563</v>
      </c>
      <c r="E1200" s="2">
        <f t="shared" si="18"/>
        <v>24.561805555560568</v>
      </c>
    </row>
    <row r="1201" spans="1:5" x14ac:dyDescent="0.25">
      <c r="A1201" t="s">
        <v>8</v>
      </c>
      <c r="B1201" t="s">
        <v>6</v>
      </c>
      <c r="C1201" s="1">
        <v>45765.947916666657</v>
      </c>
      <c r="D1201" s="1">
        <v>45811.491666666669</v>
      </c>
      <c r="E1201" s="2">
        <f t="shared" si="18"/>
        <v>45.543750000011642</v>
      </c>
    </row>
    <row r="1202" spans="1:5" x14ac:dyDescent="0.25">
      <c r="A1202" t="s">
        <v>6</v>
      </c>
      <c r="B1202" t="s">
        <v>8</v>
      </c>
      <c r="C1202" s="1">
        <v>45715.991666666669</v>
      </c>
      <c r="D1202" s="1">
        <v>45759.598611111112</v>
      </c>
      <c r="E1202" s="2">
        <f t="shared" si="18"/>
        <v>43.606944444443798</v>
      </c>
    </row>
    <row r="1203" spans="1:5" x14ac:dyDescent="0.25">
      <c r="A1203" t="s">
        <v>60</v>
      </c>
      <c r="B1203" t="s">
        <v>13</v>
      </c>
      <c r="C1203" s="1">
        <v>45965.375</v>
      </c>
      <c r="D1203" s="1">
        <v>46015.118055555547</v>
      </c>
      <c r="E1203" s="2">
        <f t="shared" si="18"/>
        <v>49.743055555547471</v>
      </c>
    </row>
    <row r="1204" spans="1:5" x14ac:dyDescent="0.25">
      <c r="A1204" t="s">
        <v>12</v>
      </c>
      <c r="B1204" t="s">
        <v>13</v>
      </c>
      <c r="C1204" s="1">
        <v>45749.412499999999</v>
      </c>
      <c r="D1204" s="1">
        <v>45797.95</v>
      </c>
      <c r="E1204" s="2">
        <f t="shared" si="18"/>
        <v>48.537499999998545</v>
      </c>
    </row>
    <row r="1205" spans="1:5" x14ac:dyDescent="0.25">
      <c r="A1205" t="s">
        <v>15</v>
      </c>
      <c r="B1205" t="s">
        <v>13</v>
      </c>
      <c r="C1205" s="1">
        <v>46185.171527777777</v>
      </c>
      <c r="D1205" s="1">
        <v>46221.126388888893</v>
      </c>
      <c r="E1205" s="2">
        <f t="shared" si="18"/>
        <v>35.95486111111677</v>
      </c>
    </row>
    <row r="1206" spans="1:5" x14ac:dyDescent="0.25">
      <c r="A1206" t="s">
        <v>13</v>
      </c>
      <c r="B1206" t="s">
        <v>8</v>
      </c>
      <c r="C1206" s="1">
        <v>45661.3</v>
      </c>
      <c r="D1206" s="1">
        <v>45686.197916666657</v>
      </c>
      <c r="E1206" s="2">
        <f t="shared" si="18"/>
        <v>24.897916666654055</v>
      </c>
    </row>
    <row r="1207" spans="1:5" x14ac:dyDescent="0.25">
      <c r="A1207" t="s">
        <v>23</v>
      </c>
      <c r="B1207" t="s">
        <v>18</v>
      </c>
      <c r="C1207" s="1">
        <v>45939.654166666667</v>
      </c>
      <c r="D1207" s="1">
        <v>45990.75</v>
      </c>
      <c r="E1207" s="2">
        <f t="shared" si="18"/>
        <v>51.095833333332848</v>
      </c>
    </row>
    <row r="1208" spans="1:5" x14ac:dyDescent="0.25">
      <c r="A1208" t="s">
        <v>11</v>
      </c>
      <c r="B1208" t="s">
        <v>21</v>
      </c>
      <c r="C1208" s="1">
        <v>46185.310416666667</v>
      </c>
      <c r="D1208" s="1">
        <v>46197.404166666667</v>
      </c>
      <c r="E1208" s="2">
        <f t="shared" si="18"/>
        <v>12.09375</v>
      </c>
    </row>
    <row r="1209" spans="1:5" x14ac:dyDescent="0.25">
      <c r="A1209" t="s">
        <v>10</v>
      </c>
      <c r="B1209" t="s">
        <v>8</v>
      </c>
      <c r="C1209" s="1">
        <v>46205.872337962966</v>
      </c>
      <c r="D1209" s="1">
        <v>46223.02847222222</v>
      </c>
      <c r="E1209" s="2">
        <f t="shared" si="18"/>
        <v>17.156134259254031</v>
      </c>
    </row>
    <row r="1210" spans="1:5" x14ac:dyDescent="0.25">
      <c r="A1210" t="s">
        <v>13</v>
      </c>
      <c r="B1210" t="s">
        <v>8</v>
      </c>
      <c r="C1210" s="1">
        <v>45688.375</v>
      </c>
      <c r="D1210" s="1">
        <v>45710.989583333343</v>
      </c>
      <c r="E1210" s="2">
        <f t="shared" si="18"/>
        <v>22.614583333343035</v>
      </c>
    </row>
    <row r="1211" spans="1:5" x14ac:dyDescent="0.25">
      <c r="A1211" t="s">
        <v>8</v>
      </c>
      <c r="B1211" t="s">
        <v>13</v>
      </c>
      <c r="C1211" s="1">
        <v>45694</v>
      </c>
      <c r="D1211" s="1">
        <v>45739</v>
      </c>
      <c r="E1211" s="2">
        <f t="shared" si="18"/>
        <v>45</v>
      </c>
    </row>
    <row r="1212" spans="1:5" x14ac:dyDescent="0.25">
      <c r="A1212" t="s">
        <v>15</v>
      </c>
      <c r="B1212" t="s">
        <v>18</v>
      </c>
      <c r="C1212" s="1">
        <v>45885.958333333343</v>
      </c>
      <c r="D1212" s="1">
        <v>45948.833333333343</v>
      </c>
      <c r="E1212" s="2">
        <f t="shared" si="18"/>
        <v>62.875</v>
      </c>
    </row>
    <row r="1213" spans="1:5" x14ac:dyDescent="0.25">
      <c r="A1213" t="s">
        <v>15</v>
      </c>
      <c r="B1213" t="s">
        <v>6</v>
      </c>
      <c r="C1213" s="1">
        <v>46100.165972222218</v>
      </c>
      <c r="D1213" s="1">
        <v>46170.558333333327</v>
      </c>
      <c r="E1213" s="2">
        <f t="shared" si="18"/>
        <v>70.392361111109494</v>
      </c>
    </row>
    <row r="1214" spans="1:5" x14ac:dyDescent="0.25">
      <c r="A1214" t="s">
        <v>12</v>
      </c>
      <c r="B1214" t="s">
        <v>13</v>
      </c>
      <c r="C1214" s="1">
        <v>45740.831944444442</v>
      </c>
      <c r="D1214" s="1">
        <v>45785.365972222222</v>
      </c>
      <c r="E1214" s="2">
        <f t="shared" si="18"/>
        <v>44.534027777779556</v>
      </c>
    </row>
    <row r="1215" spans="1:5" x14ac:dyDescent="0.25">
      <c r="A1215" t="s">
        <v>11</v>
      </c>
      <c r="B1215" t="s">
        <v>16</v>
      </c>
      <c r="C1215" s="1">
        <v>46181.945138888892</v>
      </c>
      <c r="D1215" s="1">
        <v>46257.76666666667</v>
      </c>
      <c r="E1215" s="2">
        <f t="shared" si="18"/>
        <v>75.821527777778101</v>
      </c>
    </row>
    <row r="1216" spans="1:5" x14ac:dyDescent="0.25">
      <c r="A1216" t="s">
        <v>19</v>
      </c>
      <c r="B1216" t="s">
        <v>8</v>
      </c>
      <c r="C1216" s="1">
        <v>45901.887499999997</v>
      </c>
      <c r="D1216" s="1">
        <v>45931.645833333343</v>
      </c>
      <c r="E1216" s="2">
        <f t="shared" si="18"/>
        <v>29.758333333345945</v>
      </c>
    </row>
    <row r="1217" spans="1:5" x14ac:dyDescent="0.25">
      <c r="A1217" t="s">
        <v>12</v>
      </c>
      <c r="B1217" t="s">
        <v>18</v>
      </c>
      <c r="C1217" s="1">
        <v>45757.549305555563</v>
      </c>
      <c r="D1217" s="1">
        <v>45807.625</v>
      </c>
      <c r="E1217" s="2">
        <f t="shared" si="18"/>
        <v>50.075694444436522</v>
      </c>
    </row>
    <row r="1218" spans="1:5" x14ac:dyDescent="0.25">
      <c r="A1218" t="s">
        <v>13</v>
      </c>
      <c r="B1218" t="s">
        <v>8</v>
      </c>
      <c r="C1218" s="1">
        <v>46024.841666666667</v>
      </c>
      <c r="D1218" s="1">
        <v>46050.554166666669</v>
      </c>
      <c r="E1218" s="2">
        <f t="shared" ref="E1218:E1281" si="19">D1218-C1218</f>
        <v>25.712500000001455</v>
      </c>
    </row>
    <row r="1219" spans="1:5" x14ac:dyDescent="0.25">
      <c r="A1219" t="s">
        <v>23</v>
      </c>
      <c r="B1219" t="s">
        <v>18</v>
      </c>
      <c r="C1219" s="1">
        <v>46051.133333333331</v>
      </c>
      <c r="D1219" s="1">
        <v>46100.083333333343</v>
      </c>
      <c r="E1219" s="2">
        <f t="shared" si="19"/>
        <v>48.950000000011642</v>
      </c>
    </row>
    <row r="1220" spans="1:5" x14ac:dyDescent="0.25">
      <c r="A1220" t="s">
        <v>6</v>
      </c>
      <c r="B1220" t="s">
        <v>8</v>
      </c>
      <c r="C1220" s="1">
        <v>45744.258333333331</v>
      </c>
      <c r="D1220" s="1">
        <v>45784.279861111107</v>
      </c>
      <c r="E1220" s="2">
        <f t="shared" si="19"/>
        <v>40.021527777775191</v>
      </c>
    </row>
    <row r="1221" spans="1:5" x14ac:dyDescent="0.25">
      <c r="A1221" t="s">
        <v>26</v>
      </c>
      <c r="B1221" t="s">
        <v>21</v>
      </c>
      <c r="C1221" s="1">
        <v>46199.876388888893</v>
      </c>
      <c r="D1221" s="1">
        <v>46247.512499999997</v>
      </c>
      <c r="E1221" s="2">
        <f t="shared" si="19"/>
        <v>47.636111111103673</v>
      </c>
    </row>
    <row r="1222" spans="1:5" x14ac:dyDescent="0.25">
      <c r="A1222" t="s">
        <v>13</v>
      </c>
      <c r="B1222" t="s">
        <v>8</v>
      </c>
      <c r="C1222" s="1">
        <v>45688.375</v>
      </c>
      <c r="D1222" s="1">
        <v>45710.989583333343</v>
      </c>
      <c r="E1222" s="2">
        <f t="shared" si="19"/>
        <v>22.614583333343035</v>
      </c>
    </row>
    <row r="1223" spans="1:5" x14ac:dyDescent="0.25">
      <c r="A1223" t="s">
        <v>23</v>
      </c>
      <c r="B1223" t="s">
        <v>24</v>
      </c>
      <c r="C1223" s="1">
        <v>46105.17083333333</v>
      </c>
      <c r="D1223" s="1">
        <v>46156.694444444453</v>
      </c>
      <c r="E1223" s="2">
        <f t="shared" si="19"/>
        <v>51.523611111122591</v>
      </c>
    </row>
    <row r="1224" spans="1:5" x14ac:dyDescent="0.25">
      <c r="A1224" t="s">
        <v>13</v>
      </c>
      <c r="B1224" t="s">
        <v>8</v>
      </c>
      <c r="C1224" s="1">
        <v>45904.879166666673</v>
      </c>
      <c r="D1224" s="1">
        <v>45931.645833333343</v>
      </c>
      <c r="E1224" s="2">
        <f t="shared" si="19"/>
        <v>26.766666666670062</v>
      </c>
    </row>
    <row r="1225" spans="1:5" x14ac:dyDescent="0.25">
      <c r="A1225" t="s">
        <v>20</v>
      </c>
      <c r="B1225" t="s">
        <v>8</v>
      </c>
      <c r="C1225" s="1">
        <v>45682.683333333327</v>
      </c>
      <c r="D1225" s="1">
        <v>45710.989583333343</v>
      </c>
      <c r="E1225" s="2">
        <f t="shared" si="19"/>
        <v>28.306250000016007</v>
      </c>
    </row>
    <row r="1226" spans="1:5" x14ac:dyDescent="0.25">
      <c r="A1226" t="s">
        <v>12</v>
      </c>
      <c r="B1226" t="s">
        <v>18</v>
      </c>
      <c r="C1226" s="1">
        <v>45879.837500000001</v>
      </c>
      <c r="D1226" s="1">
        <v>45964.081944444442</v>
      </c>
      <c r="E1226" s="2">
        <f t="shared" si="19"/>
        <v>84.244444444440887</v>
      </c>
    </row>
    <row r="1227" spans="1:5" x14ac:dyDescent="0.25">
      <c r="A1227" t="s">
        <v>13</v>
      </c>
      <c r="B1227" t="s">
        <v>8</v>
      </c>
      <c r="C1227" s="1">
        <v>45885.07916666667</v>
      </c>
      <c r="D1227" s="1">
        <v>45910.938888888893</v>
      </c>
      <c r="E1227" s="2">
        <f t="shared" si="19"/>
        <v>25.859722222223354</v>
      </c>
    </row>
    <row r="1228" spans="1:5" x14ac:dyDescent="0.25">
      <c r="A1228" t="s">
        <v>12</v>
      </c>
      <c r="B1228" t="s">
        <v>13</v>
      </c>
      <c r="C1228" s="1">
        <v>45933.466666666667</v>
      </c>
      <c r="D1228" s="1">
        <v>45983.504166666673</v>
      </c>
      <c r="E1228" s="2">
        <f t="shared" si="19"/>
        <v>50.037500000005821</v>
      </c>
    </row>
    <row r="1229" spans="1:5" x14ac:dyDescent="0.25">
      <c r="A1229" t="s">
        <v>15</v>
      </c>
      <c r="B1229" t="s">
        <v>6</v>
      </c>
      <c r="C1229" s="1">
        <v>46191.502083333333</v>
      </c>
      <c r="D1229" s="1">
        <v>46256.753912037027</v>
      </c>
      <c r="E1229" s="2">
        <f t="shared" si="19"/>
        <v>65.251828703694628</v>
      </c>
    </row>
    <row r="1230" spans="1:5" x14ac:dyDescent="0.25">
      <c r="A1230" t="s">
        <v>13</v>
      </c>
      <c r="B1230" t="s">
        <v>8</v>
      </c>
      <c r="C1230" s="1">
        <v>45948.466666666667</v>
      </c>
      <c r="D1230" s="1">
        <v>45971.695833333331</v>
      </c>
      <c r="E1230" s="2">
        <f t="shared" si="19"/>
        <v>23.229166666664241</v>
      </c>
    </row>
    <row r="1231" spans="1:5" x14ac:dyDescent="0.25">
      <c r="A1231" t="s">
        <v>16</v>
      </c>
      <c r="B1231" t="s">
        <v>13</v>
      </c>
      <c r="C1231" s="1">
        <v>45664.220833333333</v>
      </c>
      <c r="D1231" s="1">
        <v>45704.333333333343</v>
      </c>
      <c r="E1231" s="2">
        <f t="shared" si="19"/>
        <v>40.112500000010186</v>
      </c>
    </row>
    <row r="1232" spans="1:5" x14ac:dyDescent="0.25">
      <c r="A1232" t="s">
        <v>7</v>
      </c>
      <c r="B1232" t="s">
        <v>13</v>
      </c>
      <c r="C1232" s="1">
        <v>45869.5</v>
      </c>
      <c r="D1232" s="1">
        <v>45911.708333333343</v>
      </c>
      <c r="E1232" s="2">
        <f t="shared" si="19"/>
        <v>42.208333333343035</v>
      </c>
    </row>
    <row r="1233" spans="1:5" x14ac:dyDescent="0.25">
      <c r="A1233" t="s">
        <v>6</v>
      </c>
      <c r="B1233" t="s">
        <v>8</v>
      </c>
      <c r="C1233" s="1">
        <v>45744.258333333331</v>
      </c>
      <c r="D1233" s="1">
        <v>45784.279861111107</v>
      </c>
      <c r="E1233" s="2">
        <f t="shared" si="19"/>
        <v>40.021527777775191</v>
      </c>
    </row>
    <row r="1234" spans="1:5" x14ac:dyDescent="0.25">
      <c r="A1234" t="s">
        <v>26</v>
      </c>
      <c r="B1234" t="s">
        <v>21</v>
      </c>
      <c r="C1234" s="1">
        <v>46232.533333333333</v>
      </c>
      <c r="D1234" s="1">
        <v>46282.279166666667</v>
      </c>
      <c r="E1234" s="2">
        <f t="shared" si="19"/>
        <v>49.745833333334303</v>
      </c>
    </row>
    <row r="1235" spans="1:5" x14ac:dyDescent="0.25">
      <c r="A1235" t="s">
        <v>8</v>
      </c>
      <c r="B1235" t="s">
        <v>18</v>
      </c>
      <c r="C1235" s="1">
        <v>46162.799305555563</v>
      </c>
      <c r="D1235" s="1">
        <v>46210.020833333343</v>
      </c>
      <c r="E1235" s="2">
        <f t="shared" si="19"/>
        <v>47.221527777779556</v>
      </c>
    </row>
    <row r="1236" spans="1:5" x14ac:dyDescent="0.25">
      <c r="A1236" t="s">
        <v>14</v>
      </c>
      <c r="B1236" t="s">
        <v>22</v>
      </c>
      <c r="C1236" s="1">
        <v>45939.833333333343</v>
      </c>
      <c r="D1236" s="1">
        <v>46028.270833333343</v>
      </c>
      <c r="E1236" s="2">
        <f t="shared" si="19"/>
        <v>88.4375</v>
      </c>
    </row>
    <row r="1237" spans="1:5" x14ac:dyDescent="0.25">
      <c r="A1237" t="s">
        <v>15</v>
      </c>
      <c r="B1237" t="s">
        <v>18</v>
      </c>
      <c r="C1237" s="1">
        <v>45854.686805555553</v>
      </c>
      <c r="D1237" s="1">
        <v>45909.30972222222</v>
      </c>
      <c r="E1237" s="2">
        <f t="shared" si="19"/>
        <v>54.622916666667152</v>
      </c>
    </row>
    <row r="1238" spans="1:5" x14ac:dyDescent="0.25">
      <c r="A1238" t="s">
        <v>16</v>
      </c>
      <c r="B1238" t="s">
        <v>8</v>
      </c>
      <c r="C1238" s="1">
        <v>45718.625</v>
      </c>
      <c r="D1238" s="1">
        <v>45781.729166666657</v>
      </c>
      <c r="E1238" s="2">
        <f t="shared" si="19"/>
        <v>63.104166666656965</v>
      </c>
    </row>
    <row r="1239" spans="1:5" x14ac:dyDescent="0.25">
      <c r="A1239" t="s">
        <v>8</v>
      </c>
      <c r="B1239" t="s">
        <v>18</v>
      </c>
      <c r="C1239" s="1">
        <v>46206.283333333333</v>
      </c>
      <c r="D1239" s="1">
        <v>46251.208333333343</v>
      </c>
      <c r="E1239" s="2">
        <f t="shared" si="19"/>
        <v>44.925000000010186</v>
      </c>
    </row>
    <row r="1240" spans="1:5" x14ac:dyDescent="0.25">
      <c r="A1240" t="s">
        <v>13</v>
      </c>
      <c r="B1240" t="s">
        <v>11</v>
      </c>
      <c r="C1240" s="1">
        <v>46083.459027777782</v>
      </c>
      <c r="D1240" s="1">
        <v>46120.609027777777</v>
      </c>
      <c r="E1240" s="2">
        <f t="shared" si="19"/>
        <v>37.149999999994179</v>
      </c>
    </row>
    <row r="1241" spans="1:5" x14ac:dyDescent="0.25">
      <c r="A1241" t="s">
        <v>12</v>
      </c>
      <c r="B1241" t="s">
        <v>13</v>
      </c>
      <c r="C1241" s="1">
        <v>46000.875</v>
      </c>
      <c r="D1241" s="1">
        <v>46045.625</v>
      </c>
      <c r="E1241" s="2">
        <f t="shared" si="19"/>
        <v>44.75</v>
      </c>
    </row>
    <row r="1242" spans="1:5" x14ac:dyDescent="0.25">
      <c r="A1242" t="s">
        <v>12</v>
      </c>
      <c r="B1242" t="s">
        <v>13</v>
      </c>
      <c r="C1242" s="1">
        <v>45895.17083333333</v>
      </c>
      <c r="D1242" s="1">
        <v>45949.119444444441</v>
      </c>
      <c r="E1242" s="2">
        <f t="shared" si="19"/>
        <v>53.948611111110949</v>
      </c>
    </row>
    <row r="1243" spans="1:5" x14ac:dyDescent="0.25">
      <c r="A1243" t="s">
        <v>16</v>
      </c>
      <c r="B1243" t="s">
        <v>8</v>
      </c>
      <c r="C1243" s="1">
        <v>45687.745833333327</v>
      </c>
      <c r="D1243" s="1">
        <v>45729.704861111109</v>
      </c>
      <c r="E1243" s="2">
        <f t="shared" si="19"/>
        <v>41.959027777782467</v>
      </c>
    </row>
    <row r="1244" spans="1:5" x14ac:dyDescent="0.25">
      <c r="A1244" t="s">
        <v>23</v>
      </c>
      <c r="B1244" t="s">
        <v>24</v>
      </c>
      <c r="C1244" s="1">
        <v>45935.175000000003</v>
      </c>
      <c r="D1244" s="1">
        <v>45983.73333333333</v>
      </c>
      <c r="E1244" s="2">
        <f t="shared" si="19"/>
        <v>48.558333333327028</v>
      </c>
    </row>
    <row r="1245" spans="1:5" x14ac:dyDescent="0.25">
      <c r="A1245" t="s">
        <v>26</v>
      </c>
      <c r="B1245" t="s">
        <v>21</v>
      </c>
      <c r="C1245" s="1">
        <v>46044.041666666657</v>
      </c>
      <c r="D1245" s="1">
        <v>46092.333333333343</v>
      </c>
      <c r="E1245" s="2">
        <f t="shared" si="19"/>
        <v>48.291666666686069</v>
      </c>
    </row>
    <row r="1246" spans="1:5" x14ac:dyDescent="0.25">
      <c r="A1246" t="s">
        <v>11</v>
      </c>
      <c r="B1246" t="s">
        <v>21</v>
      </c>
      <c r="C1246" s="1">
        <v>46093.995833333327</v>
      </c>
      <c r="D1246" s="1">
        <v>46105.479166666657</v>
      </c>
      <c r="E1246" s="2">
        <f t="shared" si="19"/>
        <v>11.483333333329938</v>
      </c>
    </row>
    <row r="1247" spans="1:5" x14ac:dyDescent="0.25">
      <c r="A1247" t="s">
        <v>27</v>
      </c>
      <c r="B1247" t="s">
        <v>8</v>
      </c>
      <c r="C1247" s="1">
        <v>45862.566666666673</v>
      </c>
      <c r="D1247" s="1">
        <v>45908.081944444442</v>
      </c>
      <c r="E1247" s="2">
        <f t="shared" si="19"/>
        <v>45.51527777776937</v>
      </c>
    </row>
    <row r="1248" spans="1:5" x14ac:dyDescent="0.25">
      <c r="A1248" t="s">
        <v>13</v>
      </c>
      <c r="B1248" t="s">
        <v>8</v>
      </c>
      <c r="C1248" s="1">
        <v>45734.956944444442</v>
      </c>
      <c r="D1248" s="1">
        <v>45761</v>
      </c>
      <c r="E1248" s="2">
        <f t="shared" si="19"/>
        <v>26.043055555557657</v>
      </c>
    </row>
    <row r="1249" spans="1:5" x14ac:dyDescent="0.25">
      <c r="A1249" t="s">
        <v>12</v>
      </c>
      <c r="B1249" t="s">
        <v>13</v>
      </c>
      <c r="C1249" s="1">
        <v>45662.208333333343</v>
      </c>
      <c r="D1249" s="1">
        <v>45704.333333333343</v>
      </c>
      <c r="E1249" s="2">
        <f t="shared" si="19"/>
        <v>42.125</v>
      </c>
    </row>
    <row r="1250" spans="1:5" x14ac:dyDescent="0.25">
      <c r="A1250" t="s">
        <v>27</v>
      </c>
      <c r="B1250" t="s">
        <v>20</v>
      </c>
      <c r="C1250" s="1">
        <v>45697.027083333327</v>
      </c>
      <c r="D1250" s="1">
        <v>45769</v>
      </c>
      <c r="E1250" s="2">
        <f t="shared" si="19"/>
        <v>71.972916666672972</v>
      </c>
    </row>
    <row r="1251" spans="1:5" x14ac:dyDescent="0.25">
      <c r="A1251" t="s">
        <v>23</v>
      </c>
      <c r="B1251" t="s">
        <v>24</v>
      </c>
      <c r="C1251" s="1">
        <v>46105.17083333333</v>
      </c>
      <c r="D1251" s="1">
        <v>46156.694444444453</v>
      </c>
      <c r="E1251" s="2">
        <f t="shared" si="19"/>
        <v>51.523611111122591</v>
      </c>
    </row>
    <row r="1252" spans="1:5" x14ac:dyDescent="0.25">
      <c r="A1252" t="s">
        <v>12</v>
      </c>
      <c r="B1252" t="s">
        <v>13</v>
      </c>
      <c r="C1252" s="1">
        <v>45826.123611111107</v>
      </c>
      <c r="D1252" s="1">
        <v>45871.833333333343</v>
      </c>
      <c r="E1252" s="2">
        <f t="shared" si="19"/>
        <v>45.709722222236451</v>
      </c>
    </row>
    <row r="1253" spans="1:5" x14ac:dyDescent="0.25">
      <c r="A1253" t="s">
        <v>13</v>
      </c>
      <c r="B1253" t="s">
        <v>8</v>
      </c>
      <c r="C1253" s="1">
        <v>45904.879166666673</v>
      </c>
      <c r="D1253" s="1">
        <v>45931.645833333343</v>
      </c>
      <c r="E1253" s="2">
        <f t="shared" si="19"/>
        <v>26.766666666670062</v>
      </c>
    </row>
    <row r="1254" spans="1:5" x14ac:dyDescent="0.25">
      <c r="A1254" t="s">
        <v>11</v>
      </c>
      <c r="B1254" t="s">
        <v>7</v>
      </c>
      <c r="C1254" s="1">
        <v>45978.834722222222</v>
      </c>
      <c r="D1254" s="1">
        <v>46055.583333333343</v>
      </c>
      <c r="E1254" s="2">
        <f t="shared" si="19"/>
        <v>76.748611111121136</v>
      </c>
    </row>
    <row r="1255" spans="1:5" x14ac:dyDescent="0.25">
      <c r="A1255" t="s">
        <v>11</v>
      </c>
      <c r="B1255" t="s">
        <v>21</v>
      </c>
      <c r="C1255" s="1">
        <v>46093.995833333327</v>
      </c>
      <c r="D1255" s="1">
        <v>46105.479166666657</v>
      </c>
      <c r="E1255" s="2">
        <f t="shared" si="19"/>
        <v>11.483333333329938</v>
      </c>
    </row>
    <row r="1256" spans="1:5" x14ac:dyDescent="0.25">
      <c r="A1256" t="s">
        <v>15</v>
      </c>
      <c r="B1256" t="s">
        <v>13</v>
      </c>
      <c r="C1256" s="1">
        <v>46185.171527777777</v>
      </c>
      <c r="D1256" s="1">
        <v>46221.126388888893</v>
      </c>
      <c r="E1256" s="2">
        <f t="shared" si="19"/>
        <v>35.95486111111677</v>
      </c>
    </row>
    <row r="1257" spans="1:5" x14ac:dyDescent="0.25">
      <c r="A1257" t="s">
        <v>19</v>
      </c>
      <c r="B1257" t="s">
        <v>11</v>
      </c>
      <c r="C1257" s="1">
        <v>46233.987604166658</v>
      </c>
      <c r="D1257" s="1">
        <v>46282.88349537037</v>
      </c>
      <c r="E1257" s="2">
        <f t="shared" si="19"/>
        <v>48.895891203712381</v>
      </c>
    </row>
    <row r="1258" spans="1:5" x14ac:dyDescent="0.25">
      <c r="A1258" t="s">
        <v>10</v>
      </c>
      <c r="B1258" t="s">
        <v>8</v>
      </c>
      <c r="C1258" s="1">
        <v>46129.761111111111</v>
      </c>
      <c r="D1258" s="1">
        <v>46146.574305555558</v>
      </c>
      <c r="E1258" s="2">
        <f t="shared" si="19"/>
        <v>16.813194444446708</v>
      </c>
    </row>
    <row r="1259" spans="1:5" x14ac:dyDescent="0.25">
      <c r="A1259" t="s">
        <v>11</v>
      </c>
      <c r="B1259" t="s">
        <v>21</v>
      </c>
      <c r="C1259" s="1">
        <v>46108.958333333343</v>
      </c>
      <c r="D1259" s="1">
        <v>46120.377083333333</v>
      </c>
      <c r="E1259" s="2">
        <f t="shared" si="19"/>
        <v>11.418749999989814</v>
      </c>
    </row>
    <row r="1260" spans="1:5" x14ac:dyDescent="0.25">
      <c r="A1260" t="s">
        <v>6</v>
      </c>
      <c r="B1260" t="s">
        <v>8</v>
      </c>
      <c r="C1260" s="1">
        <v>45726.96875</v>
      </c>
      <c r="D1260" s="1">
        <v>45776.962500000001</v>
      </c>
      <c r="E1260" s="2">
        <f t="shared" si="19"/>
        <v>49.993750000001455</v>
      </c>
    </row>
    <row r="1261" spans="1:5" x14ac:dyDescent="0.25">
      <c r="A1261" t="s">
        <v>23</v>
      </c>
      <c r="B1261" t="s">
        <v>18</v>
      </c>
      <c r="C1261" s="1">
        <v>45950.375</v>
      </c>
      <c r="D1261" s="1">
        <v>46008.915277777778</v>
      </c>
      <c r="E1261" s="2">
        <f t="shared" si="19"/>
        <v>58.540277777778101</v>
      </c>
    </row>
    <row r="1262" spans="1:5" x14ac:dyDescent="0.25">
      <c r="A1262" t="s">
        <v>11</v>
      </c>
      <c r="B1262" t="s">
        <v>7</v>
      </c>
      <c r="C1262" s="1">
        <v>45754.934027777781</v>
      </c>
      <c r="D1262" s="1">
        <v>45826.523611111108</v>
      </c>
      <c r="E1262" s="2">
        <f t="shared" si="19"/>
        <v>71.589583333327028</v>
      </c>
    </row>
    <row r="1263" spans="1:5" x14ac:dyDescent="0.25">
      <c r="A1263" t="s">
        <v>12</v>
      </c>
      <c r="B1263" t="s">
        <v>18</v>
      </c>
      <c r="C1263" s="1">
        <v>45788.375</v>
      </c>
      <c r="D1263" s="1">
        <v>45854.592361111107</v>
      </c>
      <c r="E1263" s="2">
        <f t="shared" si="19"/>
        <v>66.217361111106584</v>
      </c>
    </row>
    <row r="1264" spans="1:5" x14ac:dyDescent="0.25">
      <c r="A1264" t="s">
        <v>7</v>
      </c>
      <c r="B1264" t="s">
        <v>11</v>
      </c>
      <c r="C1264" s="1">
        <v>45736.884722222218</v>
      </c>
      <c r="D1264" s="1">
        <v>45812.137499999997</v>
      </c>
      <c r="E1264" s="2">
        <f t="shared" si="19"/>
        <v>75.252777777779556</v>
      </c>
    </row>
    <row r="1265" spans="1:5" x14ac:dyDescent="0.25">
      <c r="A1265" t="s">
        <v>12</v>
      </c>
      <c r="B1265" t="s">
        <v>18</v>
      </c>
      <c r="C1265" s="1">
        <v>46027.166666666657</v>
      </c>
      <c r="D1265" s="1">
        <v>46087.666666666657</v>
      </c>
      <c r="E1265" s="2">
        <f t="shared" si="19"/>
        <v>60.5</v>
      </c>
    </row>
    <row r="1266" spans="1:5" x14ac:dyDescent="0.25">
      <c r="A1266" t="s">
        <v>15</v>
      </c>
      <c r="B1266" t="s">
        <v>18</v>
      </c>
      <c r="C1266" s="1">
        <v>45835.987500000003</v>
      </c>
      <c r="D1266" s="1">
        <v>45891.20208333333</v>
      </c>
      <c r="E1266" s="2">
        <f t="shared" si="19"/>
        <v>55.214583333327028</v>
      </c>
    </row>
    <row r="1267" spans="1:5" x14ac:dyDescent="0.25">
      <c r="A1267" t="s">
        <v>8</v>
      </c>
      <c r="B1267" t="s">
        <v>13</v>
      </c>
      <c r="C1267" s="1">
        <v>45722</v>
      </c>
      <c r="D1267" s="1">
        <v>45762</v>
      </c>
      <c r="E1267" s="2">
        <f t="shared" si="19"/>
        <v>40</v>
      </c>
    </row>
    <row r="1268" spans="1:5" x14ac:dyDescent="0.25">
      <c r="A1268" t="s">
        <v>16</v>
      </c>
      <c r="B1268" t="s">
        <v>8</v>
      </c>
      <c r="C1268" s="1">
        <v>45718.625</v>
      </c>
      <c r="D1268" s="1">
        <v>45760.229166666657</v>
      </c>
      <c r="E1268" s="2">
        <f t="shared" si="19"/>
        <v>41.604166666656965</v>
      </c>
    </row>
    <row r="1269" spans="1:5" x14ac:dyDescent="0.25">
      <c r="A1269" t="s">
        <v>23</v>
      </c>
      <c r="B1269" t="s">
        <v>18</v>
      </c>
      <c r="C1269" s="1">
        <v>46071.378472222219</v>
      </c>
      <c r="D1269" s="1">
        <v>46119.064583333333</v>
      </c>
      <c r="E1269" s="2">
        <f t="shared" si="19"/>
        <v>47.68611111111386</v>
      </c>
    </row>
    <row r="1270" spans="1:5" x14ac:dyDescent="0.25">
      <c r="A1270" t="s">
        <v>14</v>
      </c>
      <c r="B1270" t="s">
        <v>22</v>
      </c>
      <c r="C1270" s="1">
        <v>45828.304166666669</v>
      </c>
      <c r="D1270" s="1">
        <v>45883.676388888889</v>
      </c>
      <c r="E1270" s="2">
        <f t="shared" si="19"/>
        <v>55.372222222220444</v>
      </c>
    </row>
    <row r="1271" spans="1:5" x14ac:dyDescent="0.25">
      <c r="A1271" t="s">
        <v>12</v>
      </c>
      <c r="B1271" t="s">
        <v>18</v>
      </c>
      <c r="C1271" s="1">
        <v>45740.831944444442</v>
      </c>
      <c r="D1271" s="1">
        <v>45800.666666666657</v>
      </c>
      <c r="E1271" s="2">
        <f t="shared" si="19"/>
        <v>59.834722222214623</v>
      </c>
    </row>
    <row r="1272" spans="1:5" x14ac:dyDescent="0.25">
      <c r="A1272" t="s">
        <v>12</v>
      </c>
      <c r="B1272" t="s">
        <v>13</v>
      </c>
      <c r="C1272" s="1">
        <v>46012.541666666657</v>
      </c>
      <c r="D1272" s="1">
        <v>46059.751388888893</v>
      </c>
      <c r="E1272" s="2">
        <f t="shared" si="19"/>
        <v>47.209722222236451</v>
      </c>
    </row>
    <row r="1273" spans="1:5" x14ac:dyDescent="0.25">
      <c r="A1273" t="s">
        <v>12</v>
      </c>
      <c r="B1273" t="s">
        <v>13</v>
      </c>
      <c r="C1273" s="1">
        <v>45947.123611111107</v>
      </c>
      <c r="D1273" s="1">
        <v>45988.083333333343</v>
      </c>
      <c r="E1273" s="2">
        <f t="shared" si="19"/>
        <v>40.959722222236451</v>
      </c>
    </row>
    <row r="1274" spans="1:5" x14ac:dyDescent="0.25">
      <c r="A1274" t="s">
        <v>8</v>
      </c>
      <c r="B1274" t="s">
        <v>18</v>
      </c>
      <c r="C1274" s="1">
        <v>46170.131249999999</v>
      </c>
      <c r="D1274" s="1">
        <v>46210.020833333343</v>
      </c>
      <c r="E1274" s="2">
        <f t="shared" si="19"/>
        <v>39.88958333334449</v>
      </c>
    </row>
    <row r="1275" spans="1:5" x14ac:dyDescent="0.25">
      <c r="A1275" t="s">
        <v>15</v>
      </c>
      <c r="B1275" t="s">
        <v>8</v>
      </c>
      <c r="C1275" s="1">
        <v>45908.253472222219</v>
      </c>
      <c r="D1275" s="1">
        <v>45955.75</v>
      </c>
      <c r="E1275" s="2">
        <f t="shared" si="19"/>
        <v>47.496527777781012</v>
      </c>
    </row>
    <row r="1276" spans="1:5" x14ac:dyDescent="0.25">
      <c r="A1276" t="s">
        <v>15</v>
      </c>
      <c r="B1276" t="s">
        <v>16</v>
      </c>
      <c r="C1276" s="1">
        <v>46069.149305555547</v>
      </c>
      <c r="D1276" s="1">
        <v>46081.958333333343</v>
      </c>
      <c r="E1276" s="2">
        <f t="shared" si="19"/>
        <v>12.809027777795563</v>
      </c>
    </row>
    <row r="1277" spans="1:5" x14ac:dyDescent="0.25">
      <c r="A1277" t="s">
        <v>15</v>
      </c>
      <c r="B1277" t="s">
        <v>20</v>
      </c>
      <c r="C1277" s="1">
        <v>46198.806944444441</v>
      </c>
      <c r="D1277" s="1">
        <v>46258.07916666667</v>
      </c>
      <c r="E1277" s="2">
        <f t="shared" si="19"/>
        <v>59.272222222229175</v>
      </c>
    </row>
    <row r="1278" spans="1:5" x14ac:dyDescent="0.25">
      <c r="A1278" t="s">
        <v>15</v>
      </c>
      <c r="B1278" t="s">
        <v>16</v>
      </c>
      <c r="C1278" s="1">
        <v>46148.041666666657</v>
      </c>
      <c r="D1278" s="1">
        <v>46163.441666666673</v>
      </c>
      <c r="E1278" s="2">
        <f t="shared" si="19"/>
        <v>15.400000000016007</v>
      </c>
    </row>
    <row r="1279" spans="1:5" x14ac:dyDescent="0.25">
      <c r="A1279" t="s">
        <v>15</v>
      </c>
      <c r="B1279" t="s">
        <v>8</v>
      </c>
      <c r="C1279" s="1">
        <v>45889.688888888893</v>
      </c>
      <c r="D1279" s="1">
        <v>45928.208333333343</v>
      </c>
      <c r="E1279" s="2">
        <f t="shared" si="19"/>
        <v>38.519444444449618</v>
      </c>
    </row>
    <row r="1280" spans="1:5" x14ac:dyDescent="0.25">
      <c r="A1280" t="s">
        <v>15</v>
      </c>
      <c r="B1280" t="s">
        <v>8</v>
      </c>
      <c r="C1280" s="1">
        <v>45850.657638888893</v>
      </c>
      <c r="D1280" s="1">
        <v>45910.938888888893</v>
      </c>
      <c r="E1280" s="2">
        <f t="shared" si="19"/>
        <v>60.28125</v>
      </c>
    </row>
    <row r="1281" spans="1:5" x14ac:dyDescent="0.25">
      <c r="A1281" t="s">
        <v>15</v>
      </c>
      <c r="B1281" t="s">
        <v>8</v>
      </c>
      <c r="C1281" s="1">
        <v>45927.916666666657</v>
      </c>
      <c r="D1281" s="1">
        <v>45977.614583333343</v>
      </c>
      <c r="E1281" s="2">
        <f t="shared" si="19"/>
        <v>49.697916666686069</v>
      </c>
    </row>
    <row r="1282" spans="1:5" x14ac:dyDescent="0.25">
      <c r="A1282" t="s">
        <v>15</v>
      </c>
      <c r="B1282" t="s">
        <v>20</v>
      </c>
      <c r="C1282" s="1">
        <v>46185.171527777777</v>
      </c>
      <c r="D1282" s="1">
        <v>46227.724999999999</v>
      </c>
      <c r="E1282" s="2">
        <f t="shared" ref="E1282:E1345" si="20">D1282-C1282</f>
        <v>42.553472222221899</v>
      </c>
    </row>
    <row r="1283" spans="1:5" x14ac:dyDescent="0.25">
      <c r="A1283" t="s">
        <v>15</v>
      </c>
      <c r="B1283" t="s">
        <v>20</v>
      </c>
      <c r="C1283" s="1">
        <v>46185.171527777777</v>
      </c>
      <c r="D1283" s="1">
        <v>46227.724999999999</v>
      </c>
      <c r="E1283" s="2">
        <f t="shared" si="20"/>
        <v>42.553472222221899</v>
      </c>
    </row>
    <row r="1284" spans="1:5" x14ac:dyDescent="0.25">
      <c r="A1284" t="s">
        <v>15</v>
      </c>
      <c r="B1284" t="s">
        <v>8</v>
      </c>
      <c r="C1284" s="1">
        <v>45850.657638888893</v>
      </c>
      <c r="D1284" s="1">
        <v>45910.938888888893</v>
      </c>
      <c r="E1284" s="2">
        <f t="shared" si="20"/>
        <v>60.28125</v>
      </c>
    </row>
    <row r="1285" spans="1:5" x14ac:dyDescent="0.25">
      <c r="A1285" t="s">
        <v>15</v>
      </c>
      <c r="B1285" t="s">
        <v>8</v>
      </c>
      <c r="C1285" s="1">
        <v>45998.874305555553</v>
      </c>
      <c r="D1285" s="1">
        <v>46033.208333333343</v>
      </c>
      <c r="E1285" s="2">
        <f t="shared" si="20"/>
        <v>34.334027777789743</v>
      </c>
    </row>
    <row r="1286" spans="1:5" x14ac:dyDescent="0.25">
      <c r="A1286" t="s">
        <v>15</v>
      </c>
      <c r="B1286" t="s">
        <v>8</v>
      </c>
      <c r="C1286" s="1">
        <v>45938.196527777778</v>
      </c>
      <c r="D1286" s="1">
        <v>45993</v>
      </c>
      <c r="E1286" s="2">
        <f t="shared" si="20"/>
        <v>54.803472222221899</v>
      </c>
    </row>
    <row r="1287" spans="1:5" x14ac:dyDescent="0.25">
      <c r="A1287" t="s">
        <v>15</v>
      </c>
      <c r="B1287" t="s">
        <v>8</v>
      </c>
      <c r="C1287" s="1">
        <v>45927.916666666657</v>
      </c>
      <c r="D1287" s="1">
        <v>45977.614583333343</v>
      </c>
      <c r="E1287" s="2">
        <f t="shared" si="20"/>
        <v>49.697916666686069</v>
      </c>
    </row>
    <row r="1288" spans="1:5" x14ac:dyDescent="0.25">
      <c r="A1288" t="s">
        <v>15</v>
      </c>
      <c r="B1288" t="s">
        <v>8</v>
      </c>
      <c r="C1288" s="1">
        <v>45920.875</v>
      </c>
      <c r="D1288" s="1">
        <v>45970.688888888893</v>
      </c>
      <c r="E1288" s="2">
        <f t="shared" si="20"/>
        <v>49.813888888893416</v>
      </c>
    </row>
    <row r="1289" spans="1:5" x14ac:dyDescent="0.25">
      <c r="A1289" t="s">
        <v>15</v>
      </c>
      <c r="B1289" t="s">
        <v>8</v>
      </c>
      <c r="C1289" s="1">
        <v>45954.459722222222</v>
      </c>
      <c r="D1289" s="1">
        <v>45991.530555555553</v>
      </c>
      <c r="E1289" s="2">
        <f t="shared" si="20"/>
        <v>37.070833333331393</v>
      </c>
    </row>
    <row r="1290" spans="1:5" x14ac:dyDescent="0.25">
      <c r="A1290" t="s">
        <v>15</v>
      </c>
      <c r="B1290" t="s">
        <v>8</v>
      </c>
      <c r="C1290" s="1">
        <v>46063.395833333343</v>
      </c>
      <c r="D1290" s="1">
        <v>46102.916666666657</v>
      </c>
      <c r="E1290" s="2">
        <f t="shared" si="20"/>
        <v>39.520833333313931</v>
      </c>
    </row>
    <row r="1291" spans="1:5" x14ac:dyDescent="0.25">
      <c r="A1291" t="s">
        <v>15</v>
      </c>
      <c r="B1291" t="s">
        <v>20</v>
      </c>
      <c r="C1291" s="1">
        <v>46185.171527777777</v>
      </c>
      <c r="D1291" s="1">
        <v>46227.724999999999</v>
      </c>
      <c r="E1291" s="2">
        <f t="shared" si="20"/>
        <v>42.553472222221899</v>
      </c>
    </row>
    <row r="1292" spans="1:5" x14ac:dyDescent="0.25">
      <c r="A1292" t="s">
        <v>15</v>
      </c>
      <c r="B1292" t="s">
        <v>8</v>
      </c>
      <c r="C1292" s="1">
        <v>45702</v>
      </c>
      <c r="D1292" s="1">
        <v>45738.364583333343</v>
      </c>
      <c r="E1292" s="2">
        <f t="shared" si="20"/>
        <v>36.364583333343035</v>
      </c>
    </row>
    <row r="1293" spans="1:5" x14ac:dyDescent="0.25">
      <c r="A1293" t="s">
        <v>15</v>
      </c>
      <c r="B1293" t="s">
        <v>8</v>
      </c>
      <c r="C1293" s="1">
        <v>45879.8125</v>
      </c>
      <c r="D1293" s="1">
        <v>45920</v>
      </c>
      <c r="E1293" s="2">
        <f t="shared" si="20"/>
        <v>40.1875</v>
      </c>
    </row>
    <row r="1294" spans="1:5" x14ac:dyDescent="0.25">
      <c r="A1294" t="s">
        <v>15</v>
      </c>
      <c r="B1294" t="s">
        <v>8</v>
      </c>
      <c r="C1294" s="1">
        <v>45832.012499999997</v>
      </c>
      <c r="D1294" s="1">
        <v>45865.404861111107</v>
      </c>
      <c r="E1294" s="2">
        <f t="shared" si="20"/>
        <v>33.392361111109494</v>
      </c>
    </row>
    <row r="1295" spans="1:5" x14ac:dyDescent="0.25">
      <c r="A1295" t="s">
        <v>15</v>
      </c>
      <c r="B1295" t="s">
        <v>8</v>
      </c>
      <c r="C1295" s="1">
        <v>46108.948611111111</v>
      </c>
      <c r="D1295" s="1">
        <v>46144.908333333333</v>
      </c>
      <c r="E1295" s="2">
        <f t="shared" si="20"/>
        <v>35.959722222221899</v>
      </c>
    </row>
    <row r="1296" spans="1:5" x14ac:dyDescent="0.25">
      <c r="A1296" t="s">
        <v>15</v>
      </c>
      <c r="B1296" t="s">
        <v>8</v>
      </c>
      <c r="C1296" s="1">
        <v>45766.308333333327</v>
      </c>
      <c r="D1296" s="1">
        <v>45815.175694444442</v>
      </c>
      <c r="E1296" s="2">
        <f t="shared" si="20"/>
        <v>48.867361111115315</v>
      </c>
    </row>
    <row r="1297" spans="1:5" x14ac:dyDescent="0.25">
      <c r="A1297" t="s">
        <v>15</v>
      </c>
      <c r="B1297" t="s">
        <v>16</v>
      </c>
      <c r="C1297" s="1">
        <v>46148.041666666657</v>
      </c>
      <c r="D1297" s="1">
        <v>46163.441666666673</v>
      </c>
      <c r="E1297" s="2">
        <f t="shared" si="20"/>
        <v>15.400000000016007</v>
      </c>
    </row>
    <row r="1298" spans="1:5" x14ac:dyDescent="0.25">
      <c r="A1298" t="s">
        <v>15</v>
      </c>
      <c r="B1298" t="s">
        <v>8</v>
      </c>
      <c r="C1298" s="1">
        <v>46031.183333333327</v>
      </c>
      <c r="D1298" s="1">
        <v>46074.836805555547</v>
      </c>
      <c r="E1298" s="2">
        <f t="shared" si="20"/>
        <v>43.653472222220444</v>
      </c>
    </row>
    <row r="1299" spans="1:5" x14ac:dyDescent="0.25">
      <c r="A1299" t="s">
        <v>15</v>
      </c>
      <c r="B1299" t="s">
        <v>8</v>
      </c>
      <c r="C1299" s="1">
        <v>45998.874305555553</v>
      </c>
      <c r="D1299" s="1">
        <v>46033.208333333343</v>
      </c>
      <c r="E1299" s="2">
        <f t="shared" si="20"/>
        <v>34.334027777789743</v>
      </c>
    </row>
    <row r="1300" spans="1:5" x14ac:dyDescent="0.25">
      <c r="A1300" t="s">
        <v>15</v>
      </c>
      <c r="B1300" t="s">
        <v>8</v>
      </c>
      <c r="C1300" s="1">
        <v>45920.875</v>
      </c>
      <c r="D1300" s="1">
        <v>45970</v>
      </c>
      <c r="E1300" s="2">
        <f t="shared" si="20"/>
        <v>49.125</v>
      </c>
    </row>
    <row r="1301" spans="1:5" x14ac:dyDescent="0.25">
      <c r="A1301" t="s">
        <v>15</v>
      </c>
      <c r="B1301" t="s">
        <v>16</v>
      </c>
      <c r="C1301" s="1">
        <v>46106.083333333343</v>
      </c>
      <c r="D1301" s="1">
        <v>46122.25</v>
      </c>
      <c r="E1301" s="2">
        <f t="shared" si="20"/>
        <v>16.166666666656965</v>
      </c>
    </row>
    <row r="1302" spans="1:5" x14ac:dyDescent="0.25">
      <c r="A1302" t="s">
        <v>15</v>
      </c>
      <c r="B1302" t="s">
        <v>8</v>
      </c>
      <c r="C1302" s="1">
        <v>46050.020833333343</v>
      </c>
      <c r="D1302" s="1">
        <v>46089.166666666657</v>
      </c>
      <c r="E1302" s="2">
        <f t="shared" si="20"/>
        <v>39.145833333313931</v>
      </c>
    </row>
    <row r="1303" spans="1:5" x14ac:dyDescent="0.25">
      <c r="A1303" t="s">
        <v>15</v>
      </c>
      <c r="B1303" t="s">
        <v>8</v>
      </c>
      <c r="C1303" s="1">
        <v>46091.946527777778</v>
      </c>
      <c r="D1303" s="1">
        <v>46131.400694444441</v>
      </c>
      <c r="E1303" s="2">
        <f t="shared" si="20"/>
        <v>39.454166666662786</v>
      </c>
    </row>
    <row r="1304" spans="1:5" x14ac:dyDescent="0.25">
      <c r="A1304" t="s">
        <v>15</v>
      </c>
      <c r="B1304" t="s">
        <v>8</v>
      </c>
      <c r="C1304" s="1">
        <v>45908.188888888893</v>
      </c>
      <c r="D1304" s="1">
        <v>45943.238888888889</v>
      </c>
      <c r="E1304" s="2">
        <f t="shared" si="20"/>
        <v>35.049999999995634</v>
      </c>
    </row>
    <row r="1305" spans="1:5" x14ac:dyDescent="0.25">
      <c r="A1305" t="s">
        <v>15</v>
      </c>
      <c r="B1305" t="s">
        <v>16</v>
      </c>
      <c r="C1305" s="1">
        <v>46122.737500000003</v>
      </c>
      <c r="D1305" s="1">
        <v>46140.666666666657</v>
      </c>
      <c r="E1305" s="2">
        <f t="shared" si="20"/>
        <v>17.929166666654055</v>
      </c>
    </row>
    <row r="1306" spans="1:5" x14ac:dyDescent="0.25">
      <c r="A1306" t="s">
        <v>15</v>
      </c>
      <c r="B1306" t="s">
        <v>8</v>
      </c>
      <c r="C1306" s="1">
        <v>46050.020833333343</v>
      </c>
      <c r="D1306" s="1">
        <v>46089.166666666657</v>
      </c>
      <c r="E1306" s="2">
        <f t="shared" si="20"/>
        <v>39.145833333313931</v>
      </c>
    </row>
    <row r="1307" spans="1:5" x14ac:dyDescent="0.25">
      <c r="A1307" t="s">
        <v>15</v>
      </c>
      <c r="B1307" t="s">
        <v>8</v>
      </c>
      <c r="C1307" s="1">
        <v>45954.459722222222</v>
      </c>
      <c r="D1307" s="1">
        <v>45991.530555555553</v>
      </c>
      <c r="E1307" s="2">
        <f t="shared" si="20"/>
        <v>37.070833333331393</v>
      </c>
    </row>
    <row r="1308" spans="1:5" x14ac:dyDescent="0.25">
      <c r="A1308" t="s">
        <v>15</v>
      </c>
      <c r="B1308" t="s">
        <v>16</v>
      </c>
      <c r="C1308" s="1">
        <v>46092.2</v>
      </c>
      <c r="D1308" s="1">
        <v>46111.666666666657</v>
      </c>
      <c r="E1308" s="2">
        <f t="shared" si="20"/>
        <v>19.466666666659876</v>
      </c>
    </row>
    <row r="1309" spans="1:5" x14ac:dyDescent="0.25">
      <c r="A1309" t="s">
        <v>15</v>
      </c>
      <c r="B1309" t="s">
        <v>8</v>
      </c>
      <c r="C1309" s="1">
        <v>45702</v>
      </c>
      <c r="D1309" s="1">
        <v>45738.364583333343</v>
      </c>
      <c r="E1309" s="2">
        <f t="shared" si="20"/>
        <v>36.364583333343035</v>
      </c>
    </row>
    <row r="1310" spans="1:5" x14ac:dyDescent="0.25">
      <c r="A1310" t="s">
        <v>15</v>
      </c>
      <c r="B1310" t="s">
        <v>8</v>
      </c>
      <c r="C1310" s="1">
        <v>46005.362500000003</v>
      </c>
      <c r="D1310" s="1">
        <v>46040.25</v>
      </c>
      <c r="E1310" s="2">
        <f t="shared" si="20"/>
        <v>34.88749999999709</v>
      </c>
    </row>
    <row r="1311" spans="1:5" x14ac:dyDescent="0.25">
      <c r="A1311" t="s">
        <v>15</v>
      </c>
      <c r="B1311" t="s">
        <v>8</v>
      </c>
      <c r="C1311" s="1">
        <v>45823.158333333333</v>
      </c>
      <c r="D1311" s="1">
        <v>45873.418749999997</v>
      </c>
      <c r="E1311" s="2">
        <f t="shared" si="20"/>
        <v>50.260416666664241</v>
      </c>
    </row>
    <row r="1312" spans="1:5" x14ac:dyDescent="0.25">
      <c r="A1312" t="s">
        <v>23</v>
      </c>
      <c r="B1312" t="s">
        <v>19</v>
      </c>
      <c r="C1312" s="1">
        <v>45805.625</v>
      </c>
      <c r="D1312" s="1">
        <v>45843.406944444447</v>
      </c>
      <c r="E1312" s="2">
        <f t="shared" si="20"/>
        <v>37.781944444446708</v>
      </c>
    </row>
    <row r="1313" spans="1:5" x14ac:dyDescent="0.25">
      <c r="A1313" t="s">
        <v>20</v>
      </c>
      <c r="B1313" t="s">
        <v>8</v>
      </c>
      <c r="C1313" s="1">
        <v>46242.979166666657</v>
      </c>
      <c r="D1313" s="1">
        <v>46275.291666666657</v>
      </c>
      <c r="E1313" s="2">
        <f t="shared" si="20"/>
        <v>32.3125</v>
      </c>
    </row>
    <row r="1314" spans="1:5" x14ac:dyDescent="0.25">
      <c r="A1314" t="s">
        <v>13</v>
      </c>
      <c r="B1314" t="s">
        <v>8</v>
      </c>
      <c r="C1314" s="1">
        <v>45688.375</v>
      </c>
      <c r="D1314" s="1">
        <v>45710.989583333343</v>
      </c>
      <c r="E1314" s="2">
        <f t="shared" si="20"/>
        <v>22.614583333343035</v>
      </c>
    </row>
    <row r="1315" spans="1:5" x14ac:dyDescent="0.25">
      <c r="A1315" t="s">
        <v>28</v>
      </c>
      <c r="B1315" t="s">
        <v>18</v>
      </c>
      <c r="C1315" s="1">
        <v>45879.111111111109</v>
      </c>
      <c r="D1315" s="1">
        <v>45955.333333333343</v>
      </c>
      <c r="E1315" s="2">
        <f t="shared" si="20"/>
        <v>76.22222222223354</v>
      </c>
    </row>
    <row r="1316" spans="1:5" x14ac:dyDescent="0.25">
      <c r="A1316" t="s">
        <v>26</v>
      </c>
      <c r="B1316" t="s">
        <v>21</v>
      </c>
      <c r="C1316" s="1">
        <v>46103.875</v>
      </c>
      <c r="D1316" s="1">
        <v>46142.418749999997</v>
      </c>
      <c r="E1316" s="2">
        <f t="shared" si="20"/>
        <v>38.54374999999709</v>
      </c>
    </row>
    <row r="1317" spans="1:5" x14ac:dyDescent="0.25">
      <c r="A1317" t="s">
        <v>23</v>
      </c>
      <c r="B1317" t="s">
        <v>18</v>
      </c>
      <c r="C1317" s="1">
        <v>46087.270833333343</v>
      </c>
      <c r="D1317" s="1">
        <v>46131.375</v>
      </c>
      <c r="E1317" s="2">
        <f t="shared" si="20"/>
        <v>44.104166666656965</v>
      </c>
    </row>
    <row r="1318" spans="1:5" x14ac:dyDescent="0.25">
      <c r="A1318" t="s">
        <v>20</v>
      </c>
      <c r="B1318" t="s">
        <v>8</v>
      </c>
      <c r="C1318" s="1">
        <v>45711.133333333331</v>
      </c>
      <c r="D1318" s="1">
        <v>45742.319444444453</v>
      </c>
      <c r="E1318" s="2">
        <f t="shared" si="20"/>
        <v>31.186111111121136</v>
      </c>
    </row>
    <row r="1319" spans="1:5" x14ac:dyDescent="0.25">
      <c r="A1319" t="s">
        <v>10</v>
      </c>
      <c r="B1319" t="s">
        <v>11</v>
      </c>
      <c r="C1319" s="1">
        <v>45866.1</v>
      </c>
      <c r="D1319" s="1">
        <v>45895.958333333343</v>
      </c>
      <c r="E1319" s="2">
        <f t="shared" si="20"/>
        <v>29.85833333334449</v>
      </c>
    </row>
    <row r="1320" spans="1:5" x14ac:dyDescent="0.25">
      <c r="A1320" t="s">
        <v>13</v>
      </c>
      <c r="B1320" t="s">
        <v>8</v>
      </c>
      <c r="C1320" s="1">
        <v>45688.375</v>
      </c>
      <c r="D1320" s="1">
        <v>45710.989583333343</v>
      </c>
      <c r="E1320" s="2">
        <f t="shared" si="20"/>
        <v>22.614583333343035</v>
      </c>
    </row>
    <row r="1321" spans="1:5" x14ac:dyDescent="0.25">
      <c r="A1321" t="s">
        <v>27</v>
      </c>
      <c r="B1321" t="s">
        <v>20</v>
      </c>
      <c r="C1321" s="1">
        <v>45725.397916666669</v>
      </c>
      <c r="D1321" s="1">
        <v>45794.862500000003</v>
      </c>
      <c r="E1321" s="2">
        <f t="shared" si="20"/>
        <v>69.464583333334303</v>
      </c>
    </row>
    <row r="1322" spans="1:5" x14ac:dyDescent="0.25">
      <c r="A1322" t="s">
        <v>23</v>
      </c>
      <c r="B1322" t="s">
        <v>18</v>
      </c>
      <c r="C1322" s="1">
        <v>46100.208333333343</v>
      </c>
      <c r="D1322" s="1">
        <v>46156.002083333333</v>
      </c>
      <c r="E1322" s="2">
        <f t="shared" si="20"/>
        <v>55.793749999989814</v>
      </c>
    </row>
    <row r="1323" spans="1:5" x14ac:dyDescent="0.25">
      <c r="A1323" t="s">
        <v>12</v>
      </c>
      <c r="B1323" t="s">
        <v>13</v>
      </c>
      <c r="C1323" s="1">
        <v>46027.166666666657</v>
      </c>
      <c r="D1323" s="1">
        <v>46087.020833333343</v>
      </c>
      <c r="E1323" s="2">
        <f t="shared" si="20"/>
        <v>59.854166666686069</v>
      </c>
    </row>
    <row r="1324" spans="1:5" x14ac:dyDescent="0.25">
      <c r="A1324" t="s">
        <v>27</v>
      </c>
      <c r="B1324" t="s">
        <v>18</v>
      </c>
      <c r="C1324" s="1">
        <v>45806.245833333327</v>
      </c>
      <c r="D1324" s="1">
        <v>45869.003472222219</v>
      </c>
      <c r="E1324" s="2">
        <f t="shared" si="20"/>
        <v>62.757638888891961</v>
      </c>
    </row>
    <row r="1325" spans="1:5" x14ac:dyDescent="0.25">
      <c r="A1325" t="s">
        <v>6</v>
      </c>
      <c r="B1325" t="s">
        <v>8</v>
      </c>
      <c r="C1325" s="1">
        <v>45726.833333333343</v>
      </c>
      <c r="D1325" s="1">
        <v>45777</v>
      </c>
      <c r="E1325" s="2">
        <f t="shared" si="20"/>
        <v>50.166666666656965</v>
      </c>
    </row>
    <row r="1326" spans="1:5" x14ac:dyDescent="0.25">
      <c r="A1326" t="s">
        <v>12</v>
      </c>
      <c r="B1326" t="s">
        <v>13</v>
      </c>
      <c r="C1326" s="1">
        <v>46000.875</v>
      </c>
      <c r="D1326" s="1">
        <v>46045.625</v>
      </c>
      <c r="E1326" s="2">
        <f t="shared" si="20"/>
        <v>44.75</v>
      </c>
    </row>
    <row r="1327" spans="1:5" x14ac:dyDescent="0.25">
      <c r="A1327" t="s">
        <v>23</v>
      </c>
      <c r="B1327" t="s">
        <v>18</v>
      </c>
      <c r="C1327" s="1">
        <v>46041.916666666657</v>
      </c>
      <c r="D1327" s="1">
        <v>46087.666666666657</v>
      </c>
      <c r="E1327" s="2">
        <f t="shared" si="20"/>
        <v>45.75</v>
      </c>
    </row>
    <row r="1328" spans="1:5" x14ac:dyDescent="0.25">
      <c r="A1328" t="s">
        <v>6</v>
      </c>
      <c r="B1328" t="s">
        <v>8</v>
      </c>
      <c r="C1328" s="1">
        <v>45755.96875</v>
      </c>
      <c r="D1328" s="1">
        <v>45799.242361111108</v>
      </c>
      <c r="E1328" s="2">
        <f t="shared" si="20"/>
        <v>43.273611111108039</v>
      </c>
    </row>
    <row r="1329" spans="1:5" x14ac:dyDescent="0.25">
      <c r="A1329" t="s">
        <v>13</v>
      </c>
      <c r="B1329" t="s">
        <v>8</v>
      </c>
      <c r="C1329" s="1">
        <v>45708.916666666657</v>
      </c>
      <c r="D1329" s="1">
        <v>45733.46875</v>
      </c>
      <c r="E1329" s="2">
        <f t="shared" si="20"/>
        <v>24.552083333343035</v>
      </c>
    </row>
    <row r="1330" spans="1:5" x14ac:dyDescent="0.25">
      <c r="A1330" t="s">
        <v>8</v>
      </c>
      <c r="B1330" t="s">
        <v>13</v>
      </c>
      <c r="C1330" s="1">
        <v>45750</v>
      </c>
      <c r="D1330" s="1">
        <v>45787</v>
      </c>
      <c r="E1330" s="2">
        <f t="shared" si="20"/>
        <v>37</v>
      </c>
    </row>
    <row r="1331" spans="1:5" x14ac:dyDescent="0.25">
      <c r="A1331" t="s">
        <v>15</v>
      </c>
      <c r="B1331" t="s">
        <v>6</v>
      </c>
      <c r="C1331" s="1">
        <v>45760.34375</v>
      </c>
      <c r="D1331" s="1">
        <v>45823.4375</v>
      </c>
      <c r="E1331" s="2">
        <f t="shared" si="20"/>
        <v>63.09375</v>
      </c>
    </row>
    <row r="1332" spans="1:5" x14ac:dyDescent="0.25">
      <c r="A1332" t="s">
        <v>27</v>
      </c>
      <c r="B1332" t="s">
        <v>20</v>
      </c>
      <c r="C1332" s="1">
        <v>45748.5625</v>
      </c>
      <c r="D1332" s="1">
        <v>45813.379166666673</v>
      </c>
      <c r="E1332" s="2">
        <f t="shared" si="20"/>
        <v>64.816666666672972</v>
      </c>
    </row>
    <row r="1333" spans="1:5" x14ac:dyDescent="0.25">
      <c r="A1333" t="s">
        <v>10</v>
      </c>
      <c r="B1333" t="s">
        <v>8</v>
      </c>
      <c r="C1333" s="1">
        <v>46196.748611111107</v>
      </c>
      <c r="D1333" s="1">
        <v>46215.517361111109</v>
      </c>
      <c r="E1333" s="2">
        <f t="shared" si="20"/>
        <v>18.76875000000291</v>
      </c>
    </row>
    <row r="1334" spans="1:5" x14ac:dyDescent="0.25">
      <c r="A1334" t="s">
        <v>12</v>
      </c>
      <c r="B1334" t="s">
        <v>13</v>
      </c>
      <c r="C1334" s="1">
        <v>46057.875</v>
      </c>
      <c r="D1334" s="1">
        <v>46102.833333333343</v>
      </c>
      <c r="E1334" s="2">
        <f t="shared" si="20"/>
        <v>44.958333333343035</v>
      </c>
    </row>
    <row r="1335" spans="1:5" x14ac:dyDescent="0.25">
      <c r="A1335" t="s">
        <v>8</v>
      </c>
      <c r="B1335" t="s">
        <v>18</v>
      </c>
      <c r="C1335" s="1">
        <v>46212.760416666657</v>
      </c>
      <c r="D1335" s="1">
        <v>46269.7</v>
      </c>
      <c r="E1335" s="2">
        <f t="shared" si="20"/>
        <v>56.939583333340124</v>
      </c>
    </row>
    <row r="1336" spans="1:5" x14ac:dyDescent="0.25">
      <c r="A1336" t="s">
        <v>27</v>
      </c>
      <c r="B1336" t="s">
        <v>18</v>
      </c>
      <c r="C1336" s="1">
        <v>45946.25</v>
      </c>
      <c r="D1336" s="1">
        <v>46000.76666666667</v>
      </c>
      <c r="E1336" s="2">
        <f t="shared" si="20"/>
        <v>54.516666666670062</v>
      </c>
    </row>
    <row r="1337" spans="1:5" x14ac:dyDescent="0.25">
      <c r="A1337" t="s">
        <v>12</v>
      </c>
      <c r="B1337" t="s">
        <v>18</v>
      </c>
      <c r="C1337" s="1">
        <v>45767.413194444453</v>
      </c>
      <c r="D1337" s="1">
        <v>45832.666666666657</v>
      </c>
      <c r="E1337" s="2">
        <f t="shared" si="20"/>
        <v>65.253472222204437</v>
      </c>
    </row>
    <row r="1338" spans="1:5" x14ac:dyDescent="0.25">
      <c r="A1338" t="s">
        <v>15</v>
      </c>
      <c r="B1338" t="s">
        <v>18</v>
      </c>
      <c r="C1338" s="1">
        <v>45844.833333333343</v>
      </c>
      <c r="D1338" s="1">
        <v>45897.833333333343</v>
      </c>
      <c r="E1338" s="2">
        <f t="shared" si="20"/>
        <v>53</v>
      </c>
    </row>
    <row r="1339" spans="1:5" x14ac:dyDescent="0.25">
      <c r="A1339" t="s">
        <v>8</v>
      </c>
      <c r="B1339" t="s">
        <v>5</v>
      </c>
      <c r="C1339" s="1">
        <v>45780.583333333343</v>
      </c>
      <c r="D1339" s="1">
        <v>45826.125</v>
      </c>
      <c r="E1339" s="2">
        <f t="shared" si="20"/>
        <v>45.541666666656965</v>
      </c>
    </row>
    <row r="1340" spans="1:5" x14ac:dyDescent="0.25">
      <c r="A1340" t="s">
        <v>13</v>
      </c>
      <c r="B1340" t="s">
        <v>8</v>
      </c>
      <c r="C1340" s="1">
        <v>45734.956944444442</v>
      </c>
      <c r="D1340" s="1">
        <v>45761</v>
      </c>
      <c r="E1340" s="2">
        <f t="shared" si="20"/>
        <v>26.043055555557657</v>
      </c>
    </row>
    <row r="1341" spans="1:5" x14ac:dyDescent="0.25">
      <c r="A1341" t="s">
        <v>27</v>
      </c>
      <c r="B1341" t="s">
        <v>8</v>
      </c>
      <c r="C1341" s="1">
        <v>45938.5</v>
      </c>
      <c r="D1341" s="1">
        <v>46012.270833333343</v>
      </c>
      <c r="E1341" s="2">
        <f t="shared" si="20"/>
        <v>73.770833333343035</v>
      </c>
    </row>
    <row r="1342" spans="1:5" x14ac:dyDescent="0.25">
      <c r="A1342" t="s">
        <v>12</v>
      </c>
      <c r="B1342" t="s">
        <v>18</v>
      </c>
      <c r="C1342" s="1">
        <v>45845.878472222219</v>
      </c>
      <c r="D1342" s="1">
        <v>45909.30972222222</v>
      </c>
      <c r="E1342" s="2">
        <f t="shared" si="20"/>
        <v>63.431250000001455</v>
      </c>
    </row>
    <row r="1343" spans="1:5" x14ac:dyDescent="0.25">
      <c r="A1343" t="s">
        <v>7</v>
      </c>
      <c r="B1343" t="s">
        <v>13</v>
      </c>
      <c r="C1343" s="1">
        <v>46086.833333333343</v>
      </c>
      <c r="D1343" s="1">
        <v>46134.854166666657</v>
      </c>
      <c r="E1343" s="2">
        <f t="shared" si="20"/>
        <v>48.020833333313931</v>
      </c>
    </row>
    <row r="1344" spans="1:5" x14ac:dyDescent="0.25">
      <c r="A1344" t="s">
        <v>7</v>
      </c>
      <c r="B1344" t="s">
        <v>13</v>
      </c>
      <c r="C1344" s="1">
        <v>45981.0625</v>
      </c>
      <c r="D1344" s="1">
        <v>46031.833333333343</v>
      </c>
      <c r="E1344" s="2">
        <f t="shared" si="20"/>
        <v>50.770833333343035</v>
      </c>
    </row>
    <row r="1345" spans="1:5" x14ac:dyDescent="0.25">
      <c r="A1345" t="s">
        <v>28</v>
      </c>
      <c r="B1345" t="s">
        <v>8</v>
      </c>
      <c r="C1345" s="1">
        <v>45824.886111111111</v>
      </c>
      <c r="D1345" s="1">
        <v>45884</v>
      </c>
      <c r="E1345" s="2">
        <f t="shared" si="20"/>
        <v>59.113888888889051</v>
      </c>
    </row>
    <row r="1346" spans="1:5" x14ac:dyDescent="0.25">
      <c r="A1346" t="s">
        <v>8</v>
      </c>
      <c r="B1346" t="s">
        <v>6</v>
      </c>
      <c r="C1346" s="1">
        <v>46186.24722222222</v>
      </c>
      <c r="D1346" s="1">
        <v>46229.474999999999</v>
      </c>
      <c r="E1346" s="2">
        <f t="shared" ref="E1346:E1409" si="21">D1346-C1346</f>
        <v>43.227777777778101</v>
      </c>
    </row>
    <row r="1347" spans="1:5" x14ac:dyDescent="0.25">
      <c r="A1347" t="s">
        <v>28</v>
      </c>
      <c r="B1347" t="s">
        <v>18</v>
      </c>
      <c r="C1347" s="1">
        <v>45824.886111111111</v>
      </c>
      <c r="D1347" s="1">
        <v>45891</v>
      </c>
      <c r="E1347" s="2">
        <f t="shared" si="21"/>
        <v>66.113888888889051</v>
      </c>
    </row>
    <row r="1348" spans="1:5" x14ac:dyDescent="0.25">
      <c r="A1348" t="s">
        <v>14</v>
      </c>
      <c r="B1348" t="s">
        <v>22</v>
      </c>
      <c r="C1348" s="1">
        <v>45813.991666666669</v>
      </c>
      <c r="D1348" s="1">
        <v>45872.091666666667</v>
      </c>
      <c r="E1348" s="2">
        <f t="shared" si="21"/>
        <v>58.099999999998545</v>
      </c>
    </row>
    <row r="1349" spans="1:5" x14ac:dyDescent="0.25">
      <c r="A1349" t="s">
        <v>20</v>
      </c>
      <c r="B1349" t="s">
        <v>8</v>
      </c>
      <c r="C1349" s="1">
        <v>45887.712500000001</v>
      </c>
      <c r="D1349" s="1">
        <v>45925.07916666667</v>
      </c>
      <c r="E1349" s="2">
        <f t="shared" si="21"/>
        <v>37.366666666668607</v>
      </c>
    </row>
    <row r="1350" spans="1:5" x14ac:dyDescent="0.25">
      <c r="A1350" t="s">
        <v>27</v>
      </c>
      <c r="B1350" t="s">
        <v>20</v>
      </c>
      <c r="C1350" s="1">
        <v>45690.995833333327</v>
      </c>
      <c r="D1350" s="1">
        <v>45763</v>
      </c>
      <c r="E1350" s="2">
        <f t="shared" si="21"/>
        <v>72.004166666672972</v>
      </c>
    </row>
    <row r="1351" spans="1:5" x14ac:dyDescent="0.25">
      <c r="A1351" t="s">
        <v>12</v>
      </c>
      <c r="B1351" t="s">
        <v>18</v>
      </c>
      <c r="C1351" s="1">
        <v>45879.081944444442</v>
      </c>
      <c r="D1351" s="1">
        <v>45948.833333333343</v>
      </c>
      <c r="E1351" s="2">
        <f t="shared" si="21"/>
        <v>69.751388888900692</v>
      </c>
    </row>
    <row r="1352" spans="1:5" x14ac:dyDescent="0.25">
      <c r="A1352" t="s">
        <v>8</v>
      </c>
      <c r="B1352" t="s">
        <v>5</v>
      </c>
      <c r="C1352" s="1">
        <v>45780.583333333343</v>
      </c>
      <c r="D1352" s="1">
        <v>45826.125</v>
      </c>
      <c r="E1352" s="2">
        <f t="shared" si="21"/>
        <v>45.541666666656965</v>
      </c>
    </row>
    <row r="1353" spans="1:5" x14ac:dyDescent="0.25">
      <c r="A1353" t="s">
        <v>12</v>
      </c>
      <c r="B1353" t="s">
        <v>13</v>
      </c>
      <c r="C1353" s="1">
        <v>45706.166666666657</v>
      </c>
      <c r="D1353" s="1">
        <v>45749.17083333333</v>
      </c>
      <c r="E1353" s="2">
        <f t="shared" si="21"/>
        <v>43.004166666672972</v>
      </c>
    </row>
    <row r="1354" spans="1:5" x14ac:dyDescent="0.25">
      <c r="A1354" t="s">
        <v>13</v>
      </c>
      <c r="B1354" t="s">
        <v>8</v>
      </c>
      <c r="C1354" s="1">
        <v>46083.459027777782</v>
      </c>
      <c r="D1354" s="1">
        <v>46107.035416666673</v>
      </c>
      <c r="E1354" s="2">
        <f t="shared" si="21"/>
        <v>23.576388888890506</v>
      </c>
    </row>
    <row r="1355" spans="1:5" x14ac:dyDescent="0.25">
      <c r="A1355" t="s">
        <v>26</v>
      </c>
      <c r="B1355" t="s">
        <v>21</v>
      </c>
      <c r="C1355" s="1">
        <v>45989.570833333331</v>
      </c>
      <c r="D1355" s="1">
        <v>46030.368055555547</v>
      </c>
      <c r="E1355" s="2">
        <f t="shared" si="21"/>
        <v>40.797222222216078</v>
      </c>
    </row>
    <row r="1356" spans="1:5" x14ac:dyDescent="0.25">
      <c r="A1356" t="s">
        <v>18</v>
      </c>
      <c r="B1356" t="s">
        <v>27</v>
      </c>
      <c r="C1356" s="1">
        <v>46095.563888888893</v>
      </c>
      <c r="D1356" s="1">
        <v>46184.308333333327</v>
      </c>
      <c r="E1356" s="2">
        <f t="shared" si="21"/>
        <v>88.744444444433611</v>
      </c>
    </row>
    <row r="1357" spans="1:5" x14ac:dyDescent="0.25">
      <c r="A1357" t="s">
        <v>12</v>
      </c>
      <c r="B1357" t="s">
        <v>8</v>
      </c>
      <c r="C1357" s="1">
        <v>45915.885416666657</v>
      </c>
      <c r="D1357" s="1">
        <v>45977</v>
      </c>
      <c r="E1357" s="2">
        <f t="shared" si="21"/>
        <v>61.114583333343035</v>
      </c>
    </row>
    <row r="1358" spans="1:5" x14ac:dyDescent="0.25">
      <c r="A1358" t="s">
        <v>6</v>
      </c>
      <c r="B1358" t="s">
        <v>8</v>
      </c>
      <c r="C1358" s="1">
        <v>45917.662499999999</v>
      </c>
      <c r="D1358" s="1">
        <v>45966.770833333343</v>
      </c>
      <c r="E1358" s="2">
        <f t="shared" si="21"/>
        <v>49.10833333334449</v>
      </c>
    </row>
    <row r="1359" spans="1:5" x14ac:dyDescent="0.25">
      <c r="A1359" t="s">
        <v>27</v>
      </c>
      <c r="B1359" t="s">
        <v>8</v>
      </c>
      <c r="C1359" s="1">
        <v>45793.60833333333</v>
      </c>
      <c r="D1359" s="1">
        <v>45844.163194444453</v>
      </c>
      <c r="E1359" s="2">
        <f t="shared" si="21"/>
        <v>50.554861111122591</v>
      </c>
    </row>
    <row r="1360" spans="1:5" x14ac:dyDescent="0.25">
      <c r="A1360" t="s">
        <v>23</v>
      </c>
      <c r="B1360" t="s">
        <v>19</v>
      </c>
      <c r="C1360" s="1">
        <v>45792.591666666667</v>
      </c>
      <c r="D1360" s="1">
        <v>45827.607638888891</v>
      </c>
      <c r="E1360" s="2">
        <f t="shared" si="21"/>
        <v>35.015972222223354</v>
      </c>
    </row>
    <row r="1361" spans="1:5" x14ac:dyDescent="0.25">
      <c r="A1361" t="s">
        <v>15</v>
      </c>
      <c r="B1361" t="s">
        <v>13</v>
      </c>
      <c r="C1361" s="1">
        <v>46067.720833333333</v>
      </c>
      <c r="D1361" s="1">
        <v>46112.793055555558</v>
      </c>
      <c r="E1361" s="2">
        <f t="shared" si="21"/>
        <v>45.072222222224809</v>
      </c>
    </row>
    <row r="1362" spans="1:5" x14ac:dyDescent="0.25">
      <c r="A1362" t="s">
        <v>15</v>
      </c>
      <c r="B1362" t="s">
        <v>19</v>
      </c>
      <c r="C1362" s="1">
        <v>46202.508333333331</v>
      </c>
      <c r="D1362" s="1">
        <v>46238.121481481481</v>
      </c>
      <c r="E1362" s="2">
        <f t="shared" si="21"/>
        <v>35.613148148149776</v>
      </c>
    </row>
    <row r="1363" spans="1:5" x14ac:dyDescent="0.25">
      <c r="A1363" t="s">
        <v>15</v>
      </c>
      <c r="B1363" t="s">
        <v>8</v>
      </c>
      <c r="C1363" s="1">
        <v>45711.422222222223</v>
      </c>
      <c r="D1363" s="1">
        <v>45747.796527777777</v>
      </c>
      <c r="E1363" s="2">
        <f t="shared" si="21"/>
        <v>36.374305555553292</v>
      </c>
    </row>
    <row r="1364" spans="1:5" x14ac:dyDescent="0.25">
      <c r="A1364" t="s">
        <v>15</v>
      </c>
      <c r="B1364" t="s">
        <v>8</v>
      </c>
      <c r="C1364" s="1">
        <v>45954.459722222222</v>
      </c>
      <c r="D1364" s="1">
        <v>45991.530555555553</v>
      </c>
      <c r="E1364" s="2">
        <f t="shared" si="21"/>
        <v>37.070833333331393</v>
      </c>
    </row>
    <row r="1365" spans="1:5" x14ac:dyDescent="0.25">
      <c r="A1365" t="s">
        <v>15</v>
      </c>
      <c r="B1365" t="s">
        <v>20</v>
      </c>
      <c r="C1365" s="1">
        <v>46198.806944444441</v>
      </c>
      <c r="D1365" s="1">
        <v>46258.07916666667</v>
      </c>
      <c r="E1365" s="2">
        <f t="shared" si="21"/>
        <v>59.272222222229175</v>
      </c>
    </row>
    <row r="1366" spans="1:5" x14ac:dyDescent="0.25">
      <c r="A1366" t="s">
        <v>15</v>
      </c>
      <c r="B1366" t="s">
        <v>8</v>
      </c>
      <c r="C1366" s="1">
        <v>45944.345833333333</v>
      </c>
      <c r="D1366" s="1">
        <v>45991</v>
      </c>
      <c r="E1366" s="2">
        <f t="shared" si="21"/>
        <v>46.654166666667152</v>
      </c>
    </row>
    <row r="1367" spans="1:5" x14ac:dyDescent="0.25">
      <c r="A1367" t="s">
        <v>15</v>
      </c>
      <c r="B1367" t="s">
        <v>8</v>
      </c>
      <c r="C1367" s="1">
        <v>45807.635416666657</v>
      </c>
      <c r="D1367" s="1">
        <v>45858.363888888889</v>
      </c>
      <c r="E1367" s="2">
        <f t="shared" si="21"/>
        <v>50.728472222232085</v>
      </c>
    </row>
    <row r="1368" spans="1:5" x14ac:dyDescent="0.25">
      <c r="A1368" t="s">
        <v>15</v>
      </c>
      <c r="B1368" t="s">
        <v>16</v>
      </c>
      <c r="C1368" s="1">
        <v>46061.844444444447</v>
      </c>
      <c r="D1368" s="1">
        <v>46081.958333333343</v>
      </c>
      <c r="E1368" s="2">
        <f t="shared" si="21"/>
        <v>20.113888888896327</v>
      </c>
    </row>
    <row r="1369" spans="1:5" x14ac:dyDescent="0.25">
      <c r="A1369" t="s">
        <v>15</v>
      </c>
      <c r="B1369" t="s">
        <v>8</v>
      </c>
      <c r="C1369" s="1">
        <v>45954.459722222222</v>
      </c>
      <c r="D1369" s="1">
        <v>45991.530555555553</v>
      </c>
      <c r="E1369" s="2">
        <f t="shared" si="21"/>
        <v>37.070833333331393</v>
      </c>
    </row>
    <row r="1370" spans="1:5" x14ac:dyDescent="0.25">
      <c r="A1370" t="s">
        <v>15</v>
      </c>
      <c r="B1370" t="s">
        <v>8</v>
      </c>
      <c r="C1370" s="1">
        <v>46091.946527777778</v>
      </c>
      <c r="D1370" s="1">
        <v>46131.400694444441</v>
      </c>
      <c r="E1370" s="2">
        <f t="shared" si="21"/>
        <v>39.454166666662786</v>
      </c>
    </row>
    <row r="1371" spans="1:5" x14ac:dyDescent="0.25">
      <c r="A1371" t="s">
        <v>15</v>
      </c>
      <c r="B1371" t="s">
        <v>8</v>
      </c>
      <c r="C1371" s="1">
        <v>45938.196527777778</v>
      </c>
      <c r="D1371" s="1">
        <v>45993</v>
      </c>
      <c r="E1371" s="2">
        <f t="shared" si="21"/>
        <v>54.803472222221899</v>
      </c>
    </row>
    <row r="1372" spans="1:5" x14ac:dyDescent="0.25">
      <c r="A1372" t="s">
        <v>15</v>
      </c>
      <c r="B1372" t="s">
        <v>8</v>
      </c>
      <c r="C1372" s="1">
        <v>45702</v>
      </c>
      <c r="D1372" s="1">
        <v>45738.364583333343</v>
      </c>
      <c r="E1372" s="2">
        <f t="shared" si="21"/>
        <v>36.364583333343035</v>
      </c>
    </row>
    <row r="1373" spans="1:5" x14ac:dyDescent="0.25">
      <c r="A1373" t="s">
        <v>15</v>
      </c>
      <c r="B1373" t="s">
        <v>8</v>
      </c>
      <c r="C1373" s="1">
        <v>45680.654166666667</v>
      </c>
      <c r="D1373" s="1">
        <v>45724.601388888892</v>
      </c>
      <c r="E1373" s="2">
        <f t="shared" si="21"/>
        <v>43.947222222224809</v>
      </c>
    </row>
    <row r="1374" spans="1:5" x14ac:dyDescent="0.25">
      <c r="A1374" t="s">
        <v>15</v>
      </c>
      <c r="B1374" t="s">
        <v>8</v>
      </c>
      <c r="C1374" s="1">
        <v>45944.345833333333</v>
      </c>
      <c r="D1374" s="1">
        <v>45991</v>
      </c>
      <c r="E1374" s="2">
        <f t="shared" si="21"/>
        <v>46.654166666667152</v>
      </c>
    </row>
    <row r="1375" spans="1:5" x14ac:dyDescent="0.25">
      <c r="A1375" t="s">
        <v>15</v>
      </c>
      <c r="B1375" t="s">
        <v>20</v>
      </c>
      <c r="C1375" s="1">
        <v>46198.806944444441</v>
      </c>
      <c r="D1375" s="1">
        <v>46258.07916666667</v>
      </c>
      <c r="E1375" s="2">
        <f t="shared" si="21"/>
        <v>59.272222222229175</v>
      </c>
    </row>
    <row r="1376" spans="1:5" x14ac:dyDescent="0.25">
      <c r="A1376" t="s">
        <v>27</v>
      </c>
      <c r="B1376" t="s">
        <v>8</v>
      </c>
      <c r="C1376" s="1">
        <v>45845.912499999999</v>
      </c>
      <c r="D1376" s="1">
        <v>45895.685416666667</v>
      </c>
      <c r="E1376" s="2">
        <f t="shared" si="21"/>
        <v>49.772916666668607</v>
      </c>
    </row>
    <row r="1377" spans="1:5" x14ac:dyDescent="0.25">
      <c r="A1377" t="s">
        <v>15</v>
      </c>
      <c r="B1377" t="s">
        <v>13</v>
      </c>
      <c r="C1377" s="1">
        <v>45683</v>
      </c>
      <c r="D1377" s="1">
        <v>45723.27847222222</v>
      </c>
      <c r="E1377" s="2">
        <f t="shared" si="21"/>
        <v>40.278472222220444</v>
      </c>
    </row>
    <row r="1378" spans="1:5" x14ac:dyDescent="0.25">
      <c r="A1378" t="s">
        <v>12</v>
      </c>
      <c r="B1378" t="s">
        <v>13</v>
      </c>
      <c r="C1378" s="1">
        <v>45981.336111111108</v>
      </c>
      <c r="D1378" s="1">
        <v>46035.51666666667</v>
      </c>
      <c r="E1378" s="2">
        <f t="shared" si="21"/>
        <v>54.180555555562023</v>
      </c>
    </row>
    <row r="1379" spans="1:5" x14ac:dyDescent="0.25">
      <c r="A1379" t="s">
        <v>23</v>
      </c>
      <c r="B1379" t="s">
        <v>18</v>
      </c>
      <c r="C1379" s="1">
        <v>45933.418055555558</v>
      </c>
      <c r="D1379" s="1">
        <v>45986.619444444441</v>
      </c>
      <c r="E1379" s="2">
        <f t="shared" si="21"/>
        <v>53.20138888888323</v>
      </c>
    </row>
    <row r="1380" spans="1:5" x14ac:dyDescent="0.25">
      <c r="A1380" t="s">
        <v>13</v>
      </c>
      <c r="B1380" t="s">
        <v>8</v>
      </c>
      <c r="C1380" s="1">
        <v>45684.566666666673</v>
      </c>
      <c r="D1380" s="1">
        <v>45705.824999999997</v>
      </c>
      <c r="E1380" s="2">
        <f t="shared" si="21"/>
        <v>21.258333333324117</v>
      </c>
    </row>
    <row r="1381" spans="1:5" x14ac:dyDescent="0.25">
      <c r="A1381" t="s">
        <v>19</v>
      </c>
      <c r="B1381" t="s">
        <v>8</v>
      </c>
      <c r="C1381" s="1">
        <v>46070.881944444453</v>
      </c>
      <c r="D1381" s="1">
        <v>46098.163194444453</v>
      </c>
      <c r="E1381" s="2">
        <f t="shared" si="21"/>
        <v>27.28125</v>
      </c>
    </row>
    <row r="1382" spans="1:5" x14ac:dyDescent="0.25">
      <c r="A1382" t="s">
        <v>27</v>
      </c>
      <c r="B1382" t="s">
        <v>18</v>
      </c>
      <c r="C1382" s="1">
        <v>45850.216666666667</v>
      </c>
      <c r="D1382" s="1">
        <v>45909.30972222222</v>
      </c>
      <c r="E1382" s="2">
        <f t="shared" si="21"/>
        <v>59.093055555553292</v>
      </c>
    </row>
    <row r="1383" spans="1:5" x14ac:dyDescent="0.25">
      <c r="A1383" t="s">
        <v>14</v>
      </c>
      <c r="B1383" t="s">
        <v>22</v>
      </c>
      <c r="C1383" s="1">
        <v>45932.0625</v>
      </c>
      <c r="D1383" s="1">
        <v>46039.09097222222</v>
      </c>
      <c r="E1383" s="2">
        <f t="shared" si="21"/>
        <v>107.02847222222044</v>
      </c>
    </row>
    <row r="1384" spans="1:5" x14ac:dyDescent="0.25">
      <c r="A1384" t="s">
        <v>12</v>
      </c>
      <c r="B1384" t="s">
        <v>13</v>
      </c>
      <c r="C1384" s="1">
        <v>46036.183333333327</v>
      </c>
      <c r="D1384" s="1">
        <v>46079.787499999999</v>
      </c>
      <c r="E1384" s="2">
        <f t="shared" si="21"/>
        <v>43.604166666671517</v>
      </c>
    </row>
    <row r="1385" spans="1:5" x14ac:dyDescent="0.25">
      <c r="A1385" t="s">
        <v>10</v>
      </c>
      <c r="B1385" t="s">
        <v>8</v>
      </c>
      <c r="C1385" s="1">
        <v>46129.761111111111</v>
      </c>
      <c r="D1385" s="1">
        <v>46146.574305555558</v>
      </c>
      <c r="E1385" s="2">
        <f t="shared" si="21"/>
        <v>16.813194444446708</v>
      </c>
    </row>
    <row r="1386" spans="1:5" x14ac:dyDescent="0.25">
      <c r="A1386" t="s">
        <v>8</v>
      </c>
      <c r="B1386" t="s">
        <v>6</v>
      </c>
      <c r="C1386" s="1">
        <v>46186.24722222222</v>
      </c>
      <c r="D1386" s="1">
        <v>46229.474999999999</v>
      </c>
      <c r="E1386" s="2">
        <f t="shared" si="21"/>
        <v>43.227777777778101</v>
      </c>
    </row>
    <row r="1387" spans="1:5" x14ac:dyDescent="0.25">
      <c r="A1387" t="s">
        <v>15</v>
      </c>
      <c r="B1387" t="s">
        <v>13</v>
      </c>
      <c r="C1387" s="1">
        <v>46185.171527777777</v>
      </c>
      <c r="D1387" s="1">
        <v>46221.126388888893</v>
      </c>
      <c r="E1387" s="2">
        <f t="shared" si="21"/>
        <v>35.95486111111677</v>
      </c>
    </row>
    <row r="1388" spans="1:5" x14ac:dyDescent="0.25">
      <c r="A1388" t="s">
        <v>9</v>
      </c>
      <c r="B1388" t="s">
        <v>8</v>
      </c>
      <c r="C1388" s="1">
        <v>45707.616666666669</v>
      </c>
      <c r="D1388" s="1">
        <v>45759.598611111112</v>
      </c>
      <c r="E1388" s="2">
        <f t="shared" si="21"/>
        <v>51.981944444443798</v>
      </c>
    </row>
    <row r="1389" spans="1:5" x14ac:dyDescent="0.25">
      <c r="A1389" t="s">
        <v>8</v>
      </c>
      <c r="B1389" t="s">
        <v>18</v>
      </c>
      <c r="C1389" s="1">
        <v>46199.770833333343</v>
      </c>
      <c r="D1389" s="1">
        <v>46241.870833333327</v>
      </c>
      <c r="E1389" s="2">
        <f t="shared" si="21"/>
        <v>42.099999999983993</v>
      </c>
    </row>
    <row r="1390" spans="1:5" x14ac:dyDescent="0.25">
      <c r="A1390" t="s">
        <v>23</v>
      </c>
      <c r="B1390" t="s">
        <v>18</v>
      </c>
      <c r="C1390" s="1">
        <v>46090.923611111109</v>
      </c>
      <c r="D1390" s="1">
        <v>46143.875</v>
      </c>
      <c r="E1390" s="2">
        <f t="shared" si="21"/>
        <v>52.951388888890506</v>
      </c>
    </row>
    <row r="1391" spans="1:5" x14ac:dyDescent="0.25">
      <c r="A1391" t="s">
        <v>12</v>
      </c>
      <c r="B1391" t="s">
        <v>13</v>
      </c>
      <c r="C1391" s="1">
        <v>46036.183333333327</v>
      </c>
      <c r="D1391" s="1">
        <v>46079.787499999999</v>
      </c>
      <c r="E1391" s="2">
        <f t="shared" si="21"/>
        <v>43.604166666671517</v>
      </c>
    </row>
    <row r="1392" spans="1:5" x14ac:dyDescent="0.25">
      <c r="A1392" t="s">
        <v>23</v>
      </c>
      <c r="B1392" t="s">
        <v>18</v>
      </c>
      <c r="C1392" s="1">
        <v>45924.116666666669</v>
      </c>
      <c r="D1392" s="1">
        <v>45970.963194444441</v>
      </c>
      <c r="E1392" s="2">
        <f t="shared" si="21"/>
        <v>46.84652777777228</v>
      </c>
    </row>
    <row r="1393" spans="1:5" x14ac:dyDescent="0.25">
      <c r="A1393" t="s">
        <v>19</v>
      </c>
      <c r="B1393" t="s">
        <v>8</v>
      </c>
      <c r="C1393" s="1">
        <v>45675.677083333343</v>
      </c>
      <c r="D1393" s="1">
        <v>45705.824999999997</v>
      </c>
      <c r="E1393" s="2">
        <f t="shared" si="21"/>
        <v>30.147916666654055</v>
      </c>
    </row>
    <row r="1394" spans="1:5" x14ac:dyDescent="0.25">
      <c r="A1394" t="s">
        <v>15</v>
      </c>
      <c r="B1394" t="s">
        <v>18</v>
      </c>
      <c r="C1394" s="1">
        <v>46000.75</v>
      </c>
      <c r="D1394" s="1">
        <v>46050.520833333343</v>
      </c>
      <c r="E1394" s="2">
        <f t="shared" si="21"/>
        <v>49.770833333343035</v>
      </c>
    </row>
    <row r="1395" spans="1:5" x14ac:dyDescent="0.25">
      <c r="A1395" t="s">
        <v>17</v>
      </c>
      <c r="B1395" t="s">
        <v>18</v>
      </c>
      <c r="C1395" s="1">
        <v>45723.791666666657</v>
      </c>
      <c r="D1395" s="1">
        <v>45777</v>
      </c>
      <c r="E1395" s="2">
        <f t="shared" si="21"/>
        <v>53.208333333343035</v>
      </c>
    </row>
    <row r="1396" spans="1:5" x14ac:dyDescent="0.25">
      <c r="A1396" t="s">
        <v>27</v>
      </c>
      <c r="B1396" t="s">
        <v>20</v>
      </c>
      <c r="C1396" s="1">
        <v>45732.020833333343</v>
      </c>
      <c r="D1396" s="1">
        <v>45803.364583333343</v>
      </c>
      <c r="E1396" s="2">
        <f t="shared" si="21"/>
        <v>71.34375</v>
      </c>
    </row>
    <row r="1397" spans="1:5" x14ac:dyDescent="0.25">
      <c r="A1397" t="s">
        <v>8</v>
      </c>
      <c r="B1397" t="s">
        <v>5</v>
      </c>
      <c r="C1397" s="1">
        <v>45761.222222222219</v>
      </c>
      <c r="D1397" s="1">
        <v>45796.416666666657</v>
      </c>
      <c r="E1397" s="2">
        <f t="shared" si="21"/>
        <v>35.194444444437977</v>
      </c>
    </row>
    <row r="1398" spans="1:5" x14ac:dyDescent="0.25">
      <c r="A1398" t="s">
        <v>12</v>
      </c>
      <c r="B1398" t="s">
        <v>18</v>
      </c>
      <c r="C1398" s="1">
        <v>45667.296527777777</v>
      </c>
      <c r="D1398" s="1">
        <v>45727.680555555547</v>
      </c>
      <c r="E1398" s="2">
        <f t="shared" si="21"/>
        <v>60.384027777770825</v>
      </c>
    </row>
    <row r="1399" spans="1:5" x14ac:dyDescent="0.25">
      <c r="A1399" t="s">
        <v>23</v>
      </c>
      <c r="B1399" t="s">
        <v>18</v>
      </c>
      <c r="C1399" s="1">
        <v>46071.378472222219</v>
      </c>
      <c r="D1399" s="1">
        <v>46119.064583333333</v>
      </c>
      <c r="E1399" s="2">
        <f t="shared" si="21"/>
        <v>47.68611111111386</v>
      </c>
    </row>
    <row r="1400" spans="1:5" x14ac:dyDescent="0.25">
      <c r="A1400" t="s">
        <v>9</v>
      </c>
      <c r="B1400" t="s">
        <v>8</v>
      </c>
      <c r="C1400" s="1">
        <v>45665.258333333331</v>
      </c>
      <c r="D1400" s="1">
        <v>45712.459722222222</v>
      </c>
      <c r="E1400" s="2">
        <f t="shared" si="21"/>
        <v>47.201388888890506</v>
      </c>
    </row>
    <row r="1401" spans="1:5" x14ac:dyDescent="0.25">
      <c r="A1401" t="s">
        <v>16</v>
      </c>
      <c r="B1401" t="s">
        <v>13</v>
      </c>
      <c r="C1401" s="1">
        <v>45674.50277777778</v>
      </c>
      <c r="D1401" s="1">
        <v>45714.583333333343</v>
      </c>
      <c r="E1401" s="2">
        <f t="shared" si="21"/>
        <v>40.080555555563478</v>
      </c>
    </row>
    <row r="1402" spans="1:5" x14ac:dyDescent="0.25">
      <c r="A1402" t="s">
        <v>23</v>
      </c>
      <c r="B1402" t="s">
        <v>18</v>
      </c>
      <c r="C1402" s="1">
        <v>45960.962500000001</v>
      </c>
      <c r="D1402" s="1">
        <v>46008.915277777778</v>
      </c>
      <c r="E1402" s="2">
        <f t="shared" si="21"/>
        <v>47.952777777776646</v>
      </c>
    </row>
    <row r="1403" spans="1:5" x14ac:dyDescent="0.25">
      <c r="A1403" t="s">
        <v>19</v>
      </c>
      <c r="B1403" t="s">
        <v>8</v>
      </c>
      <c r="C1403" s="1">
        <v>46100.8125</v>
      </c>
      <c r="D1403" s="1">
        <v>46142.0625</v>
      </c>
      <c r="E1403" s="2">
        <f t="shared" si="21"/>
        <v>41.25</v>
      </c>
    </row>
    <row r="1404" spans="1:5" x14ac:dyDescent="0.25">
      <c r="A1404" t="s">
        <v>8</v>
      </c>
      <c r="B1404" t="s">
        <v>18</v>
      </c>
      <c r="C1404" s="1">
        <v>46234.25</v>
      </c>
      <c r="D1404" s="1">
        <v>46284.76666666667</v>
      </c>
      <c r="E1404" s="2">
        <f t="shared" si="21"/>
        <v>50.516666666670062</v>
      </c>
    </row>
    <row r="1405" spans="1:5" x14ac:dyDescent="0.25">
      <c r="A1405" t="s">
        <v>8</v>
      </c>
      <c r="B1405" t="s">
        <v>18</v>
      </c>
      <c r="C1405" s="1">
        <v>46162.799305555563</v>
      </c>
      <c r="D1405" s="1">
        <v>46210.020833333343</v>
      </c>
      <c r="E1405" s="2">
        <f t="shared" si="21"/>
        <v>47.221527777779556</v>
      </c>
    </row>
    <row r="1406" spans="1:5" x14ac:dyDescent="0.25">
      <c r="A1406" t="s">
        <v>12</v>
      </c>
      <c r="B1406" t="s">
        <v>13</v>
      </c>
      <c r="C1406" s="1">
        <v>46079.304166666669</v>
      </c>
      <c r="D1406" s="1">
        <v>46123.083333333343</v>
      </c>
      <c r="E1406" s="2">
        <f t="shared" si="21"/>
        <v>43.779166666674428</v>
      </c>
    </row>
    <row r="1407" spans="1:5" x14ac:dyDescent="0.25">
      <c r="A1407" t="s">
        <v>14</v>
      </c>
      <c r="B1407" t="s">
        <v>22</v>
      </c>
      <c r="C1407" s="1">
        <v>45918.616666666669</v>
      </c>
      <c r="D1407" s="1">
        <v>45983.51666666667</v>
      </c>
      <c r="E1407" s="2">
        <f t="shared" si="21"/>
        <v>64.900000000001455</v>
      </c>
    </row>
    <row r="1408" spans="1:5" x14ac:dyDescent="0.25">
      <c r="A1408" t="s">
        <v>12</v>
      </c>
      <c r="B1408" t="s">
        <v>13</v>
      </c>
      <c r="C1408" s="1">
        <v>45859.895833333343</v>
      </c>
      <c r="D1408" s="1">
        <v>45906.245833333327</v>
      </c>
      <c r="E1408" s="2">
        <f t="shared" si="21"/>
        <v>46.349999999983993</v>
      </c>
    </row>
    <row r="1409" spans="1:5" x14ac:dyDescent="0.25">
      <c r="A1409" t="s">
        <v>15</v>
      </c>
      <c r="B1409" t="s">
        <v>18</v>
      </c>
      <c r="C1409" s="1">
        <v>46132.754861111112</v>
      </c>
      <c r="D1409" s="1">
        <v>46189.661805555559</v>
      </c>
      <c r="E1409" s="2">
        <f t="shared" si="21"/>
        <v>56.906944444446708</v>
      </c>
    </row>
    <row r="1410" spans="1:5" x14ac:dyDescent="0.25">
      <c r="A1410" t="s">
        <v>13</v>
      </c>
      <c r="B1410" t="s">
        <v>8</v>
      </c>
      <c r="C1410" s="1">
        <v>45716.133333333331</v>
      </c>
      <c r="D1410" s="1">
        <v>45740.777777777781</v>
      </c>
      <c r="E1410" s="2">
        <f t="shared" ref="E1410:E1473" si="22">D1410-C1410</f>
        <v>24.644444444449618</v>
      </c>
    </row>
    <row r="1411" spans="1:5" x14ac:dyDescent="0.25">
      <c r="A1411" t="s">
        <v>12</v>
      </c>
      <c r="B1411" t="s">
        <v>18</v>
      </c>
      <c r="C1411" s="1">
        <v>45740.831944444442</v>
      </c>
      <c r="D1411" s="1">
        <v>45800.666666666657</v>
      </c>
      <c r="E1411" s="2">
        <f t="shared" si="22"/>
        <v>59.834722222214623</v>
      </c>
    </row>
    <row r="1412" spans="1:5" x14ac:dyDescent="0.25">
      <c r="A1412" t="s">
        <v>12</v>
      </c>
      <c r="B1412" t="s">
        <v>18</v>
      </c>
      <c r="C1412" s="1">
        <v>45715.003472222219</v>
      </c>
      <c r="D1412" s="1">
        <v>45770.936805555553</v>
      </c>
      <c r="E1412" s="2">
        <f t="shared" si="22"/>
        <v>55.933333333334303</v>
      </c>
    </row>
    <row r="1413" spans="1:5" x14ac:dyDescent="0.25">
      <c r="A1413" t="s">
        <v>27</v>
      </c>
      <c r="B1413" t="s">
        <v>39</v>
      </c>
      <c r="C1413" s="1">
        <v>45702.770833333343</v>
      </c>
      <c r="D1413" s="1">
        <v>45782.85</v>
      </c>
      <c r="E1413" s="2">
        <f t="shared" si="22"/>
        <v>80.07916666665551</v>
      </c>
    </row>
    <row r="1414" spans="1:5" x14ac:dyDescent="0.25">
      <c r="A1414" t="s">
        <v>13</v>
      </c>
      <c r="B1414" t="s">
        <v>8</v>
      </c>
      <c r="C1414" s="1">
        <v>45877.620833333327</v>
      </c>
      <c r="D1414" s="1">
        <v>45913.041666666657</v>
      </c>
      <c r="E1414" s="2">
        <f t="shared" si="22"/>
        <v>35.420833333329938</v>
      </c>
    </row>
    <row r="1415" spans="1:5" x14ac:dyDescent="0.25">
      <c r="A1415" t="s">
        <v>23</v>
      </c>
      <c r="B1415" t="s">
        <v>24</v>
      </c>
      <c r="C1415" s="1">
        <v>45974.5</v>
      </c>
      <c r="D1415" s="1">
        <v>46039.145833333343</v>
      </c>
      <c r="E1415" s="2">
        <f t="shared" si="22"/>
        <v>64.645833333343035</v>
      </c>
    </row>
    <row r="1416" spans="1:5" x14ac:dyDescent="0.25">
      <c r="A1416" t="s">
        <v>8</v>
      </c>
      <c r="B1416" t="s">
        <v>18</v>
      </c>
      <c r="C1416" s="1">
        <v>46199.770833333343</v>
      </c>
      <c r="D1416" s="1">
        <v>46241.870833333327</v>
      </c>
      <c r="E1416" s="2">
        <f t="shared" si="22"/>
        <v>42.099999999983993</v>
      </c>
    </row>
    <row r="1417" spans="1:5" x14ac:dyDescent="0.25">
      <c r="A1417" t="s">
        <v>27</v>
      </c>
      <c r="B1417" t="s">
        <v>18</v>
      </c>
      <c r="C1417" s="1">
        <v>45813.168055555558</v>
      </c>
      <c r="D1417" s="1">
        <v>45869.003472222219</v>
      </c>
      <c r="E1417" s="2">
        <f t="shared" si="22"/>
        <v>55.835416666661331</v>
      </c>
    </row>
    <row r="1418" spans="1:5" x14ac:dyDescent="0.25">
      <c r="A1418" t="s">
        <v>10</v>
      </c>
      <c r="B1418" t="s">
        <v>8</v>
      </c>
      <c r="C1418" s="1">
        <v>46168.887499999997</v>
      </c>
      <c r="D1418" s="1">
        <v>46187.940972222219</v>
      </c>
      <c r="E1418" s="2">
        <f t="shared" si="22"/>
        <v>19.053472222221899</v>
      </c>
    </row>
    <row r="1419" spans="1:5" x14ac:dyDescent="0.25">
      <c r="A1419" t="s">
        <v>8</v>
      </c>
      <c r="B1419" t="s">
        <v>18</v>
      </c>
      <c r="C1419" s="1">
        <v>46220.605555555558</v>
      </c>
      <c r="D1419" s="1">
        <v>46269.7</v>
      </c>
      <c r="E1419" s="2">
        <f t="shared" si="22"/>
        <v>49.094444444439432</v>
      </c>
    </row>
    <row r="1420" spans="1:5" x14ac:dyDescent="0.25">
      <c r="A1420" t="s">
        <v>15</v>
      </c>
      <c r="B1420" t="s">
        <v>18</v>
      </c>
      <c r="C1420" s="1">
        <v>45957.560416666667</v>
      </c>
      <c r="D1420" s="1">
        <v>46008.915277777778</v>
      </c>
      <c r="E1420" s="2">
        <f t="shared" si="22"/>
        <v>51.354861111110949</v>
      </c>
    </row>
    <row r="1421" spans="1:5" x14ac:dyDescent="0.25">
      <c r="A1421" t="s">
        <v>20</v>
      </c>
      <c r="B1421" t="s">
        <v>8</v>
      </c>
      <c r="C1421" s="1">
        <v>46187.029166666667</v>
      </c>
      <c r="D1421" s="1">
        <v>46219.579861111109</v>
      </c>
      <c r="E1421" s="2">
        <f t="shared" si="22"/>
        <v>32.550694444442343</v>
      </c>
    </row>
    <row r="1422" spans="1:5" x14ac:dyDescent="0.25">
      <c r="A1422" t="s">
        <v>26</v>
      </c>
      <c r="B1422" t="s">
        <v>21</v>
      </c>
      <c r="C1422" s="1">
        <v>46214.779166666667</v>
      </c>
      <c r="D1422" s="1">
        <v>46254.470833333333</v>
      </c>
      <c r="E1422" s="2">
        <f t="shared" si="22"/>
        <v>39.691666666665697</v>
      </c>
    </row>
    <row r="1423" spans="1:5" x14ac:dyDescent="0.25">
      <c r="A1423" t="s">
        <v>23</v>
      </c>
      <c r="B1423" t="s">
        <v>8</v>
      </c>
      <c r="C1423" s="1">
        <v>46107.208333333343</v>
      </c>
      <c r="D1423" s="1">
        <v>46144.908333333333</v>
      </c>
      <c r="E1423" s="2">
        <f t="shared" si="22"/>
        <v>37.699999999989814</v>
      </c>
    </row>
    <row r="1424" spans="1:5" x14ac:dyDescent="0.25">
      <c r="A1424" t="s">
        <v>12</v>
      </c>
      <c r="B1424" t="s">
        <v>8</v>
      </c>
      <c r="C1424" s="1">
        <v>46079.304166666669</v>
      </c>
      <c r="D1424" s="1">
        <v>46124.397222222222</v>
      </c>
      <c r="E1424" s="2">
        <f t="shared" si="22"/>
        <v>45.093055555553292</v>
      </c>
    </row>
    <row r="1425" spans="1:5" x14ac:dyDescent="0.25">
      <c r="A1425" t="s">
        <v>23</v>
      </c>
      <c r="B1425" t="s">
        <v>18</v>
      </c>
      <c r="C1425" s="1">
        <v>45939.654166666667</v>
      </c>
      <c r="D1425" s="1">
        <v>45990.75</v>
      </c>
      <c r="E1425" s="2">
        <f t="shared" si="22"/>
        <v>51.095833333332848</v>
      </c>
    </row>
    <row r="1426" spans="1:5" x14ac:dyDescent="0.25">
      <c r="A1426" t="s">
        <v>8</v>
      </c>
      <c r="B1426" t="s">
        <v>18</v>
      </c>
      <c r="C1426" s="1">
        <v>46149.661805555559</v>
      </c>
      <c r="D1426" s="1">
        <v>46195.804166666669</v>
      </c>
      <c r="E1426" s="2">
        <f t="shared" si="22"/>
        <v>46.142361111109494</v>
      </c>
    </row>
    <row r="1427" spans="1:5" x14ac:dyDescent="0.25">
      <c r="A1427" t="s">
        <v>15</v>
      </c>
      <c r="B1427" t="s">
        <v>13</v>
      </c>
      <c r="C1427" s="1">
        <v>46253.96875</v>
      </c>
      <c r="D1427" s="1">
        <v>46284.414583333331</v>
      </c>
      <c r="E1427" s="2">
        <f t="shared" si="22"/>
        <v>30.445833333331393</v>
      </c>
    </row>
    <row r="1428" spans="1:5" x14ac:dyDescent="0.25">
      <c r="A1428" t="s">
        <v>13</v>
      </c>
      <c r="B1428" t="s">
        <v>8</v>
      </c>
      <c r="C1428" s="1">
        <v>46060.12222222222</v>
      </c>
      <c r="D1428" s="1">
        <v>46085.457638888889</v>
      </c>
      <c r="E1428" s="2">
        <f t="shared" si="22"/>
        <v>25.335416666668607</v>
      </c>
    </row>
    <row r="1429" spans="1:5" x14ac:dyDescent="0.25">
      <c r="A1429" t="s">
        <v>8</v>
      </c>
      <c r="B1429" t="s">
        <v>6</v>
      </c>
      <c r="C1429" s="1">
        <v>45765.947916666657</v>
      </c>
      <c r="D1429" s="1">
        <v>45811.491666666669</v>
      </c>
      <c r="E1429" s="2">
        <f t="shared" si="22"/>
        <v>45.543750000011642</v>
      </c>
    </row>
    <row r="1430" spans="1:5" x14ac:dyDescent="0.25">
      <c r="A1430" t="s">
        <v>23</v>
      </c>
      <c r="B1430" t="s">
        <v>18</v>
      </c>
      <c r="C1430" s="1">
        <v>46041.916666666657</v>
      </c>
      <c r="D1430" s="1">
        <v>46087.666666666657</v>
      </c>
      <c r="E1430" s="2">
        <f t="shared" si="22"/>
        <v>45.75</v>
      </c>
    </row>
    <row r="1431" spans="1:5" x14ac:dyDescent="0.25">
      <c r="A1431" t="s">
        <v>12</v>
      </c>
      <c r="B1431" t="s">
        <v>8</v>
      </c>
      <c r="C1431" s="1">
        <v>45986.5</v>
      </c>
      <c r="D1431" s="1">
        <v>46025.904166666667</v>
      </c>
      <c r="E1431" s="2">
        <f t="shared" si="22"/>
        <v>39.404166666667152</v>
      </c>
    </row>
    <row r="1432" spans="1:5" x14ac:dyDescent="0.25">
      <c r="A1432" t="s">
        <v>27</v>
      </c>
      <c r="B1432" t="s">
        <v>8</v>
      </c>
      <c r="C1432" s="1">
        <v>45741.387499999997</v>
      </c>
      <c r="D1432" s="1">
        <v>45803.67291666667</v>
      </c>
      <c r="E1432" s="2">
        <f t="shared" si="22"/>
        <v>62.285416666672972</v>
      </c>
    </row>
    <row r="1433" spans="1:5" x14ac:dyDescent="0.25">
      <c r="A1433" t="s">
        <v>15</v>
      </c>
      <c r="B1433" t="s">
        <v>18</v>
      </c>
      <c r="C1433" s="1">
        <v>46140.572222222218</v>
      </c>
      <c r="D1433" s="1">
        <v>46197.100694444453</v>
      </c>
      <c r="E1433" s="2">
        <f t="shared" si="22"/>
        <v>56.528472222234996</v>
      </c>
    </row>
    <row r="1434" spans="1:5" x14ac:dyDescent="0.25">
      <c r="A1434" t="s">
        <v>26</v>
      </c>
      <c r="B1434" t="s">
        <v>21</v>
      </c>
      <c r="C1434" s="1">
        <v>45989.570833333331</v>
      </c>
      <c r="D1434" s="1">
        <v>46030.368055555547</v>
      </c>
      <c r="E1434" s="2">
        <f t="shared" si="22"/>
        <v>40.797222222216078</v>
      </c>
    </row>
    <row r="1435" spans="1:5" x14ac:dyDescent="0.25">
      <c r="A1435" t="s">
        <v>6</v>
      </c>
      <c r="B1435" t="s">
        <v>8</v>
      </c>
      <c r="C1435" s="1">
        <v>45732.066666666673</v>
      </c>
      <c r="D1435" s="1">
        <v>45789</v>
      </c>
      <c r="E1435" s="2">
        <f t="shared" si="22"/>
        <v>56.933333333327028</v>
      </c>
    </row>
    <row r="1436" spans="1:5" x14ac:dyDescent="0.25">
      <c r="A1436" t="s">
        <v>8</v>
      </c>
      <c r="B1436" t="s">
        <v>18</v>
      </c>
      <c r="C1436" s="1">
        <v>46234.25</v>
      </c>
      <c r="D1436" s="1">
        <v>46284.76666666667</v>
      </c>
      <c r="E1436" s="2">
        <f t="shared" si="22"/>
        <v>50.516666666670062</v>
      </c>
    </row>
    <row r="1437" spans="1:5" x14ac:dyDescent="0.25">
      <c r="A1437" t="s">
        <v>15</v>
      </c>
      <c r="B1437" t="s">
        <v>18</v>
      </c>
      <c r="C1437" s="1">
        <v>45957.560416666667</v>
      </c>
      <c r="D1437" s="1">
        <v>46008.915277777778</v>
      </c>
      <c r="E1437" s="2">
        <f t="shared" si="22"/>
        <v>51.354861111110949</v>
      </c>
    </row>
    <row r="1438" spans="1:5" x14ac:dyDescent="0.25">
      <c r="A1438" t="s">
        <v>10</v>
      </c>
      <c r="B1438" t="s">
        <v>8</v>
      </c>
      <c r="C1438" s="1">
        <v>46205.872337962966</v>
      </c>
      <c r="D1438" s="1">
        <v>46223.02847222222</v>
      </c>
      <c r="E1438" s="2">
        <f t="shared" si="22"/>
        <v>17.156134259254031</v>
      </c>
    </row>
    <row r="1439" spans="1:5" x14ac:dyDescent="0.25">
      <c r="A1439" t="s">
        <v>28</v>
      </c>
      <c r="B1439" t="s">
        <v>18</v>
      </c>
      <c r="C1439" s="1">
        <v>45824.886111111111</v>
      </c>
      <c r="D1439" s="1">
        <v>45891</v>
      </c>
      <c r="E1439" s="2">
        <f t="shared" si="22"/>
        <v>66.113888888889051</v>
      </c>
    </row>
    <row r="1440" spans="1:5" x14ac:dyDescent="0.25">
      <c r="A1440" t="s">
        <v>15</v>
      </c>
      <c r="B1440" t="s">
        <v>18</v>
      </c>
      <c r="C1440" s="1">
        <v>46063.744444444441</v>
      </c>
      <c r="D1440" s="1">
        <v>46119.064583333333</v>
      </c>
      <c r="E1440" s="2">
        <f t="shared" si="22"/>
        <v>55.320138888891961</v>
      </c>
    </row>
    <row r="1441" spans="1:5" x14ac:dyDescent="0.25">
      <c r="A1441" t="s">
        <v>8</v>
      </c>
      <c r="B1441" t="s">
        <v>18</v>
      </c>
      <c r="C1441" s="1">
        <v>46241.460416666669</v>
      </c>
      <c r="D1441" s="1">
        <v>46284.76666666667</v>
      </c>
      <c r="E1441" s="2">
        <f t="shared" si="22"/>
        <v>43.306250000001455</v>
      </c>
    </row>
    <row r="1442" spans="1:5" x14ac:dyDescent="0.25">
      <c r="A1442" t="s">
        <v>8</v>
      </c>
      <c r="B1442" t="s">
        <v>18</v>
      </c>
      <c r="C1442" s="1">
        <v>46199.770833333343</v>
      </c>
      <c r="D1442" s="1">
        <v>46241.870833333327</v>
      </c>
      <c r="E1442" s="2">
        <f t="shared" si="22"/>
        <v>42.099999999983993</v>
      </c>
    </row>
    <row r="1443" spans="1:5" x14ac:dyDescent="0.25">
      <c r="A1443" t="s">
        <v>8</v>
      </c>
      <c r="B1443" t="s">
        <v>18</v>
      </c>
      <c r="C1443" s="1">
        <v>46227.745833333327</v>
      </c>
      <c r="D1443" s="1">
        <v>46269.7</v>
      </c>
      <c r="E1443" s="2">
        <f t="shared" si="22"/>
        <v>41.954166666670062</v>
      </c>
    </row>
    <row r="1444" spans="1:5" x14ac:dyDescent="0.25">
      <c r="A1444" t="s">
        <v>13</v>
      </c>
      <c r="B1444" t="s">
        <v>8</v>
      </c>
      <c r="C1444" s="1">
        <v>46060.12222222222</v>
      </c>
      <c r="D1444" s="1">
        <v>46085.457638888889</v>
      </c>
      <c r="E1444" s="2">
        <f t="shared" si="22"/>
        <v>25.335416666668607</v>
      </c>
    </row>
    <row r="1445" spans="1:5" x14ac:dyDescent="0.25">
      <c r="A1445" t="s">
        <v>10</v>
      </c>
      <c r="B1445" t="s">
        <v>8</v>
      </c>
      <c r="C1445" s="1">
        <v>46109.770833333343</v>
      </c>
      <c r="D1445" s="1">
        <v>46125.569444444453</v>
      </c>
      <c r="E1445" s="2">
        <f t="shared" si="22"/>
        <v>15.798611111109494</v>
      </c>
    </row>
    <row r="1446" spans="1:5" x14ac:dyDescent="0.25">
      <c r="A1446" t="s">
        <v>6</v>
      </c>
      <c r="B1446" t="s">
        <v>8</v>
      </c>
      <c r="C1446" s="1">
        <v>45715.991666666669</v>
      </c>
      <c r="D1446" s="1">
        <v>45759</v>
      </c>
      <c r="E1446" s="2">
        <f t="shared" si="22"/>
        <v>43.008333333331393</v>
      </c>
    </row>
    <row r="1447" spans="1:5" x14ac:dyDescent="0.25">
      <c r="A1447" t="s">
        <v>26</v>
      </c>
      <c r="B1447" t="s">
        <v>21</v>
      </c>
      <c r="C1447" s="1">
        <v>45997.375</v>
      </c>
      <c r="D1447" s="1">
        <v>46044.333333333343</v>
      </c>
      <c r="E1447" s="2">
        <f t="shared" si="22"/>
        <v>46.958333333343035</v>
      </c>
    </row>
    <row r="1448" spans="1:5" x14ac:dyDescent="0.25">
      <c r="A1448" t="s">
        <v>26</v>
      </c>
      <c r="B1448" t="s">
        <v>21</v>
      </c>
      <c r="C1448" s="1">
        <v>46054.645833333343</v>
      </c>
      <c r="D1448" s="1">
        <v>46100.395833333343</v>
      </c>
      <c r="E1448" s="2">
        <f t="shared" si="22"/>
        <v>45.75</v>
      </c>
    </row>
    <row r="1449" spans="1:5" x14ac:dyDescent="0.25">
      <c r="A1449" t="s">
        <v>12</v>
      </c>
      <c r="B1449" t="s">
        <v>8</v>
      </c>
      <c r="C1449" s="1">
        <v>46106.09375</v>
      </c>
      <c r="D1449" s="1">
        <v>46159.291666666657</v>
      </c>
      <c r="E1449" s="2">
        <f t="shared" si="22"/>
        <v>53.197916666656965</v>
      </c>
    </row>
    <row r="1450" spans="1:5" x14ac:dyDescent="0.25">
      <c r="A1450" t="s">
        <v>8</v>
      </c>
      <c r="B1450" t="s">
        <v>18</v>
      </c>
      <c r="C1450" s="1">
        <v>46206.283333333333</v>
      </c>
      <c r="D1450" s="1">
        <v>46251.208333333343</v>
      </c>
      <c r="E1450" s="2">
        <f t="shared" si="22"/>
        <v>44.925000000010186</v>
      </c>
    </row>
    <row r="1451" spans="1:5" x14ac:dyDescent="0.25">
      <c r="A1451" t="s">
        <v>27</v>
      </c>
      <c r="B1451" t="s">
        <v>20</v>
      </c>
      <c r="C1451" s="1">
        <v>45690.995833333327</v>
      </c>
      <c r="D1451" s="1">
        <v>45763</v>
      </c>
      <c r="E1451" s="2">
        <f t="shared" si="22"/>
        <v>72.004166666672972</v>
      </c>
    </row>
    <row r="1452" spans="1:5" x14ac:dyDescent="0.25">
      <c r="A1452" t="s">
        <v>13</v>
      </c>
      <c r="B1452" t="s">
        <v>8</v>
      </c>
      <c r="C1452" s="1">
        <v>45753.333333333343</v>
      </c>
      <c r="D1452" s="1">
        <v>45777.254861111112</v>
      </c>
      <c r="E1452" s="2">
        <f t="shared" si="22"/>
        <v>23.92152777776937</v>
      </c>
    </row>
    <row r="1453" spans="1:5" x14ac:dyDescent="0.25">
      <c r="A1453" t="s">
        <v>12</v>
      </c>
      <c r="B1453" t="s">
        <v>13</v>
      </c>
      <c r="C1453" s="1">
        <v>45662.208333333343</v>
      </c>
      <c r="D1453" s="1">
        <v>45704.333333333343</v>
      </c>
      <c r="E1453" s="2">
        <f t="shared" si="22"/>
        <v>42.125</v>
      </c>
    </row>
    <row r="1454" spans="1:5" x14ac:dyDescent="0.25">
      <c r="A1454" t="s">
        <v>13</v>
      </c>
      <c r="B1454" t="s">
        <v>8</v>
      </c>
      <c r="C1454" s="1">
        <v>46060.12222222222</v>
      </c>
      <c r="D1454" s="1">
        <v>46085.457638888889</v>
      </c>
      <c r="E1454" s="2">
        <f t="shared" si="22"/>
        <v>25.335416666668607</v>
      </c>
    </row>
    <row r="1455" spans="1:5" x14ac:dyDescent="0.25">
      <c r="A1455" t="s">
        <v>8</v>
      </c>
      <c r="B1455" t="s">
        <v>18</v>
      </c>
      <c r="C1455" s="1">
        <v>46234.25</v>
      </c>
      <c r="D1455" s="1">
        <v>46284.76666666667</v>
      </c>
      <c r="E1455" s="2">
        <f t="shared" si="22"/>
        <v>50.516666666670062</v>
      </c>
    </row>
    <row r="1456" spans="1:5" x14ac:dyDescent="0.25">
      <c r="A1456" t="s">
        <v>12</v>
      </c>
      <c r="B1456" t="s">
        <v>18</v>
      </c>
      <c r="C1456" s="1">
        <v>45838.333333333343</v>
      </c>
      <c r="D1456" s="1">
        <v>45909.30972222222</v>
      </c>
      <c r="E1456" s="2">
        <f t="shared" si="22"/>
        <v>70.976388888877409</v>
      </c>
    </row>
    <row r="1457" spans="1:5" x14ac:dyDescent="0.25">
      <c r="A1457" t="s">
        <v>28</v>
      </c>
      <c r="B1457" t="s">
        <v>18</v>
      </c>
      <c r="C1457" s="1">
        <v>45852.695138888892</v>
      </c>
      <c r="D1457" s="1">
        <v>45917.230555555558</v>
      </c>
      <c r="E1457" s="2">
        <f t="shared" si="22"/>
        <v>64.535416666665697</v>
      </c>
    </row>
    <row r="1458" spans="1:5" x14ac:dyDescent="0.25">
      <c r="A1458" t="s">
        <v>13</v>
      </c>
      <c r="B1458" t="s">
        <v>8</v>
      </c>
      <c r="C1458" s="1">
        <v>45741.29583333333</v>
      </c>
      <c r="D1458" s="1">
        <v>45777</v>
      </c>
      <c r="E1458" s="2">
        <f t="shared" si="22"/>
        <v>35.704166666670062</v>
      </c>
    </row>
    <row r="1459" spans="1:5" x14ac:dyDescent="0.25">
      <c r="A1459" t="s">
        <v>12</v>
      </c>
      <c r="B1459" t="s">
        <v>13</v>
      </c>
      <c r="C1459" s="1">
        <v>45755.623611111107</v>
      </c>
      <c r="D1459" s="1">
        <v>45805.245833333327</v>
      </c>
      <c r="E1459" s="2">
        <f t="shared" si="22"/>
        <v>49.622222222220444</v>
      </c>
    </row>
    <row r="1460" spans="1:5" x14ac:dyDescent="0.25">
      <c r="A1460" t="s">
        <v>12</v>
      </c>
      <c r="B1460" t="s">
        <v>13</v>
      </c>
      <c r="C1460" s="1">
        <v>45711.834027777782</v>
      </c>
      <c r="D1460" s="1">
        <v>45758</v>
      </c>
      <c r="E1460" s="2">
        <f t="shared" si="22"/>
        <v>46.165972222217533</v>
      </c>
    </row>
    <row r="1461" spans="1:5" x14ac:dyDescent="0.25">
      <c r="A1461" t="s">
        <v>8</v>
      </c>
      <c r="B1461" t="s">
        <v>18</v>
      </c>
      <c r="C1461" s="1">
        <v>46157.003472222219</v>
      </c>
      <c r="D1461" s="1">
        <v>46195.804166666669</v>
      </c>
      <c r="E1461" s="2">
        <f t="shared" si="22"/>
        <v>38.800694444449618</v>
      </c>
    </row>
    <row r="1462" spans="1:5" x14ac:dyDescent="0.25">
      <c r="A1462" t="s">
        <v>46</v>
      </c>
      <c r="B1462" t="s">
        <v>11</v>
      </c>
      <c r="C1462" s="1">
        <v>46228.974999999999</v>
      </c>
      <c r="D1462" s="1">
        <v>46238.836805555547</v>
      </c>
      <c r="E1462" s="2">
        <f t="shared" si="22"/>
        <v>9.8618055555489263</v>
      </c>
    </row>
    <row r="1463" spans="1:5" x14ac:dyDescent="0.25">
      <c r="A1463" t="s">
        <v>12</v>
      </c>
      <c r="B1463" t="s">
        <v>13</v>
      </c>
      <c r="C1463" s="1">
        <v>46065.302083333343</v>
      </c>
      <c r="D1463" s="1">
        <v>46115.175000000003</v>
      </c>
      <c r="E1463" s="2">
        <f t="shared" si="22"/>
        <v>49.872916666659876</v>
      </c>
    </row>
    <row r="1464" spans="1:5" x14ac:dyDescent="0.25">
      <c r="A1464" t="s">
        <v>16</v>
      </c>
      <c r="B1464" t="s">
        <v>8</v>
      </c>
      <c r="C1464" s="1">
        <v>45718.415277777778</v>
      </c>
      <c r="D1464" s="1">
        <v>45760.057638888888</v>
      </c>
      <c r="E1464" s="2">
        <f t="shared" si="22"/>
        <v>41.642361111109494</v>
      </c>
    </row>
    <row r="1465" spans="1:5" x14ac:dyDescent="0.25">
      <c r="A1465" t="s">
        <v>46</v>
      </c>
      <c r="B1465" t="s">
        <v>11</v>
      </c>
      <c r="C1465" s="1">
        <v>46207.618750000001</v>
      </c>
      <c r="D1465" s="1">
        <v>46217.72152777778</v>
      </c>
      <c r="E1465" s="2">
        <f t="shared" si="22"/>
        <v>10.102777777778101</v>
      </c>
    </row>
    <row r="1466" spans="1:5" x14ac:dyDescent="0.25">
      <c r="A1466" t="s">
        <v>7</v>
      </c>
      <c r="B1466" t="s">
        <v>13</v>
      </c>
      <c r="C1466" s="1">
        <v>46129.158333333333</v>
      </c>
      <c r="D1466" s="1">
        <v>46176.126388888893</v>
      </c>
      <c r="E1466" s="2">
        <f t="shared" si="22"/>
        <v>46.968055555560568</v>
      </c>
    </row>
    <row r="1467" spans="1:5" x14ac:dyDescent="0.25">
      <c r="A1467" t="s">
        <v>23</v>
      </c>
      <c r="B1467" t="s">
        <v>8</v>
      </c>
      <c r="C1467" s="1">
        <v>46126.137499999997</v>
      </c>
      <c r="D1467" s="1">
        <v>46175.798611111109</v>
      </c>
      <c r="E1467" s="2">
        <f t="shared" si="22"/>
        <v>49.661111111112405</v>
      </c>
    </row>
    <row r="1468" spans="1:5" x14ac:dyDescent="0.25">
      <c r="A1468" t="s">
        <v>26</v>
      </c>
      <c r="B1468" t="s">
        <v>21</v>
      </c>
      <c r="C1468" s="1">
        <v>46135.666666666657</v>
      </c>
      <c r="D1468" s="1">
        <v>46177.158333333333</v>
      </c>
      <c r="E1468" s="2">
        <f t="shared" si="22"/>
        <v>41.491666666675883</v>
      </c>
    </row>
    <row r="1469" spans="1:5" x14ac:dyDescent="0.25">
      <c r="A1469" t="s">
        <v>8</v>
      </c>
      <c r="B1469" t="s">
        <v>18</v>
      </c>
      <c r="C1469" s="1">
        <v>46227.745833333327</v>
      </c>
      <c r="D1469" s="1">
        <v>46269.7</v>
      </c>
      <c r="E1469" s="2">
        <f t="shared" si="22"/>
        <v>41.954166666670062</v>
      </c>
    </row>
    <row r="1470" spans="1:5" x14ac:dyDescent="0.25">
      <c r="A1470" t="s">
        <v>16</v>
      </c>
      <c r="B1470" t="s">
        <v>6</v>
      </c>
      <c r="C1470" s="1">
        <v>45718.625</v>
      </c>
      <c r="D1470" s="1">
        <v>45815.533333333333</v>
      </c>
      <c r="E1470" s="2">
        <f t="shared" si="22"/>
        <v>96.908333333332848</v>
      </c>
    </row>
    <row r="1471" spans="1:5" x14ac:dyDescent="0.25">
      <c r="A1471" t="s">
        <v>12</v>
      </c>
      <c r="B1471" t="s">
        <v>8</v>
      </c>
      <c r="C1471" s="1">
        <v>45915.885416666657</v>
      </c>
      <c r="D1471" s="1">
        <v>45977</v>
      </c>
      <c r="E1471" s="2">
        <f t="shared" si="22"/>
        <v>61.114583333343035</v>
      </c>
    </row>
    <row r="1472" spans="1:5" x14ac:dyDescent="0.25">
      <c r="A1472" t="s">
        <v>18</v>
      </c>
      <c r="B1472" t="s">
        <v>27</v>
      </c>
      <c r="C1472" s="1">
        <v>45974.894444444442</v>
      </c>
      <c r="D1472" s="1">
        <v>46062.425000000003</v>
      </c>
      <c r="E1472" s="2">
        <f t="shared" si="22"/>
        <v>87.530555555560568</v>
      </c>
    </row>
    <row r="1473" spans="1:5" x14ac:dyDescent="0.25">
      <c r="A1473" t="s">
        <v>5</v>
      </c>
      <c r="B1473" t="s">
        <v>8</v>
      </c>
      <c r="C1473" s="1">
        <v>46128.754166666673</v>
      </c>
      <c r="D1473" s="1">
        <v>46162.866666666669</v>
      </c>
      <c r="E1473" s="2">
        <f t="shared" si="22"/>
        <v>34.112499999995634</v>
      </c>
    </row>
    <row r="1474" spans="1:5" x14ac:dyDescent="0.25">
      <c r="A1474" t="s">
        <v>7</v>
      </c>
      <c r="B1474" t="s">
        <v>8</v>
      </c>
      <c r="C1474" s="1">
        <v>45931.208333333343</v>
      </c>
      <c r="D1474" s="1">
        <v>45966.508333333331</v>
      </c>
      <c r="E1474" s="2">
        <f t="shared" ref="E1474:E1537" si="23">D1474-C1474</f>
        <v>35.299999999988358</v>
      </c>
    </row>
    <row r="1475" spans="1:5" x14ac:dyDescent="0.25">
      <c r="A1475" t="s">
        <v>7</v>
      </c>
      <c r="B1475" t="s">
        <v>8</v>
      </c>
      <c r="C1475" s="1">
        <v>45911.604166666657</v>
      </c>
      <c r="D1475" s="1">
        <v>45948.104166666657</v>
      </c>
      <c r="E1475" s="2">
        <f t="shared" si="23"/>
        <v>36.5</v>
      </c>
    </row>
    <row r="1476" spans="1:5" x14ac:dyDescent="0.25">
      <c r="A1476" t="s">
        <v>5</v>
      </c>
      <c r="B1476" t="s">
        <v>8</v>
      </c>
      <c r="C1476" s="1">
        <v>46049.5</v>
      </c>
      <c r="D1476" s="1">
        <v>46091.345833333333</v>
      </c>
      <c r="E1476" s="2">
        <f t="shared" si="23"/>
        <v>41.845833333332848</v>
      </c>
    </row>
    <row r="1477" spans="1:5" x14ac:dyDescent="0.25">
      <c r="A1477" t="s">
        <v>7</v>
      </c>
      <c r="B1477" t="s">
        <v>8</v>
      </c>
      <c r="C1477" s="1">
        <v>45822.8</v>
      </c>
      <c r="D1477" s="1">
        <v>45875.612500000003</v>
      </c>
      <c r="E1477" s="2">
        <f t="shared" si="23"/>
        <v>52.8125</v>
      </c>
    </row>
    <row r="1478" spans="1:5" x14ac:dyDescent="0.25">
      <c r="A1478" t="s">
        <v>5</v>
      </c>
      <c r="B1478" t="s">
        <v>8</v>
      </c>
      <c r="C1478" s="1">
        <v>46065.004166666673</v>
      </c>
      <c r="D1478" s="1">
        <v>46099.525000000001</v>
      </c>
      <c r="E1478" s="2">
        <f t="shared" si="23"/>
        <v>34.520833333328483</v>
      </c>
    </row>
    <row r="1479" spans="1:5" x14ac:dyDescent="0.25">
      <c r="A1479" t="s">
        <v>8</v>
      </c>
      <c r="B1479" t="s">
        <v>18</v>
      </c>
      <c r="C1479" s="1">
        <v>46234.25</v>
      </c>
      <c r="D1479" s="1">
        <v>46284.76666666667</v>
      </c>
      <c r="E1479" s="2">
        <f t="shared" si="23"/>
        <v>50.516666666670062</v>
      </c>
    </row>
    <row r="1480" spans="1:5" x14ac:dyDescent="0.25">
      <c r="A1480" t="s">
        <v>7</v>
      </c>
      <c r="B1480" t="s">
        <v>13</v>
      </c>
      <c r="C1480" s="1">
        <v>45883.5</v>
      </c>
      <c r="D1480" s="1">
        <v>45945.593055555553</v>
      </c>
      <c r="E1480" s="2">
        <f t="shared" si="23"/>
        <v>62.093055555553292</v>
      </c>
    </row>
    <row r="1481" spans="1:5" x14ac:dyDescent="0.25">
      <c r="A1481" t="s">
        <v>5</v>
      </c>
      <c r="B1481" t="s">
        <v>8</v>
      </c>
      <c r="C1481" s="1">
        <v>45967.658333333333</v>
      </c>
      <c r="D1481" s="1">
        <v>46003.89166666667</v>
      </c>
      <c r="E1481" s="2">
        <f t="shared" si="23"/>
        <v>36.233333333337214</v>
      </c>
    </row>
    <row r="1482" spans="1:5" x14ac:dyDescent="0.25">
      <c r="A1482" t="s">
        <v>7</v>
      </c>
      <c r="B1482" t="s">
        <v>8</v>
      </c>
      <c r="C1482" s="1">
        <v>45785.595833333333</v>
      </c>
      <c r="D1482" s="1">
        <v>45818.416666666657</v>
      </c>
      <c r="E1482" s="2">
        <f t="shared" si="23"/>
        <v>32.820833333324117</v>
      </c>
    </row>
    <row r="1483" spans="1:5" x14ac:dyDescent="0.25">
      <c r="A1483" t="s">
        <v>13</v>
      </c>
      <c r="B1483" t="s">
        <v>8</v>
      </c>
      <c r="C1483" s="1">
        <v>45741.29583333333</v>
      </c>
      <c r="D1483" s="1">
        <v>45777</v>
      </c>
      <c r="E1483" s="2">
        <f t="shared" si="23"/>
        <v>35.704166666670062</v>
      </c>
    </row>
    <row r="1484" spans="1:5" x14ac:dyDescent="0.25">
      <c r="A1484" t="s">
        <v>14</v>
      </c>
      <c r="B1484" t="s">
        <v>22</v>
      </c>
      <c r="C1484" s="1">
        <v>45785.625</v>
      </c>
      <c r="D1484" s="1">
        <v>45838.091666666667</v>
      </c>
      <c r="E1484" s="2">
        <f t="shared" si="23"/>
        <v>52.466666666667152</v>
      </c>
    </row>
    <row r="1485" spans="1:5" x14ac:dyDescent="0.25">
      <c r="A1485" t="s">
        <v>5</v>
      </c>
      <c r="B1485" t="s">
        <v>6</v>
      </c>
      <c r="C1485" s="1">
        <v>45880.45</v>
      </c>
      <c r="D1485" s="1">
        <v>45956.945833333331</v>
      </c>
      <c r="E1485" s="2">
        <f t="shared" si="23"/>
        <v>76.495833333334303</v>
      </c>
    </row>
    <row r="1486" spans="1:5" x14ac:dyDescent="0.25">
      <c r="A1486" t="s">
        <v>7</v>
      </c>
      <c r="B1486" t="s">
        <v>8</v>
      </c>
      <c r="C1486" s="1">
        <v>45919.976388888892</v>
      </c>
      <c r="D1486" s="1">
        <v>45965.662499999999</v>
      </c>
      <c r="E1486" s="2">
        <f t="shared" si="23"/>
        <v>45.686111111106584</v>
      </c>
    </row>
    <row r="1487" spans="1:5" x14ac:dyDescent="0.25">
      <c r="A1487" t="s">
        <v>7</v>
      </c>
      <c r="B1487" t="s">
        <v>8</v>
      </c>
      <c r="C1487" s="1">
        <v>45785.595833333333</v>
      </c>
      <c r="D1487" s="1">
        <v>45818.416666666657</v>
      </c>
      <c r="E1487" s="2">
        <f t="shared" si="23"/>
        <v>32.820833333324117</v>
      </c>
    </row>
    <row r="1488" spans="1:5" x14ac:dyDescent="0.25">
      <c r="A1488" t="s">
        <v>7</v>
      </c>
      <c r="B1488" t="s">
        <v>8</v>
      </c>
      <c r="C1488" s="1">
        <v>45891.654166666667</v>
      </c>
      <c r="D1488" s="1">
        <v>45938.662499999999</v>
      </c>
      <c r="E1488" s="2">
        <f t="shared" si="23"/>
        <v>47.008333333331393</v>
      </c>
    </row>
    <row r="1489" spans="1:5" x14ac:dyDescent="0.25">
      <c r="A1489" t="s">
        <v>15</v>
      </c>
      <c r="B1489" t="s">
        <v>20</v>
      </c>
      <c r="C1489" s="1">
        <v>46232.020833333343</v>
      </c>
      <c r="D1489" s="1">
        <v>46276.762499999997</v>
      </c>
      <c r="E1489" s="2">
        <f t="shared" si="23"/>
        <v>44.741666666654055</v>
      </c>
    </row>
    <row r="1490" spans="1:5" x14ac:dyDescent="0.25">
      <c r="A1490" t="s">
        <v>15</v>
      </c>
      <c r="B1490" t="s">
        <v>8</v>
      </c>
      <c r="C1490" s="1">
        <v>46135.581250000003</v>
      </c>
      <c r="D1490" s="1">
        <v>46173.291666666657</v>
      </c>
      <c r="E1490" s="2">
        <f t="shared" si="23"/>
        <v>37.710416666654055</v>
      </c>
    </row>
    <row r="1491" spans="1:5" x14ac:dyDescent="0.25">
      <c r="A1491" t="s">
        <v>61</v>
      </c>
      <c r="B1491" t="s">
        <v>62</v>
      </c>
      <c r="C1491" s="1">
        <v>45965.375</v>
      </c>
      <c r="D1491" s="1">
        <v>46024.729166666657</v>
      </c>
      <c r="E1491" s="2">
        <f t="shared" si="23"/>
        <v>59.354166666656965</v>
      </c>
    </row>
    <row r="1492" spans="1:5" x14ac:dyDescent="0.25">
      <c r="A1492" t="s">
        <v>18</v>
      </c>
      <c r="B1492" t="s">
        <v>27</v>
      </c>
      <c r="C1492" s="1">
        <v>45950.666666666657</v>
      </c>
      <c r="D1492" s="1">
        <v>46030.6875</v>
      </c>
      <c r="E1492" s="2">
        <f t="shared" si="23"/>
        <v>80.020833333343035</v>
      </c>
    </row>
    <row r="1493" spans="1:5" x14ac:dyDescent="0.25">
      <c r="A1493" t="s">
        <v>7</v>
      </c>
      <c r="B1493" t="s">
        <v>8</v>
      </c>
      <c r="C1493" s="1">
        <v>45940.345833333333</v>
      </c>
      <c r="D1493" s="1">
        <v>45989.166666666657</v>
      </c>
      <c r="E1493" s="2">
        <f t="shared" si="23"/>
        <v>48.820833333324117</v>
      </c>
    </row>
    <row r="1494" spans="1:5" x14ac:dyDescent="0.25">
      <c r="A1494" t="s">
        <v>13</v>
      </c>
      <c r="B1494" t="s">
        <v>8</v>
      </c>
      <c r="C1494" s="1">
        <v>46078.533333333333</v>
      </c>
      <c r="D1494" s="1">
        <v>46107.035416666673</v>
      </c>
      <c r="E1494" s="2">
        <f t="shared" si="23"/>
        <v>28.502083333340124</v>
      </c>
    </row>
    <row r="1495" spans="1:5" x14ac:dyDescent="0.25">
      <c r="A1495" t="s">
        <v>9</v>
      </c>
      <c r="B1495" t="s">
        <v>8</v>
      </c>
      <c r="C1495" s="1">
        <v>45879.48333333333</v>
      </c>
      <c r="D1495" s="1">
        <v>45938.662499999999</v>
      </c>
      <c r="E1495" s="2">
        <f t="shared" si="23"/>
        <v>59.179166666668607</v>
      </c>
    </row>
    <row r="1496" spans="1:5" x14ac:dyDescent="0.25">
      <c r="A1496" t="s">
        <v>28</v>
      </c>
      <c r="B1496" t="s">
        <v>30</v>
      </c>
      <c r="C1496" s="1">
        <v>45848.463888888888</v>
      </c>
      <c r="D1496" s="1">
        <v>45903.666666666657</v>
      </c>
      <c r="E1496" s="2">
        <f t="shared" si="23"/>
        <v>55.20277777776937</v>
      </c>
    </row>
    <row r="1497" spans="1:5" x14ac:dyDescent="0.25">
      <c r="A1497" t="s">
        <v>12</v>
      </c>
      <c r="B1497" t="s">
        <v>13</v>
      </c>
      <c r="C1497" s="1">
        <v>46012.541666666657</v>
      </c>
      <c r="D1497" s="1">
        <v>46071.030555555553</v>
      </c>
      <c r="E1497" s="2">
        <f t="shared" si="23"/>
        <v>58.488888888896327</v>
      </c>
    </row>
    <row r="1498" spans="1:5" x14ac:dyDescent="0.25">
      <c r="A1498" t="s">
        <v>15</v>
      </c>
      <c r="B1498" t="s">
        <v>18</v>
      </c>
      <c r="C1498" s="1">
        <v>45967.545138888891</v>
      </c>
      <c r="D1498" s="1">
        <v>46014.96597222222</v>
      </c>
      <c r="E1498" s="2">
        <f t="shared" si="23"/>
        <v>47.420833333329938</v>
      </c>
    </row>
    <row r="1499" spans="1:5" x14ac:dyDescent="0.25">
      <c r="A1499" t="s">
        <v>61</v>
      </c>
      <c r="B1499" t="s">
        <v>13</v>
      </c>
      <c r="C1499" s="1">
        <v>45982.813472222217</v>
      </c>
      <c r="D1499" s="1">
        <v>46025.690972222219</v>
      </c>
      <c r="E1499" s="2">
        <f t="shared" si="23"/>
        <v>42.877500000002328</v>
      </c>
    </row>
    <row r="1500" spans="1:5" x14ac:dyDescent="0.25">
      <c r="A1500" t="s">
        <v>7</v>
      </c>
      <c r="B1500" t="s">
        <v>13</v>
      </c>
      <c r="C1500" s="1">
        <v>46042.912499999999</v>
      </c>
      <c r="D1500" s="1">
        <v>46116.833333333343</v>
      </c>
      <c r="E1500" s="2">
        <f t="shared" si="23"/>
        <v>73.92083333334449</v>
      </c>
    </row>
    <row r="1501" spans="1:5" x14ac:dyDescent="0.25">
      <c r="A1501" t="s">
        <v>5</v>
      </c>
      <c r="B1501" t="s">
        <v>8</v>
      </c>
      <c r="C1501" s="1">
        <v>46072.658333333333</v>
      </c>
      <c r="D1501" s="1">
        <v>46107.929166666669</v>
      </c>
      <c r="E1501" s="2">
        <f t="shared" si="23"/>
        <v>35.270833333335759</v>
      </c>
    </row>
    <row r="1502" spans="1:5" x14ac:dyDescent="0.25">
      <c r="A1502" t="s">
        <v>7</v>
      </c>
      <c r="B1502" t="s">
        <v>8</v>
      </c>
      <c r="C1502" s="1">
        <v>45785.595833333333</v>
      </c>
      <c r="D1502" s="1">
        <v>45818.433333333327</v>
      </c>
      <c r="E1502" s="2">
        <f t="shared" si="23"/>
        <v>32.837499999994179</v>
      </c>
    </row>
    <row r="1503" spans="1:5" x14ac:dyDescent="0.25">
      <c r="A1503" t="s">
        <v>7</v>
      </c>
      <c r="B1503" t="s">
        <v>8</v>
      </c>
      <c r="C1503" s="1">
        <v>45882.166666666657</v>
      </c>
      <c r="D1503" s="1">
        <v>45938.662499999999</v>
      </c>
      <c r="E1503" s="2">
        <f t="shared" si="23"/>
        <v>56.495833333341579</v>
      </c>
    </row>
    <row r="1504" spans="1:5" x14ac:dyDescent="0.25">
      <c r="A1504" t="s">
        <v>15</v>
      </c>
      <c r="B1504" t="s">
        <v>38</v>
      </c>
      <c r="C1504" s="1">
        <v>46171.477083333331</v>
      </c>
      <c r="D1504" s="1">
        <v>46226.684027777781</v>
      </c>
      <c r="E1504" s="2">
        <f t="shared" si="23"/>
        <v>55.206944444449618</v>
      </c>
    </row>
    <row r="1505" spans="1:5" x14ac:dyDescent="0.25">
      <c r="A1505" t="s">
        <v>5</v>
      </c>
      <c r="B1505" t="s">
        <v>8</v>
      </c>
      <c r="C1505" s="1">
        <v>46093.616666666669</v>
      </c>
      <c r="D1505" s="1">
        <v>46141.354166666657</v>
      </c>
      <c r="E1505" s="2">
        <f t="shared" si="23"/>
        <v>47.737499999988358</v>
      </c>
    </row>
    <row r="1506" spans="1:5" x14ac:dyDescent="0.25">
      <c r="A1506" t="s">
        <v>5</v>
      </c>
      <c r="B1506" t="s">
        <v>8</v>
      </c>
      <c r="C1506" s="1">
        <v>46061.879166666673</v>
      </c>
      <c r="D1506" s="1">
        <v>46112.529166666667</v>
      </c>
      <c r="E1506" s="2">
        <f t="shared" si="23"/>
        <v>50.649999999994179</v>
      </c>
    </row>
    <row r="1507" spans="1:5" x14ac:dyDescent="0.25">
      <c r="A1507" t="s">
        <v>35</v>
      </c>
      <c r="B1507" t="s">
        <v>13</v>
      </c>
      <c r="C1507" s="1">
        <v>46164.6875</v>
      </c>
      <c r="D1507" s="1">
        <v>46206.425000000003</v>
      </c>
      <c r="E1507" s="2">
        <f t="shared" si="23"/>
        <v>41.73750000000291</v>
      </c>
    </row>
    <row r="1508" spans="1:5" x14ac:dyDescent="0.25">
      <c r="A1508" t="s">
        <v>42</v>
      </c>
      <c r="B1508" t="s">
        <v>18</v>
      </c>
      <c r="C1508" s="1">
        <v>46101.572916666657</v>
      </c>
      <c r="D1508" s="1">
        <v>46149.996527777781</v>
      </c>
      <c r="E1508" s="2">
        <f t="shared" si="23"/>
        <v>48.423611111124046</v>
      </c>
    </row>
    <row r="1509" spans="1:5" x14ac:dyDescent="0.25">
      <c r="A1509" t="s">
        <v>42</v>
      </c>
      <c r="B1509" t="s">
        <v>19</v>
      </c>
      <c r="C1509" s="1">
        <v>45894.102939814817</v>
      </c>
      <c r="D1509" s="1">
        <v>45931.597916666673</v>
      </c>
      <c r="E1509" s="2">
        <f t="shared" si="23"/>
        <v>37.494976851856336</v>
      </c>
    </row>
    <row r="1510" spans="1:5" x14ac:dyDescent="0.25">
      <c r="A1510" t="s">
        <v>18</v>
      </c>
      <c r="B1510" t="s">
        <v>27</v>
      </c>
      <c r="C1510" s="1">
        <v>45770.262662037043</v>
      </c>
      <c r="D1510" s="1">
        <v>45839.333333333343</v>
      </c>
      <c r="E1510" s="2">
        <f t="shared" si="23"/>
        <v>69.070671296300134</v>
      </c>
    </row>
    <row r="1511" spans="1:5" x14ac:dyDescent="0.25">
      <c r="A1511" t="s">
        <v>61</v>
      </c>
      <c r="B1511" t="s">
        <v>13</v>
      </c>
      <c r="C1511" s="1">
        <v>45975.54583333333</v>
      </c>
      <c r="D1511" s="1">
        <v>46025.690972222219</v>
      </c>
      <c r="E1511" s="2">
        <f t="shared" si="23"/>
        <v>50.145138888889051</v>
      </c>
    </row>
    <row r="1512" spans="1:5" x14ac:dyDescent="0.25">
      <c r="A1512" t="s">
        <v>22</v>
      </c>
      <c r="B1512" t="s">
        <v>19</v>
      </c>
      <c r="C1512" s="1">
        <v>45776.180555555547</v>
      </c>
      <c r="D1512" s="1">
        <v>45842.425000000003</v>
      </c>
      <c r="E1512" s="2">
        <f t="shared" si="23"/>
        <v>66.244444444455439</v>
      </c>
    </row>
    <row r="1513" spans="1:5" x14ac:dyDescent="0.25">
      <c r="A1513" t="s">
        <v>13</v>
      </c>
      <c r="B1513" t="s">
        <v>8</v>
      </c>
      <c r="C1513" s="1">
        <v>46174.882118055553</v>
      </c>
      <c r="D1513" s="1">
        <v>46192.109722222223</v>
      </c>
      <c r="E1513" s="2">
        <f t="shared" si="23"/>
        <v>17.227604166670062</v>
      </c>
    </row>
    <row r="1514" spans="1:5" x14ac:dyDescent="0.25">
      <c r="A1514" t="s">
        <v>27</v>
      </c>
      <c r="B1514" t="s">
        <v>18</v>
      </c>
      <c r="C1514" s="1">
        <v>46131.043055555558</v>
      </c>
      <c r="D1514" s="1">
        <v>46197.100694444453</v>
      </c>
      <c r="E1514" s="2">
        <f t="shared" si="23"/>
        <v>66.057638888894871</v>
      </c>
    </row>
    <row r="1515" spans="1:5" x14ac:dyDescent="0.25">
      <c r="A1515" t="s">
        <v>23</v>
      </c>
      <c r="B1515" t="s">
        <v>19</v>
      </c>
      <c r="C1515" s="1">
        <v>45792.591666666667</v>
      </c>
      <c r="D1515" s="1">
        <v>45827.607638888891</v>
      </c>
      <c r="E1515" s="2">
        <f t="shared" si="23"/>
        <v>35.015972222223354</v>
      </c>
    </row>
    <row r="1516" spans="1:5" x14ac:dyDescent="0.25">
      <c r="A1516" t="s">
        <v>27</v>
      </c>
      <c r="B1516" t="s">
        <v>18</v>
      </c>
      <c r="C1516" s="1">
        <v>45915.629166666673</v>
      </c>
      <c r="D1516" s="1">
        <v>45973.306944444441</v>
      </c>
      <c r="E1516" s="2">
        <f t="shared" si="23"/>
        <v>57.677777777767915</v>
      </c>
    </row>
    <row r="1517" spans="1:5" x14ac:dyDescent="0.25">
      <c r="A1517" t="s">
        <v>9</v>
      </c>
      <c r="B1517" t="s">
        <v>8</v>
      </c>
      <c r="C1517" s="1">
        <v>45869.991666666669</v>
      </c>
      <c r="D1517" s="1">
        <v>45912.762499999997</v>
      </c>
      <c r="E1517" s="2">
        <f t="shared" si="23"/>
        <v>42.770833333328483</v>
      </c>
    </row>
    <row r="1518" spans="1:5" x14ac:dyDescent="0.25">
      <c r="A1518" t="s">
        <v>15</v>
      </c>
      <c r="B1518" t="s">
        <v>6</v>
      </c>
      <c r="C1518" s="1">
        <v>45815.541666666657</v>
      </c>
      <c r="D1518" s="1">
        <v>45885.25</v>
      </c>
      <c r="E1518" s="2">
        <f t="shared" si="23"/>
        <v>69.708333333343035</v>
      </c>
    </row>
    <row r="1519" spans="1:5" x14ac:dyDescent="0.25">
      <c r="A1519" t="s">
        <v>12</v>
      </c>
      <c r="B1519" t="s">
        <v>8</v>
      </c>
      <c r="C1519" s="1">
        <v>46120.254166666673</v>
      </c>
      <c r="D1519" s="1">
        <v>46175.798611111109</v>
      </c>
      <c r="E1519" s="2">
        <f t="shared" si="23"/>
        <v>55.544444444436522</v>
      </c>
    </row>
    <row r="1520" spans="1:5" x14ac:dyDescent="0.25">
      <c r="A1520" t="s">
        <v>15</v>
      </c>
      <c r="B1520" t="s">
        <v>16</v>
      </c>
      <c r="C1520" s="1">
        <v>46092.2</v>
      </c>
      <c r="D1520" s="1">
        <v>46111.666666666657</v>
      </c>
      <c r="E1520" s="2">
        <f t="shared" si="23"/>
        <v>19.466666666659876</v>
      </c>
    </row>
    <row r="1521" spans="1:5" x14ac:dyDescent="0.25">
      <c r="A1521" t="s">
        <v>15</v>
      </c>
      <c r="B1521" t="s">
        <v>8</v>
      </c>
      <c r="C1521" s="1">
        <v>45832.012499999997</v>
      </c>
      <c r="D1521" s="1">
        <v>45865.404861111107</v>
      </c>
      <c r="E1521" s="2">
        <f t="shared" si="23"/>
        <v>33.392361111109494</v>
      </c>
    </row>
    <row r="1522" spans="1:5" x14ac:dyDescent="0.25">
      <c r="A1522" t="s">
        <v>15</v>
      </c>
      <c r="B1522" t="s">
        <v>8</v>
      </c>
      <c r="C1522" s="1">
        <v>46006.65</v>
      </c>
      <c r="D1522" s="1">
        <v>46054.188194444447</v>
      </c>
      <c r="E1522" s="2">
        <f t="shared" si="23"/>
        <v>47.538194444445253</v>
      </c>
    </row>
    <row r="1523" spans="1:5" x14ac:dyDescent="0.25">
      <c r="A1523" t="s">
        <v>15</v>
      </c>
      <c r="B1523" t="s">
        <v>20</v>
      </c>
      <c r="C1523" s="1">
        <v>46185.4</v>
      </c>
      <c r="D1523" s="1">
        <v>46229.652777777781</v>
      </c>
      <c r="E1523" s="2">
        <f t="shared" si="23"/>
        <v>44.252777777779556</v>
      </c>
    </row>
    <row r="1524" spans="1:5" x14ac:dyDescent="0.25">
      <c r="A1524" t="s">
        <v>15</v>
      </c>
      <c r="B1524" t="s">
        <v>16</v>
      </c>
      <c r="C1524" s="1">
        <v>46237.079861111109</v>
      </c>
      <c r="D1524" s="1">
        <v>46260.729166666657</v>
      </c>
      <c r="E1524" s="2">
        <f t="shared" si="23"/>
        <v>23.649305555547471</v>
      </c>
    </row>
    <row r="1525" spans="1:5" x14ac:dyDescent="0.25">
      <c r="A1525" t="s">
        <v>15</v>
      </c>
      <c r="B1525" t="s">
        <v>8</v>
      </c>
      <c r="C1525" s="1">
        <v>46207.548611111109</v>
      </c>
      <c r="D1525" s="1">
        <v>46249.788194444453</v>
      </c>
      <c r="E1525" s="2">
        <f t="shared" si="23"/>
        <v>42.239583333343035</v>
      </c>
    </row>
    <row r="1526" spans="1:5" x14ac:dyDescent="0.25">
      <c r="A1526" t="s">
        <v>15</v>
      </c>
      <c r="B1526" t="s">
        <v>8</v>
      </c>
      <c r="C1526" s="1">
        <v>46152.666666666657</v>
      </c>
      <c r="D1526" s="1">
        <v>46191.105555555558</v>
      </c>
      <c r="E1526" s="2">
        <f t="shared" si="23"/>
        <v>38.438888888900692</v>
      </c>
    </row>
    <row r="1527" spans="1:5" x14ac:dyDescent="0.25">
      <c r="A1527" t="s">
        <v>15</v>
      </c>
      <c r="B1527" t="s">
        <v>8</v>
      </c>
      <c r="C1527" s="1">
        <v>46128.64166666667</v>
      </c>
      <c r="D1527" s="1">
        <v>46175.798611111109</v>
      </c>
      <c r="E1527" s="2">
        <f t="shared" si="23"/>
        <v>47.156944444439432</v>
      </c>
    </row>
    <row r="1528" spans="1:5" x14ac:dyDescent="0.25">
      <c r="A1528" t="s">
        <v>9</v>
      </c>
      <c r="B1528" t="s">
        <v>8</v>
      </c>
      <c r="C1528" s="1">
        <v>45823.041666666657</v>
      </c>
      <c r="D1528" s="1">
        <v>45875.612500000003</v>
      </c>
      <c r="E1528" s="2">
        <f t="shared" si="23"/>
        <v>52.570833333345945</v>
      </c>
    </row>
    <row r="1529" spans="1:5" x14ac:dyDescent="0.25">
      <c r="A1529" t="s">
        <v>15</v>
      </c>
      <c r="B1529" t="s">
        <v>38</v>
      </c>
      <c r="C1529" s="1">
        <v>46232.938194444447</v>
      </c>
      <c r="D1529" s="1">
        <v>46279.838194444441</v>
      </c>
      <c r="E1529" s="2">
        <f t="shared" si="23"/>
        <v>46.899999999994179</v>
      </c>
    </row>
    <row r="1530" spans="1:5" x14ac:dyDescent="0.25">
      <c r="A1530" t="s">
        <v>7</v>
      </c>
      <c r="B1530" t="s">
        <v>8</v>
      </c>
      <c r="C1530" s="1">
        <v>45792.854166666657</v>
      </c>
      <c r="D1530" s="1">
        <v>45839.3125</v>
      </c>
      <c r="E1530" s="2">
        <f t="shared" si="23"/>
        <v>46.458333333343035</v>
      </c>
    </row>
    <row r="1531" spans="1:5" x14ac:dyDescent="0.25">
      <c r="A1531" t="s">
        <v>7</v>
      </c>
      <c r="B1531" t="s">
        <v>8</v>
      </c>
      <c r="C1531" s="1">
        <v>45785.595833333333</v>
      </c>
      <c r="D1531" s="1">
        <v>45818.433333333327</v>
      </c>
      <c r="E1531" s="2">
        <f t="shared" si="23"/>
        <v>32.837499999994179</v>
      </c>
    </row>
    <row r="1532" spans="1:5" x14ac:dyDescent="0.25">
      <c r="A1532" t="s">
        <v>5</v>
      </c>
      <c r="B1532" t="s">
        <v>8</v>
      </c>
      <c r="C1532" s="1">
        <v>45995.0625</v>
      </c>
      <c r="D1532" s="1">
        <v>46028.791666666657</v>
      </c>
      <c r="E1532" s="2">
        <f t="shared" si="23"/>
        <v>33.729166666656965</v>
      </c>
    </row>
    <row r="1533" spans="1:5" x14ac:dyDescent="0.25">
      <c r="A1533" t="s">
        <v>7</v>
      </c>
      <c r="B1533" t="s">
        <v>8</v>
      </c>
      <c r="C1533" s="1">
        <v>45910.819444444453</v>
      </c>
      <c r="D1533" s="1">
        <v>45948.104166666657</v>
      </c>
      <c r="E1533" s="2">
        <f t="shared" si="23"/>
        <v>37.284722222204437</v>
      </c>
    </row>
    <row r="1534" spans="1:5" x14ac:dyDescent="0.25">
      <c r="A1534" t="s">
        <v>7</v>
      </c>
      <c r="B1534" t="s">
        <v>8</v>
      </c>
      <c r="C1534" s="1">
        <v>45920.587500000001</v>
      </c>
      <c r="D1534" s="1">
        <v>45965.662499999999</v>
      </c>
      <c r="E1534" s="2">
        <f t="shared" si="23"/>
        <v>45.07499999999709</v>
      </c>
    </row>
    <row r="1535" spans="1:5" x14ac:dyDescent="0.25">
      <c r="A1535" t="s">
        <v>7</v>
      </c>
      <c r="B1535" t="s">
        <v>8</v>
      </c>
      <c r="C1535" s="1">
        <v>45920.587500000001</v>
      </c>
      <c r="D1535" s="1">
        <v>45965.662499999999</v>
      </c>
      <c r="E1535" s="2">
        <f t="shared" si="23"/>
        <v>45.07499999999709</v>
      </c>
    </row>
    <row r="1536" spans="1:5" x14ac:dyDescent="0.25">
      <c r="A1536" t="s">
        <v>7</v>
      </c>
      <c r="B1536" t="s">
        <v>8</v>
      </c>
      <c r="C1536" s="1">
        <v>45777.64166666667</v>
      </c>
      <c r="D1536" s="1">
        <v>45818.433333333327</v>
      </c>
      <c r="E1536" s="2">
        <f t="shared" si="23"/>
        <v>40.791666666656965</v>
      </c>
    </row>
    <row r="1537" spans="1:5" x14ac:dyDescent="0.25">
      <c r="A1537" t="s">
        <v>7</v>
      </c>
      <c r="B1537" t="s">
        <v>8</v>
      </c>
      <c r="C1537" s="1">
        <v>45920.587500000001</v>
      </c>
      <c r="D1537" s="1">
        <v>45965.662499999999</v>
      </c>
      <c r="E1537" s="2">
        <f t="shared" si="23"/>
        <v>45.07499999999709</v>
      </c>
    </row>
    <row r="1538" spans="1:5" x14ac:dyDescent="0.25">
      <c r="A1538" t="s">
        <v>5</v>
      </c>
      <c r="B1538" t="s">
        <v>56</v>
      </c>
      <c r="C1538" s="1">
        <v>46088.612500000003</v>
      </c>
      <c r="D1538" s="1">
        <v>46125.1875</v>
      </c>
      <c r="E1538" s="2">
        <f t="shared" ref="E1538:E1601" si="24">D1538-C1538</f>
        <v>36.57499999999709</v>
      </c>
    </row>
    <row r="1539" spans="1:5" x14ac:dyDescent="0.25">
      <c r="A1539" t="s">
        <v>5</v>
      </c>
      <c r="B1539" t="s">
        <v>8</v>
      </c>
      <c r="C1539" s="1">
        <v>45659.054166666669</v>
      </c>
      <c r="D1539" s="1">
        <v>45685.674305555563</v>
      </c>
      <c r="E1539" s="2">
        <f t="shared" si="24"/>
        <v>26.620138888894871</v>
      </c>
    </row>
    <row r="1540" spans="1:5" x14ac:dyDescent="0.25">
      <c r="A1540" t="s">
        <v>16</v>
      </c>
      <c r="B1540" t="s">
        <v>8</v>
      </c>
      <c r="C1540" s="1">
        <v>45764.879166666673</v>
      </c>
      <c r="D1540" s="1">
        <v>45827.75</v>
      </c>
      <c r="E1540" s="2">
        <f t="shared" si="24"/>
        <v>62.870833333327028</v>
      </c>
    </row>
    <row r="1541" spans="1:5" x14ac:dyDescent="0.25">
      <c r="A1541" t="s">
        <v>48</v>
      </c>
      <c r="B1541" t="s">
        <v>12</v>
      </c>
      <c r="C1541" s="1">
        <v>46089.85</v>
      </c>
      <c r="D1541" s="1">
        <v>46178.570833333331</v>
      </c>
      <c r="E1541" s="2">
        <f t="shared" si="24"/>
        <v>88.720833333332848</v>
      </c>
    </row>
    <row r="1542" spans="1:5" x14ac:dyDescent="0.25">
      <c r="A1542" t="s">
        <v>5</v>
      </c>
      <c r="B1542" t="s">
        <v>8</v>
      </c>
      <c r="C1542" s="1">
        <v>45731.86041666667</v>
      </c>
      <c r="D1542" s="1">
        <v>45761.418541666673</v>
      </c>
      <c r="E1542" s="2">
        <f t="shared" si="24"/>
        <v>29.558125000003201</v>
      </c>
    </row>
    <row r="1543" spans="1:5" x14ac:dyDescent="0.25">
      <c r="A1543" t="s">
        <v>5</v>
      </c>
      <c r="B1543" t="s">
        <v>8</v>
      </c>
      <c r="C1543" s="1">
        <v>45707.758333333331</v>
      </c>
      <c r="D1543" s="1">
        <v>45734.852777777778</v>
      </c>
      <c r="E1543" s="2">
        <f t="shared" si="24"/>
        <v>27.094444444446708</v>
      </c>
    </row>
    <row r="1544" spans="1:5" x14ac:dyDescent="0.25">
      <c r="A1544" t="s">
        <v>7</v>
      </c>
      <c r="B1544" t="s">
        <v>8</v>
      </c>
      <c r="C1544" s="1">
        <v>45785.595833333333</v>
      </c>
      <c r="D1544" s="1">
        <v>45818.433333333327</v>
      </c>
      <c r="E1544" s="2">
        <f t="shared" si="24"/>
        <v>32.837499999994179</v>
      </c>
    </row>
    <row r="1545" spans="1:5" x14ac:dyDescent="0.25">
      <c r="A1545" t="s">
        <v>7</v>
      </c>
      <c r="B1545" t="s">
        <v>8</v>
      </c>
      <c r="C1545" s="1">
        <v>45920.587500000001</v>
      </c>
      <c r="D1545" s="1">
        <v>45965.662499999999</v>
      </c>
      <c r="E1545" s="2">
        <f t="shared" si="24"/>
        <v>45.07499999999709</v>
      </c>
    </row>
    <row r="1546" spans="1:5" x14ac:dyDescent="0.25">
      <c r="A1546" t="s">
        <v>5</v>
      </c>
      <c r="B1546" t="s">
        <v>8</v>
      </c>
      <c r="C1546" s="1">
        <v>45715.841666666667</v>
      </c>
      <c r="D1546" s="1">
        <v>45741.816666666673</v>
      </c>
      <c r="E1546" s="2">
        <f t="shared" si="24"/>
        <v>25.975000000005821</v>
      </c>
    </row>
    <row r="1547" spans="1:5" x14ac:dyDescent="0.25">
      <c r="A1547" t="s">
        <v>7</v>
      </c>
      <c r="B1547" t="s">
        <v>8</v>
      </c>
      <c r="C1547" s="1">
        <v>45822.271527777782</v>
      </c>
      <c r="D1547" s="1">
        <v>45875.612500000003</v>
      </c>
      <c r="E1547" s="2">
        <f t="shared" si="24"/>
        <v>53.340972222220444</v>
      </c>
    </row>
    <row r="1548" spans="1:5" x14ac:dyDescent="0.25">
      <c r="A1548" t="s">
        <v>5</v>
      </c>
      <c r="B1548" t="s">
        <v>8</v>
      </c>
      <c r="C1548" s="1">
        <v>45735.674305555563</v>
      </c>
      <c r="D1548" s="1">
        <v>45764.537499999999</v>
      </c>
      <c r="E1548" s="2">
        <f t="shared" si="24"/>
        <v>28.863194444435067</v>
      </c>
    </row>
    <row r="1549" spans="1:5" x14ac:dyDescent="0.25">
      <c r="A1549" t="s">
        <v>5</v>
      </c>
      <c r="B1549" t="s">
        <v>8</v>
      </c>
      <c r="C1549" s="1">
        <v>45735.674305555563</v>
      </c>
      <c r="D1549" s="1">
        <v>45764.537499999999</v>
      </c>
      <c r="E1549" s="2">
        <f t="shared" si="24"/>
        <v>28.863194444435067</v>
      </c>
    </row>
    <row r="1550" spans="1:5" x14ac:dyDescent="0.25">
      <c r="A1550" t="s">
        <v>5</v>
      </c>
      <c r="B1550" t="s">
        <v>8</v>
      </c>
      <c r="C1550" s="1">
        <v>46144.330104166656</v>
      </c>
      <c r="D1550" s="1">
        <v>46174.830555555563</v>
      </c>
      <c r="E1550" s="2">
        <f t="shared" si="24"/>
        <v>30.500451388907095</v>
      </c>
    </row>
    <row r="1551" spans="1:5" x14ac:dyDescent="0.25">
      <c r="A1551" t="s">
        <v>5</v>
      </c>
      <c r="B1551" t="s">
        <v>8</v>
      </c>
      <c r="C1551" s="1">
        <v>45735.674305555563</v>
      </c>
      <c r="D1551" s="1">
        <v>45764.537499999999</v>
      </c>
      <c r="E1551" s="2">
        <f t="shared" si="24"/>
        <v>28.863194444435067</v>
      </c>
    </row>
    <row r="1552" spans="1:5" x14ac:dyDescent="0.25">
      <c r="A1552" t="s">
        <v>34</v>
      </c>
      <c r="B1552" t="s">
        <v>13</v>
      </c>
      <c r="C1552" s="1">
        <v>46069.268055555563</v>
      </c>
      <c r="D1552" s="1">
        <v>46092.604166666657</v>
      </c>
      <c r="E1552" s="2">
        <f t="shared" si="24"/>
        <v>23.336111111093487</v>
      </c>
    </row>
    <row r="1553" spans="1:5" x14ac:dyDescent="0.25">
      <c r="A1553" t="s">
        <v>23</v>
      </c>
      <c r="B1553" t="s">
        <v>18</v>
      </c>
      <c r="C1553" s="1">
        <v>46051.133333333331</v>
      </c>
      <c r="D1553" s="1">
        <v>46100.083333333343</v>
      </c>
      <c r="E1553" s="2">
        <f t="shared" si="24"/>
        <v>48.950000000011642</v>
      </c>
    </row>
    <row r="1554" spans="1:5" x14ac:dyDescent="0.25">
      <c r="A1554" t="s">
        <v>8</v>
      </c>
      <c r="B1554" t="s">
        <v>18</v>
      </c>
      <c r="C1554" s="1">
        <v>46220.605555555558</v>
      </c>
      <c r="D1554" s="1">
        <v>46269.7</v>
      </c>
      <c r="E1554" s="2">
        <f t="shared" si="24"/>
        <v>49.094444444439432</v>
      </c>
    </row>
    <row r="1555" spans="1:5" x14ac:dyDescent="0.25">
      <c r="A1555" t="s">
        <v>7</v>
      </c>
      <c r="B1555" t="s">
        <v>8</v>
      </c>
      <c r="C1555" s="1">
        <v>45903.083333333343</v>
      </c>
      <c r="D1555" s="1">
        <v>45938.662499999999</v>
      </c>
      <c r="E1555" s="2">
        <f t="shared" si="24"/>
        <v>35.57916666665551</v>
      </c>
    </row>
    <row r="1556" spans="1:5" x14ac:dyDescent="0.25">
      <c r="A1556" t="s">
        <v>34</v>
      </c>
      <c r="B1556" t="s">
        <v>13</v>
      </c>
      <c r="C1556" s="1">
        <v>46043.711805555547</v>
      </c>
      <c r="D1556" s="1">
        <v>46083.593055555553</v>
      </c>
      <c r="E1556" s="2">
        <f t="shared" si="24"/>
        <v>39.881250000005821</v>
      </c>
    </row>
    <row r="1557" spans="1:5" x14ac:dyDescent="0.25">
      <c r="A1557" t="s">
        <v>15</v>
      </c>
      <c r="B1557" t="s">
        <v>13</v>
      </c>
      <c r="C1557" s="1">
        <v>46198.539953703701</v>
      </c>
      <c r="D1557" s="1">
        <v>46236.826388888891</v>
      </c>
      <c r="E1557" s="2">
        <f t="shared" si="24"/>
        <v>38.286435185189475</v>
      </c>
    </row>
    <row r="1558" spans="1:5" x14ac:dyDescent="0.25">
      <c r="A1558" t="s">
        <v>15</v>
      </c>
      <c r="B1558" t="s">
        <v>13</v>
      </c>
      <c r="C1558" s="1">
        <v>46099.5</v>
      </c>
      <c r="D1558" s="1">
        <v>46139.532638888893</v>
      </c>
      <c r="E1558" s="2">
        <f t="shared" si="24"/>
        <v>40.032638888893416</v>
      </c>
    </row>
    <row r="1559" spans="1:5" x14ac:dyDescent="0.25">
      <c r="A1559" t="s">
        <v>11</v>
      </c>
      <c r="B1559" t="s">
        <v>21</v>
      </c>
      <c r="C1559" s="1">
        <v>46059.073611111111</v>
      </c>
      <c r="D1559" s="1">
        <v>46070.507638888892</v>
      </c>
      <c r="E1559" s="2">
        <f t="shared" si="24"/>
        <v>11.434027777781012</v>
      </c>
    </row>
    <row r="1560" spans="1:5" x14ac:dyDescent="0.25">
      <c r="A1560" t="s">
        <v>5</v>
      </c>
      <c r="B1560" t="s">
        <v>8</v>
      </c>
      <c r="C1560" s="1">
        <v>46072.658333333333</v>
      </c>
      <c r="D1560" s="1">
        <v>46107.929166666669</v>
      </c>
      <c r="E1560" s="2">
        <f t="shared" si="24"/>
        <v>35.270833333335759</v>
      </c>
    </row>
    <row r="1561" spans="1:5" x14ac:dyDescent="0.25">
      <c r="A1561" t="s">
        <v>8</v>
      </c>
      <c r="B1561" t="s">
        <v>19</v>
      </c>
      <c r="C1561" s="1">
        <v>46141.833333333343</v>
      </c>
      <c r="D1561" s="1">
        <v>46187.854166666657</v>
      </c>
      <c r="E1561" s="2">
        <f t="shared" si="24"/>
        <v>46.020833333313931</v>
      </c>
    </row>
    <row r="1562" spans="1:5" x14ac:dyDescent="0.25">
      <c r="A1562" t="s">
        <v>7</v>
      </c>
      <c r="B1562" t="s">
        <v>8</v>
      </c>
      <c r="C1562" s="1">
        <v>45847.879166666673</v>
      </c>
      <c r="D1562" s="1">
        <v>45910.25</v>
      </c>
      <c r="E1562" s="2">
        <f t="shared" si="24"/>
        <v>62.370833333327028</v>
      </c>
    </row>
    <row r="1563" spans="1:5" x14ac:dyDescent="0.25">
      <c r="A1563" t="s">
        <v>7</v>
      </c>
      <c r="B1563" t="s">
        <v>8</v>
      </c>
      <c r="C1563" s="1">
        <v>45847.879166666673</v>
      </c>
      <c r="D1563" s="1">
        <v>45910.25</v>
      </c>
      <c r="E1563" s="2">
        <f t="shared" si="24"/>
        <v>62.370833333327028</v>
      </c>
    </row>
    <row r="1564" spans="1:5" x14ac:dyDescent="0.25">
      <c r="A1564" t="s">
        <v>7</v>
      </c>
      <c r="B1564" t="s">
        <v>8</v>
      </c>
      <c r="C1564" s="1">
        <v>45777.64166666667</v>
      </c>
      <c r="D1564" s="1">
        <v>45818.416666666657</v>
      </c>
      <c r="E1564" s="2">
        <f t="shared" si="24"/>
        <v>40.774999999986903</v>
      </c>
    </row>
    <row r="1565" spans="1:5" x14ac:dyDescent="0.25">
      <c r="A1565" t="s">
        <v>22</v>
      </c>
      <c r="B1565" t="s">
        <v>19</v>
      </c>
      <c r="C1565" s="1">
        <v>45883.767754629633</v>
      </c>
      <c r="D1565" s="1">
        <v>45932.267418981479</v>
      </c>
      <c r="E1565" s="2">
        <f t="shared" si="24"/>
        <v>48.49966435184615</v>
      </c>
    </row>
    <row r="1566" spans="1:5" x14ac:dyDescent="0.25">
      <c r="A1566" t="s">
        <v>7</v>
      </c>
      <c r="B1566" t="s">
        <v>11</v>
      </c>
      <c r="C1566" s="1">
        <v>46050.741666666669</v>
      </c>
      <c r="D1566" s="1">
        <v>46133.220833333333</v>
      </c>
      <c r="E1566" s="2">
        <f t="shared" si="24"/>
        <v>82.479166666664241</v>
      </c>
    </row>
    <row r="1567" spans="1:5" x14ac:dyDescent="0.25">
      <c r="A1567" t="s">
        <v>7</v>
      </c>
      <c r="B1567" t="s">
        <v>8</v>
      </c>
      <c r="C1567" s="1">
        <v>45834.537499999999</v>
      </c>
      <c r="D1567" s="1">
        <v>45885.783333333333</v>
      </c>
      <c r="E1567" s="2">
        <f t="shared" si="24"/>
        <v>51.245833333334303</v>
      </c>
    </row>
    <row r="1568" spans="1:5" x14ac:dyDescent="0.25">
      <c r="A1568" t="s">
        <v>23</v>
      </c>
      <c r="B1568" t="s">
        <v>18</v>
      </c>
      <c r="C1568" s="1">
        <v>46034.098611111112</v>
      </c>
      <c r="D1568" s="1">
        <v>46079.863888888889</v>
      </c>
      <c r="E1568" s="2">
        <f t="shared" si="24"/>
        <v>45.765277777776646</v>
      </c>
    </row>
    <row r="1569" spans="1:5" x14ac:dyDescent="0.25">
      <c r="A1569" t="s">
        <v>22</v>
      </c>
      <c r="B1569" t="s">
        <v>19</v>
      </c>
      <c r="C1569" s="1">
        <v>45740.18445601852</v>
      </c>
      <c r="D1569" s="1">
        <v>45816.841666666667</v>
      </c>
      <c r="E1569" s="2">
        <f t="shared" si="24"/>
        <v>76.657210648147156</v>
      </c>
    </row>
    <row r="1570" spans="1:5" x14ac:dyDescent="0.25">
      <c r="A1570" t="s">
        <v>11</v>
      </c>
      <c r="B1570" t="s">
        <v>7</v>
      </c>
      <c r="C1570" s="1">
        <v>46014.677777777782</v>
      </c>
      <c r="D1570" s="1">
        <v>46085.020833333343</v>
      </c>
      <c r="E1570" s="2">
        <f t="shared" si="24"/>
        <v>70.343055555560568</v>
      </c>
    </row>
    <row r="1571" spans="1:5" x14ac:dyDescent="0.25">
      <c r="A1571" t="s">
        <v>13</v>
      </c>
      <c r="B1571" t="s">
        <v>8</v>
      </c>
      <c r="C1571" s="1">
        <v>46083.459027777782</v>
      </c>
      <c r="D1571" s="1">
        <v>46107.035416666673</v>
      </c>
      <c r="E1571" s="2">
        <f t="shared" si="24"/>
        <v>23.576388888890506</v>
      </c>
    </row>
    <row r="1572" spans="1:5" x14ac:dyDescent="0.25">
      <c r="A1572" t="s">
        <v>7</v>
      </c>
      <c r="B1572" t="s">
        <v>11</v>
      </c>
      <c r="C1572" s="1">
        <v>45883.122916666667</v>
      </c>
      <c r="D1572" s="1">
        <v>45951.404166666667</v>
      </c>
      <c r="E1572" s="2">
        <f t="shared" si="24"/>
        <v>68.28125</v>
      </c>
    </row>
    <row r="1573" spans="1:5" x14ac:dyDescent="0.25">
      <c r="A1573" t="s">
        <v>23</v>
      </c>
      <c r="B1573" t="s">
        <v>30</v>
      </c>
      <c r="C1573" s="1">
        <v>45897.603472222218</v>
      </c>
      <c r="D1573" s="1">
        <v>45940.215277777781</v>
      </c>
      <c r="E1573" s="2">
        <f t="shared" si="24"/>
        <v>42.611805555563478</v>
      </c>
    </row>
    <row r="1574" spans="1:5" x14ac:dyDescent="0.25">
      <c r="A1574" t="s">
        <v>5</v>
      </c>
      <c r="B1574" t="s">
        <v>8</v>
      </c>
      <c r="C1574" s="1">
        <v>45750.686111111107</v>
      </c>
      <c r="D1574" s="1">
        <v>45782.671527777777</v>
      </c>
      <c r="E1574" s="2">
        <f t="shared" si="24"/>
        <v>31.985416666670062</v>
      </c>
    </row>
    <row r="1575" spans="1:5" x14ac:dyDescent="0.25">
      <c r="A1575" t="s">
        <v>11</v>
      </c>
      <c r="B1575" t="s">
        <v>37</v>
      </c>
      <c r="C1575" s="1">
        <v>46124.32671296296</v>
      </c>
      <c r="D1575" s="1">
        <v>46141.252083333333</v>
      </c>
      <c r="E1575" s="2">
        <f t="shared" si="24"/>
        <v>16.925370370372548</v>
      </c>
    </row>
    <row r="1576" spans="1:5" x14ac:dyDescent="0.25">
      <c r="A1576" t="s">
        <v>11</v>
      </c>
      <c r="B1576" t="s">
        <v>37</v>
      </c>
      <c r="C1576" s="1">
        <v>45727.254166666673</v>
      </c>
      <c r="D1576" s="1">
        <v>45742.283333333333</v>
      </c>
      <c r="E1576" s="2">
        <f t="shared" si="24"/>
        <v>15.029166666659876</v>
      </c>
    </row>
    <row r="1577" spans="1:5" x14ac:dyDescent="0.25">
      <c r="A1577" t="s">
        <v>15</v>
      </c>
      <c r="B1577" t="s">
        <v>38</v>
      </c>
      <c r="C1577" s="1">
        <v>46232.938194444447</v>
      </c>
      <c r="D1577" s="1">
        <v>46279.838194444441</v>
      </c>
      <c r="E1577" s="2">
        <f t="shared" si="24"/>
        <v>46.899999999994179</v>
      </c>
    </row>
    <row r="1578" spans="1:5" x14ac:dyDescent="0.25">
      <c r="A1578" t="s">
        <v>7</v>
      </c>
      <c r="B1578" t="s">
        <v>8</v>
      </c>
      <c r="C1578" s="1">
        <v>45931.208333333343</v>
      </c>
      <c r="D1578" s="1">
        <v>45966.508333333331</v>
      </c>
      <c r="E1578" s="2">
        <f t="shared" si="24"/>
        <v>35.299999999988358</v>
      </c>
    </row>
    <row r="1579" spans="1:5" x14ac:dyDescent="0.25">
      <c r="A1579" t="s">
        <v>5</v>
      </c>
      <c r="B1579" t="s">
        <v>8</v>
      </c>
      <c r="C1579" s="1">
        <v>45958.999305555553</v>
      </c>
      <c r="D1579" s="1">
        <v>45993.345833333333</v>
      </c>
      <c r="E1579" s="2">
        <f t="shared" si="24"/>
        <v>34.346527777779556</v>
      </c>
    </row>
    <row r="1580" spans="1:5" x14ac:dyDescent="0.25">
      <c r="A1580" t="s">
        <v>7</v>
      </c>
      <c r="B1580" t="s">
        <v>8</v>
      </c>
      <c r="C1580" s="1">
        <v>45792.854166666657</v>
      </c>
      <c r="D1580" s="1">
        <v>45839.3125</v>
      </c>
      <c r="E1580" s="2">
        <f t="shared" si="24"/>
        <v>46.458333333343035</v>
      </c>
    </row>
    <row r="1581" spans="1:5" x14ac:dyDescent="0.25">
      <c r="A1581" t="s">
        <v>7</v>
      </c>
      <c r="B1581" t="s">
        <v>11</v>
      </c>
      <c r="C1581" s="1">
        <v>46086.82916666667</v>
      </c>
      <c r="D1581" s="1">
        <v>46161.837500000001</v>
      </c>
      <c r="E1581" s="2">
        <f t="shared" si="24"/>
        <v>75.008333333331393</v>
      </c>
    </row>
    <row r="1582" spans="1:5" x14ac:dyDescent="0.25">
      <c r="A1582" t="s">
        <v>7</v>
      </c>
      <c r="B1582" t="s">
        <v>8</v>
      </c>
      <c r="C1582" s="1">
        <v>45920.643055555563</v>
      </c>
      <c r="D1582" s="1">
        <v>45965.662499999999</v>
      </c>
      <c r="E1582" s="2">
        <f t="shared" si="24"/>
        <v>45.019444444435067</v>
      </c>
    </row>
    <row r="1583" spans="1:5" x14ac:dyDescent="0.25">
      <c r="A1583" t="s">
        <v>13</v>
      </c>
      <c r="B1583" t="s">
        <v>8</v>
      </c>
      <c r="C1583" s="1">
        <v>46078.533333333333</v>
      </c>
      <c r="D1583" s="1">
        <v>46107.035416666673</v>
      </c>
      <c r="E1583" s="2">
        <f t="shared" si="24"/>
        <v>28.502083333340124</v>
      </c>
    </row>
    <row r="1584" spans="1:5" x14ac:dyDescent="0.25">
      <c r="A1584" t="s">
        <v>23</v>
      </c>
      <c r="B1584" t="s">
        <v>8</v>
      </c>
      <c r="C1584" s="1">
        <v>46071.116932870369</v>
      </c>
      <c r="D1584" s="1">
        <v>46131.394583333327</v>
      </c>
      <c r="E1584" s="2">
        <f t="shared" si="24"/>
        <v>60.277650462958263</v>
      </c>
    </row>
    <row r="1585" spans="1:5" x14ac:dyDescent="0.25">
      <c r="A1585" t="s">
        <v>22</v>
      </c>
      <c r="B1585" t="s">
        <v>19</v>
      </c>
      <c r="C1585" s="1">
        <v>45896.181435185194</v>
      </c>
      <c r="D1585" s="1">
        <v>45938.941678240742</v>
      </c>
      <c r="E1585" s="2">
        <f t="shared" si="24"/>
        <v>42.760243055548926</v>
      </c>
    </row>
    <row r="1586" spans="1:5" x14ac:dyDescent="0.25">
      <c r="A1586" t="s">
        <v>22</v>
      </c>
      <c r="B1586" t="s">
        <v>6</v>
      </c>
      <c r="C1586" s="1">
        <v>46081.625150462962</v>
      </c>
      <c r="D1586" s="1">
        <v>46164.842685185176</v>
      </c>
      <c r="E1586" s="2">
        <f t="shared" si="24"/>
        <v>83.217534722214623</v>
      </c>
    </row>
    <row r="1587" spans="1:5" x14ac:dyDescent="0.25">
      <c r="A1587" t="s">
        <v>15</v>
      </c>
      <c r="B1587" t="s">
        <v>20</v>
      </c>
      <c r="C1587" s="1">
        <v>46232.020833333343</v>
      </c>
      <c r="D1587" s="1">
        <v>46276.762499999997</v>
      </c>
      <c r="E1587" s="2">
        <f t="shared" si="24"/>
        <v>44.741666666654055</v>
      </c>
    </row>
    <row r="1588" spans="1:5" x14ac:dyDescent="0.25">
      <c r="A1588" t="s">
        <v>15</v>
      </c>
      <c r="B1588" t="s">
        <v>38</v>
      </c>
      <c r="C1588" s="1">
        <v>46095.359722222223</v>
      </c>
      <c r="D1588" s="1">
        <v>46139.943055555559</v>
      </c>
      <c r="E1588" s="2">
        <f t="shared" si="24"/>
        <v>44.583333333335759</v>
      </c>
    </row>
    <row r="1589" spans="1:5" x14ac:dyDescent="0.25">
      <c r="A1589" t="s">
        <v>15</v>
      </c>
      <c r="B1589" t="s">
        <v>8</v>
      </c>
      <c r="C1589" s="1">
        <v>45847.030555555553</v>
      </c>
      <c r="D1589" s="1">
        <v>45884.25</v>
      </c>
      <c r="E1589" s="2">
        <f t="shared" si="24"/>
        <v>37.219444444446708</v>
      </c>
    </row>
    <row r="1590" spans="1:5" x14ac:dyDescent="0.25">
      <c r="A1590" t="s">
        <v>15</v>
      </c>
      <c r="B1590" t="s">
        <v>18</v>
      </c>
      <c r="C1590" s="1">
        <v>46149.625</v>
      </c>
      <c r="D1590" s="1">
        <v>46200.291666666657</v>
      </c>
      <c r="E1590" s="2">
        <f t="shared" si="24"/>
        <v>50.666666666656965</v>
      </c>
    </row>
    <row r="1591" spans="1:5" x14ac:dyDescent="0.25">
      <c r="A1591" t="s">
        <v>15</v>
      </c>
      <c r="B1591" t="s">
        <v>8</v>
      </c>
      <c r="C1591" s="1">
        <v>45937.511805555558</v>
      </c>
      <c r="D1591" s="1">
        <v>45984.291666666657</v>
      </c>
      <c r="E1591" s="2">
        <f t="shared" si="24"/>
        <v>46.779861111099308</v>
      </c>
    </row>
    <row r="1592" spans="1:5" x14ac:dyDescent="0.25">
      <c r="A1592" t="s">
        <v>15</v>
      </c>
      <c r="B1592" t="s">
        <v>19</v>
      </c>
      <c r="C1592" s="1">
        <v>45880.416932870372</v>
      </c>
      <c r="D1592" s="1">
        <v>45920.332800925928</v>
      </c>
      <c r="E1592" s="2">
        <f t="shared" si="24"/>
        <v>39.91586805555562</v>
      </c>
    </row>
    <row r="1593" spans="1:5" x14ac:dyDescent="0.25">
      <c r="A1593" t="s">
        <v>15</v>
      </c>
      <c r="B1593" t="s">
        <v>16</v>
      </c>
      <c r="C1593" s="1">
        <v>46013.098611111112</v>
      </c>
      <c r="D1593" s="1">
        <v>46045.541666666657</v>
      </c>
      <c r="E1593" s="2">
        <f t="shared" si="24"/>
        <v>32.443055555544561</v>
      </c>
    </row>
    <row r="1594" spans="1:5" x14ac:dyDescent="0.25">
      <c r="A1594" t="s">
        <v>15</v>
      </c>
      <c r="B1594" t="s">
        <v>20</v>
      </c>
      <c r="C1594" s="1">
        <v>46220.508333333331</v>
      </c>
      <c r="D1594" s="1">
        <v>46258.07916666667</v>
      </c>
      <c r="E1594" s="2">
        <f t="shared" si="24"/>
        <v>37.570833333338669</v>
      </c>
    </row>
    <row r="1595" spans="1:5" x14ac:dyDescent="0.25">
      <c r="A1595" t="s">
        <v>15</v>
      </c>
      <c r="B1595" t="s">
        <v>8</v>
      </c>
      <c r="C1595" s="1">
        <v>46005.362500000003</v>
      </c>
      <c r="D1595" s="1">
        <v>46040.25</v>
      </c>
      <c r="E1595" s="2">
        <f t="shared" si="24"/>
        <v>34.88749999999709</v>
      </c>
    </row>
    <row r="1596" spans="1:5" x14ac:dyDescent="0.25">
      <c r="A1596" t="s">
        <v>15</v>
      </c>
      <c r="B1596" t="s">
        <v>38</v>
      </c>
      <c r="C1596" s="1">
        <v>46218.13789351852</v>
      </c>
      <c r="D1596" s="1">
        <v>46274.261631944442</v>
      </c>
      <c r="E1596" s="2">
        <f t="shared" si="24"/>
        <v>56.123738425922056</v>
      </c>
    </row>
    <row r="1597" spans="1:5" x14ac:dyDescent="0.25">
      <c r="A1597" t="s">
        <v>15</v>
      </c>
      <c r="B1597" t="s">
        <v>8</v>
      </c>
      <c r="C1597" s="1">
        <v>45838.1</v>
      </c>
      <c r="D1597" s="1">
        <v>45889.556944444441</v>
      </c>
      <c r="E1597" s="2">
        <f t="shared" si="24"/>
        <v>51.456944444442343</v>
      </c>
    </row>
    <row r="1598" spans="1:5" x14ac:dyDescent="0.25">
      <c r="A1598" t="s">
        <v>15</v>
      </c>
      <c r="B1598" t="s">
        <v>18</v>
      </c>
      <c r="C1598" s="1">
        <v>46177.45416666667</v>
      </c>
      <c r="D1598" s="1">
        <v>46246.278900462959</v>
      </c>
      <c r="E1598" s="2">
        <f t="shared" si="24"/>
        <v>68.824733796289365</v>
      </c>
    </row>
    <row r="1599" spans="1:5" x14ac:dyDescent="0.25">
      <c r="A1599" t="s">
        <v>15</v>
      </c>
      <c r="B1599" t="s">
        <v>20</v>
      </c>
      <c r="C1599" s="1">
        <v>46232.020833333343</v>
      </c>
      <c r="D1599" s="1">
        <v>46276.762499999997</v>
      </c>
      <c r="E1599" s="2">
        <f t="shared" si="24"/>
        <v>44.741666666654055</v>
      </c>
    </row>
    <row r="1600" spans="1:5" x14ac:dyDescent="0.25">
      <c r="A1600" t="s">
        <v>15</v>
      </c>
      <c r="B1600" t="s">
        <v>38</v>
      </c>
      <c r="C1600" s="1">
        <v>46024.241666666669</v>
      </c>
      <c r="D1600" s="1">
        <v>46070.679166666669</v>
      </c>
      <c r="E1600" s="2">
        <f t="shared" si="24"/>
        <v>46.4375</v>
      </c>
    </row>
    <row r="1601" spans="1:5" x14ac:dyDescent="0.25">
      <c r="A1601" t="s">
        <v>15</v>
      </c>
      <c r="B1601" t="s">
        <v>8</v>
      </c>
      <c r="C1601" s="1">
        <v>46229.473611111112</v>
      </c>
      <c r="D1601" s="1">
        <v>46268.117361111108</v>
      </c>
      <c r="E1601" s="2">
        <f t="shared" si="24"/>
        <v>38.643749999995634</v>
      </c>
    </row>
    <row r="1602" spans="1:5" x14ac:dyDescent="0.25">
      <c r="A1602" t="s">
        <v>15</v>
      </c>
      <c r="B1602" t="s">
        <v>16</v>
      </c>
      <c r="C1602" s="1">
        <v>46183.310416666667</v>
      </c>
      <c r="D1602" s="1">
        <v>46199.682638888888</v>
      </c>
      <c r="E1602" s="2">
        <f t="shared" ref="E1602:E1665" si="25">D1602-C1602</f>
        <v>16.372222222220444</v>
      </c>
    </row>
    <row r="1603" spans="1:5" x14ac:dyDescent="0.25">
      <c r="A1603" t="s">
        <v>15</v>
      </c>
      <c r="B1603" t="s">
        <v>8</v>
      </c>
      <c r="C1603" s="1">
        <v>46229.473611111112</v>
      </c>
      <c r="D1603" s="1">
        <v>46268.117361111108</v>
      </c>
      <c r="E1603" s="2">
        <f t="shared" si="25"/>
        <v>38.643749999995634</v>
      </c>
    </row>
    <row r="1604" spans="1:5" x14ac:dyDescent="0.25">
      <c r="A1604" t="s">
        <v>16</v>
      </c>
      <c r="B1604" t="s">
        <v>11</v>
      </c>
      <c r="C1604" s="1">
        <v>46177.07708333333</v>
      </c>
      <c r="D1604" s="1">
        <v>46246.513888888891</v>
      </c>
      <c r="E1604" s="2">
        <f t="shared" si="25"/>
        <v>69.436805555560568</v>
      </c>
    </row>
    <row r="1605" spans="1:5" x14ac:dyDescent="0.25">
      <c r="A1605" t="s">
        <v>8</v>
      </c>
      <c r="B1605" t="s">
        <v>27</v>
      </c>
      <c r="C1605" s="1">
        <v>45981.152083333327</v>
      </c>
      <c r="D1605" s="1">
        <v>46036.326388888891</v>
      </c>
      <c r="E1605" s="2">
        <f t="shared" si="25"/>
        <v>55.174305555563478</v>
      </c>
    </row>
    <row r="1606" spans="1:5" x14ac:dyDescent="0.25">
      <c r="A1606" t="s">
        <v>7</v>
      </c>
      <c r="B1606" t="s">
        <v>8</v>
      </c>
      <c r="C1606" s="1">
        <v>45911.604166666657</v>
      </c>
      <c r="D1606" s="1">
        <v>45948.104166666657</v>
      </c>
      <c r="E1606" s="2">
        <f t="shared" si="25"/>
        <v>36.5</v>
      </c>
    </row>
    <row r="1607" spans="1:5" x14ac:dyDescent="0.25">
      <c r="A1607" t="s">
        <v>7</v>
      </c>
      <c r="B1607" t="s">
        <v>8</v>
      </c>
      <c r="C1607" s="1">
        <v>45785.595833333333</v>
      </c>
      <c r="D1607" s="1">
        <v>45818.433333333327</v>
      </c>
      <c r="E1607" s="2">
        <f t="shared" si="25"/>
        <v>32.837499999994179</v>
      </c>
    </row>
    <row r="1608" spans="1:5" x14ac:dyDescent="0.25">
      <c r="A1608" t="s">
        <v>5</v>
      </c>
      <c r="B1608" t="s">
        <v>8</v>
      </c>
      <c r="C1608" s="1">
        <v>45715.841666666667</v>
      </c>
      <c r="D1608" s="1">
        <v>45741.816666666673</v>
      </c>
      <c r="E1608" s="2">
        <f t="shared" si="25"/>
        <v>25.975000000005821</v>
      </c>
    </row>
    <row r="1609" spans="1:5" x14ac:dyDescent="0.25">
      <c r="A1609" t="s">
        <v>5</v>
      </c>
      <c r="B1609" t="s">
        <v>8</v>
      </c>
      <c r="C1609" s="1">
        <v>45707.716666666667</v>
      </c>
      <c r="D1609" s="1">
        <v>45734.852777777778</v>
      </c>
      <c r="E1609" s="2">
        <f t="shared" si="25"/>
        <v>27.136111111110949</v>
      </c>
    </row>
    <row r="1610" spans="1:5" x14ac:dyDescent="0.25">
      <c r="A1610" t="s">
        <v>23</v>
      </c>
      <c r="B1610" t="s">
        <v>12</v>
      </c>
      <c r="C1610" s="1">
        <v>46151.030555555553</v>
      </c>
      <c r="D1610" s="1">
        <v>46160.776388888888</v>
      </c>
      <c r="E1610" s="2">
        <f t="shared" si="25"/>
        <v>9.7458333333343035</v>
      </c>
    </row>
    <row r="1611" spans="1:5" x14ac:dyDescent="0.25">
      <c r="A1611" t="s">
        <v>11</v>
      </c>
      <c r="B1611" t="s">
        <v>37</v>
      </c>
      <c r="C1611" s="1">
        <v>46075.289988425917</v>
      </c>
      <c r="D1611" s="1">
        <v>46092.310416666667</v>
      </c>
      <c r="E1611" s="2">
        <f t="shared" si="25"/>
        <v>17.020428240750334</v>
      </c>
    </row>
    <row r="1612" spans="1:5" x14ac:dyDescent="0.25">
      <c r="A1612" t="s">
        <v>23</v>
      </c>
      <c r="B1612" t="s">
        <v>12</v>
      </c>
      <c r="C1612" s="1">
        <v>46056.715277777781</v>
      </c>
      <c r="D1612" s="1">
        <v>46069.24722222222</v>
      </c>
      <c r="E1612" s="2">
        <f t="shared" si="25"/>
        <v>12.531944444439432</v>
      </c>
    </row>
    <row r="1613" spans="1:5" x14ac:dyDescent="0.25">
      <c r="A1613" t="s">
        <v>12</v>
      </c>
      <c r="B1613" t="s">
        <v>13</v>
      </c>
      <c r="C1613" s="1">
        <v>46043.625</v>
      </c>
      <c r="D1613" s="1">
        <v>46087.020833333343</v>
      </c>
      <c r="E1613" s="2">
        <f t="shared" si="25"/>
        <v>43.395833333343035</v>
      </c>
    </row>
    <row r="1614" spans="1:5" x14ac:dyDescent="0.25">
      <c r="A1614" t="s">
        <v>23</v>
      </c>
      <c r="B1614" t="s">
        <v>30</v>
      </c>
      <c r="C1614" s="1">
        <v>45908.715277777781</v>
      </c>
      <c r="D1614" s="1">
        <v>45947.677083333343</v>
      </c>
      <c r="E1614" s="2">
        <f t="shared" si="25"/>
        <v>38.961805555562023</v>
      </c>
    </row>
    <row r="1615" spans="1:5" x14ac:dyDescent="0.25">
      <c r="A1615" t="s">
        <v>22</v>
      </c>
      <c r="B1615" t="s">
        <v>19</v>
      </c>
      <c r="C1615" s="1">
        <v>45947.324699074074</v>
      </c>
      <c r="D1615" s="1">
        <v>45994.358368055553</v>
      </c>
      <c r="E1615" s="2">
        <f t="shared" si="25"/>
        <v>47.033668981479423</v>
      </c>
    </row>
    <row r="1616" spans="1:5" x14ac:dyDescent="0.25">
      <c r="A1616" t="s">
        <v>15</v>
      </c>
      <c r="B1616" t="s">
        <v>19</v>
      </c>
      <c r="C1616" s="1">
        <v>45894.113993055558</v>
      </c>
      <c r="D1616" s="1">
        <v>45932.267418981479</v>
      </c>
      <c r="E1616" s="2">
        <f t="shared" si="25"/>
        <v>38.153425925920601</v>
      </c>
    </row>
    <row r="1617" spans="1:5" x14ac:dyDescent="0.25">
      <c r="A1617" t="s">
        <v>19</v>
      </c>
      <c r="B1617" t="s">
        <v>8</v>
      </c>
      <c r="C1617" s="1">
        <v>46230.987500000003</v>
      </c>
      <c r="D1617" s="1">
        <v>46261.125</v>
      </c>
      <c r="E1617" s="2">
        <f t="shared" si="25"/>
        <v>30.13749999999709</v>
      </c>
    </row>
    <row r="1618" spans="1:5" x14ac:dyDescent="0.25">
      <c r="A1618" t="s">
        <v>8</v>
      </c>
      <c r="B1618" t="s">
        <v>18</v>
      </c>
      <c r="C1618" s="1">
        <v>46206.283333333333</v>
      </c>
      <c r="D1618" s="1">
        <v>46251.208333333343</v>
      </c>
      <c r="E1618" s="2">
        <f t="shared" si="25"/>
        <v>44.925000000010186</v>
      </c>
    </row>
    <row r="1619" spans="1:5" x14ac:dyDescent="0.25">
      <c r="A1619" t="s">
        <v>7</v>
      </c>
      <c r="B1619" t="s">
        <v>11</v>
      </c>
      <c r="C1619" s="1">
        <v>45701.535416666673</v>
      </c>
      <c r="D1619" s="1">
        <v>45777.365277777782</v>
      </c>
      <c r="E1619" s="2">
        <f t="shared" si="25"/>
        <v>75.829861111109494</v>
      </c>
    </row>
    <row r="1620" spans="1:5" x14ac:dyDescent="0.25">
      <c r="A1620" t="s">
        <v>8</v>
      </c>
      <c r="B1620" t="s">
        <v>16</v>
      </c>
      <c r="C1620" s="1">
        <v>46174.049305555563</v>
      </c>
      <c r="D1620" s="1">
        <v>46215.625</v>
      </c>
      <c r="E1620" s="2">
        <f t="shared" si="25"/>
        <v>41.575694444436522</v>
      </c>
    </row>
    <row r="1621" spans="1:5" x14ac:dyDescent="0.25">
      <c r="A1621" t="s">
        <v>34</v>
      </c>
      <c r="B1621" t="s">
        <v>8</v>
      </c>
      <c r="C1621" s="1">
        <v>45912.215277777781</v>
      </c>
      <c r="D1621" s="1">
        <v>45940.095833333333</v>
      </c>
      <c r="E1621" s="2">
        <f t="shared" si="25"/>
        <v>27.880555555551837</v>
      </c>
    </row>
    <row r="1622" spans="1:5" x14ac:dyDescent="0.25">
      <c r="A1622" t="s">
        <v>15</v>
      </c>
      <c r="B1622" t="s">
        <v>19</v>
      </c>
      <c r="C1622" s="1">
        <v>45906.922002314823</v>
      </c>
      <c r="D1622" s="1">
        <v>45946.24359953704</v>
      </c>
      <c r="E1622" s="2">
        <f t="shared" si="25"/>
        <v>39.321597222216951</v>
      </c>
    </row>
    <row r="1623" spans="1:5" x14ac:dyDescent="0.25">
      <c r="A1623" t="s">
        <v>22</v>
      </c>
      <c r="B1623" t="s">
        <v>19</v>
      </c>
      <c r="C1623" s="1">
        <v>45775.8749537037</v>
      </c>
      <c r="D1623" s="1">
        <v>45842.425000000003</v>
      </c>
      <c r="E1623" s="2">
        <f t="shared" si="25"/>
        <v>66.550046296302753</v>
      </c>
    </row>
    <row r="1624" spans="1:5" x14ac:dyDescent="0.25">
      <c r="A1624" t="s">
        <v>11</v>
      </c>
      <c r="B1624" t="s">
        <v>37</v>
      </c>
      <c r="C1624" s="1">
        <v>45865.07916666667</v>
      </c>
      <c r="D1624" s="1">
        <v>45881.95416666667</v>
      </c>
      <c r="E1624" s="2">
        <f t="shared" si="25"/>
        <v>16.875</v>
      </c>
    </row>
    <row r="1625" spans="1:5" x14ac:dyDescent="0.25">
      <c r="A1625" t="s">
        <v>5</v>
      </c>
      <c r="B1625" t="s">
        <v>8</v>
      </c>
      <c r="C1625" s="1">
        <v>46243.275000000001</v>
      </c>
      <c r="D1625" s="1">
        <v>46282.215277777781</v>
      </c>
      <c r="E1625" s="2">
        <f t="shared" si="25"/>
        <v>38.940277777779556</v>
      </c>
    </row>
    <row r="1626" spans="1:5" x14ac:dyDescent="0.25">
      <c r="A1626" t="s">
        <v>28</v>
      </c>
      <c r="B1626" t="s">
        <v>24</v>
      </c>
      <c r="C1626" s="1">
        <v>45919.405555555553</v>
      </c>
      <c r="D1626" s="1">
        <v>45994.041666666657</v>
      </c>
      <c r="E1626" s="2">
        <f t="shared" si="25"/>
        <v>74.636111111103673</v>
      </c>
    </row>
    <row r="1627" spans="1:5" x14ac:dyDescent="0.25">
      <c r="A1627" t="s">
        <v>23</v>
      </c>
      <c r="B1627" t="s">
        <v>19</v>
      </c>
      <c r="C1627" s="1">
        <v>45836.220833333333</v>
      </c>
      <c r="D1627" s="1">
        <v>45869.583333333343</v>
      </c>
      <c r="E1627" s="2">
        <f t="shared" si="25"/>
        <v>33.362500000010186</v>
      </c>
    </row>
    <row r="1628" spans="1:5" x14ac:dyDescent="0.25">
      <c r="A1628" t="s">
        <v>28</v>
      </c>
      <c r="B1628" t="s">
        <v>18</v>
      </c>
      <c r="C1628" s="1">
        <v>45981.655555555553</v>
      </c>
      <c r="D1628" s="1">
        <v>46050.520833333343</v>
      </c>
      <c r="E1628" s="2">
        <f t="shared" si="25"/>
        <v>68.865277777789743</v>
      </c>
    </row>
    <row r="1629" spans="1:5" x14ac:dyDescent="0.25">
      <c r="A1629" t="s">
        <v>7</v>
      </c>
      <c r="B1629" t="s">
        <v>13</v>
      </c>
      <c r="C1629" s="1">
        <v>45940.345833333333</v>
      </c>
      <c r="D1629" s="1">
        <v>45992.566666666673</v>
      </c>
      <c r="E1629" s="2">
        <f t="shared" si="25"/>
        <v>52.220833333340124</v>
      </c>
    </row>
    <row r="1630" spans="1:5" x14ac:dyDescent="0.25">
      <c r="A1630" t="s">
        <v>7</v>
      </c>
      <c r="B1630" t="s">
        <v>6</v>
      </c>
      <c r="C1630" s="1">
        <v>46191.604166666657</v>
      </c>
      <c r="D1630" s="1">
        <v>46256.753912037027</v>
      </c>
      <c r="E1630" s="2">
        <f t="shared" si="25"/>
        <v>65.14974537037051</v>
      </c>
    </row>
    <row r="1631" spans="1:5" x14ac:dyDescent="0.25">
      <c r="A1631" t="s">
        <v>15</v>
      </c>
      <c r="B1631" t="s">
        <v>20</v>
      </c>
      <c r="C1631" s="1">
        <v>46198.806944444441</v>
      </c>
      <c r="D1631" s="1">
        <v>46258.07916666667</v>
      </c>
      <c r="E1631" s="2">
        <f t="shared" si="25"/>
        <v>59.272222222229175</v>
      </c>
    </row>
    <row r="1632" spans="1:5" x14ac:dyDescent="0.25">
      <c r="A1632" t="s">
        <v>15</v>
      </c>
      <c r="B1632" t="s">
        <v>16</v>
      </c>
      <c r="C1632" s="1">
        <v>46083.958333333343</v>
      </c>
      <c r="D1632" s="1">
        <v>46101.333333333343</v>
      </c>
      <c r="E1632" s="2">
        <f t="shared" si="25"/>
        <v>17.375</v>
      </c>
    </row>
    <row r="1633" spans="1:5" x14ac:dyDescent="0.25">
      <c r="A1633" t="s">
        <v>8</v>
      </c>
      <c r="B1633" t="s">
        <v>18</v>
      </c>
      <c r="C1633" s="1">
        <v>46227.745833333327</v>
      </c>
      <c r="D1633" s="1">
        <v>46269.7</v>
      </c>
      <c r="E1633" s="2">
        <f t="shared" si="25"/>
        <v>41.954166666670062</v>
      </c>
    </row>
    <row r="1634" spans="1:5" x14ac:dyDescent="0.25">
      <c r="A1634" t="s">
        <v>8</v>
      </c>
      <c r="B1634" t="s">
        <v>18</v>
      </c>
      <c r="C1634" s="1">
        <v>46149.661805555559</v>
      </c>
      <c r="D1634" s="1">
        <v>46195.804166666669</v>
      </c>
      <c r="E1634" s="2">
        <f t="shared" si="25"/>
        <v>46.142361111109494</v>
      </c>
    </row>
    <row r="1635" spans="1:5" x14ac:dyDescent="0.25">
      <c r="A1635" t="s">
        <v>15</v>
      </c>
      <c r="B1635" t="s">
        <v>18</v>
      </c>
      <c r="C1635" s="1">
        <v>45918.452777777777</v>
      </c>
      <c r="D1635" s="1">
        <v>45973.306944444441</v>
      </c>
      <c r="E1635" s="2">
        <f t="shared" si="25"/>
        <v>54.854166666664241</v>
      </c>
    </row>
    <row r="1636" spans="1:5" x14ac:dyDescent="0.25">
      <c r="A1636" t="s">
        <v>12</v>
      </c>
      <c r="B1636" t="s">
        <v>13</v>
      </c>
      <c r="C1636" s="1">
        <v>45826.123611111107</v>
      </c>
      <c r="D1636" s="1">
        <v>45871.833333333343</v>
      </c>
      <c r="E1636" s="2">
        <f t="shared" si="25"/>
        <v>45.709722222236451</v>
      </c>
    </row>
    <row r="1637" spans="1:5" x14ac:dyDescent="0.25">
      <c r="A1637" t="s">
        <v>23</v>
      </c>
      <c r="B1637" t="s">
        <v>18</v>
      </c>
      <c r="C1637" s="1">
        <v>45933.418055555558</v>
      </c>
      <c r="D1637" s="1">
        <v>45986.619444444441</v>
      </c>
      <c r="E1637" s="2">
        <f t="shared" si="25"/>
        <v>53.20138888888323</v>
      </c>
    </row>
    <row r="1638" spans="1:5" x14ac:dyDescent="0.25">
      <c r="A1638" t="s">
        <v>8</v>
      </c>
      <c r="B1638" t="s">
        <v>13</v>
      </c>
      <c r="C1638" s="1">
        <v>45687</v>
      </c>
      <c r="D1638" s="1">
        <v>45723.224999999999</v>
      </c>
      <c r="E1638" s="2">
        <f t="shared" si="25"/>
        <v>36.224999999998545</v>
      </c>
    </row>
    <row r="1639" spans="1:5" x14ac:dyDescent="0.25">
      <c r="A1639" t="s">
        <v>12</v>
      </c>
      <c r="B1639" t="s">
        <v>13</v>
      </c>
      <c r="C1639" s="1">
        <v>45740.831944444442</v>
      </c>
      <c r="D1639" s="1">
        <v>45785.365972222222</v>
      </c>
      <c r="E1639" s="2">
        <f t="shared" si="25"/>
        <v>44.534027777779556</v>
      </c>
    </row>
    <row r="1640" spans="1:5" x14ac:dyDescent="0.25">
      <c r="A1640" t="s">
        <v>8</v>
      </c>
      <c r="B1640" t="s">
        <v>18</v>
      </c>
      <c r="C1640" s="1">
        <v>46206.283333333333</v>
      </c>
      <c r="D1640" s="1">
        <v>46251.208333333343</v>
      </c>
      <c r="E1640" s="2">
        <f t="shared" si="25"/>
        <v>44.925000000010186</v>
      </c>
    </row>
    <row r="1641" spans="1:5" x14ac:dyDescent="0.25">
      <c r="A1641" t="s">
        <v>16</v>
      </c>
      <c r="B1641" t="s">
        <v>20</v>
      </c>
      <c r="C1641" s="1">
        <v>45764.879166666673</v>
      </c>
      <c r="D1641" s="1">
        <v>45830</v>
      </c>
      <c r="E1641" s="2">
        <f t="shared" si="25"/>
        <v>65.120833333327028</v>
      </c>
    </row>
    <row r="1642" spans="1:5" x14ac:dyDescent="0.25">
      <c r="A1642" t="s">
        <v>12</v>
      </c>
      <c r="B1642" t="s">
        <v>13</v>
      </c>
      <c r="C1642" s="1">
        <v>45871.95</v>
      </c>
      <c r="D1642" s="1">
        <v>45921.675000000003</v>
      </c>
      <c r="E1642" s="2">
        <f t="shared" si="25"/>
        <v>49.725000000005821</v>
      </c>
    </row>
    <row r="1643" spans="1:5" x14ac:dyDescent="0.25">
      <c r="A1643" t="s">
        <v>13</v>
      </c>
      <c r="B1643" t="s">
        <v>8</v>
      </c>
      <c r="C1643" s="1">
        <v>45945.3125</v>
      </c>
      <c r="D1643" s="1">
        <v>45971.695833333331</v>
      </c>
      <c r="E1643" s="2">
        <f t="shared" si="25"/>
        <v>26.383333333331393</v>
      </c>
    </row>
    <row r="1644" spans="1:5" x14ac:dyDescent="0.25">
      <c r="A1644" t="s">
        <v>12</v>
      </c>
      <c r="B1644" t="s">
        <v>18</v>
      </c>
      <c r="C1644" s="1">
        <v>45696.541666666657</v>
      </c>
      <c r="D1644" s="1">
        <v>45757.104166666657</v>
      </c>
      <c r="E1644" s="2">
        <f t="shared" si="25"/>
        <v>60.5625</v>
      </c>
    </row>
    <row r="1645" spans="1:5" x14ac:dyDescent="0.25">
      <c r="A1645" t="s">
        <v>15</v>
      </c>
      <c r="B1645" t="s">
        <v>6</v>
      </c>
      <c r="C1645" s="1">
        <v>45727.525694444441</v>
      </c>
      <c r="D1645" s="1">
        <v>45815.533333333333</v>
      </c>
      <c r="E1645" s="2">
        <f t="shared" si="25"/>
        <v>88.007638888891961</v>
      </c>
    </row>
    <row r="1646" spans="1:5" x14ac:dyDescent="0.25">
      <c r="A1646" t="s">
        <v>12</v>
      </c>
      <c r="B1646" t="s">
        <v>13</v>
      </c>
      <c r="C1646" s="1">
        <v>46110.625</v>
      </c>
      <c r="D1646" s="1">
        <v>46166.750694444447</v>
      </c>
      <c r="E1646" s="2">
        <f t="shared" si="25"/>
        <v>56.125694444446708</v>
      </c>
    </row>
    <row r="1647" spans="1:5" x14ac:dyDescent="0.25">
      <c r="A1647" t="s">
        <v>16</v>
      </c>
      <c r="B1647" t="s">
        <v>20</v>
      </c>
      <c r="C1647" s="1">
        <v>45773.75</v>
      </c>
      <c r="D1647" s="1">
        <v>45825.574999999997</v>
      </c>
      <c r="E1647" s="2">
        <f t="shared" si="25"/>
        <v>51.82499999999709</v>
      </c>
    </row>
    <row r="1648" spans="1:5" x14ac:dyDescent="0.25">
      <c r="A1648" t="s">
        <v>12</v>
      </c>
      <c r="B1648" t="s">
        <v>18</v>
      </c>
      <c r="C1648" s="1">
        <v>45696.541666666657</v>
      </c>
      <c r="D1648" s="1">
        <v>45757.104166666657</v>
      </c>
      <c r="E1648" s="2">
        <f t="shared" si="25"/>
        <v>60.5625</v>
      </c>
    </row>
    <row r="1649" spans="1:5" x14ac:dyDescent="0.25">
      <c r="A1649" t="s">
        <v>15</v>
      </c>
      <c r="B1649" t="s">
        <v>6</v>
      </c>
      <c r="C1649" s="1">
        <v>46178.522916666669</v>
      </c>
      <c r="D1649" s="1">
        <v>46243.586944444447</v>
      </c>
      <c r="E1649" s="2">
        <f t="shared" si="25"/>
        <v>65.064027777778392</v>
      </c>
    </row>
    <row r="1650" spans="1:5" x14ac:dyDescent="0.25">
      <c r="A1650" t="s">
        <v>19</v>
      </c>
      <c r="B1650" t="s">
        <v>8</v>
      </c>
      <c r="C1650" s="1">
        <v>46026.908333333333</v>
      </c>
      <c r="D1650" s="1">
        <v>46050.554166666669</v>
      </c>
      <c r="E1650" s="2">
        <f t="shared" si="25"/>
        <v>23.645833333335759</v>
      </c>
    </row>
    <row r="1651" spans="1:5" x14ac:dyDescent="0.25">
      <c r="A1651" t="s">
        <v>14</v>
      </c>
      <c r="B1651" t="s">
        <v>22</v>
      </c>
      <c r="C1651" s="1">
        <v>46002.25</v>
      </c>
      <c r="D1651" s="1">
        <v>46067.566666666673</v>
      </c>
      <c r="E1651" s="2">
        <f t="shared" si="25"/>
        <v>65.316666666672972</v>
      </c>
    </row>
    <row r="1652" spans="1:5" x14ac:dyDescent="0.25">
      <c r="A1652" t="s">
        <v>14</v>
      </c>
      <c r="B1652" t="s">
        <v>22</v>
      </c>
      <c r="C1652" s="1">
        <v>45799.604166666657</v>
      </c>
      <c r="D1652" s="1">
        <v>45872.091666666667</v>
      </c>
      <c r="E1652" s="2">
        <f t="shared" si="25"/>
        <v>72.487500000010186</v>
      </c>
    </row>
    <row r="1653" spans="1:5" x14ac:dyDescent="0.25">
      <c r="A1653" t="s">
        <v>26</v>
      </c>
      <c r="B1653" t="s">
        <v>21</v>
      </c>
      <c r="C1653" s="1">
        <v>46194.208333333343</v>
      </c>
      <c r="D1653" s="1">
        <v>46241.2</v>
      </c>
      <c r="E1653" s="2">
        <f t="shared" si="25"/>
        <v>46.991666666654055</v>
      </c>
    </row>
    <row r="1654" spans="1:5" x14ac:dyDescent="0.25">
      <c r="A1654" t="s">
        <v>10</v>
      </c>
      <c r="B1654" t="s">
        <v>8</v>
      </c>
      <c r="C1654" s="1">
        <v>46174.682638888888</v>
      </c>
      <c r="D1654" s="1">
        <v>46195.529166666667</v>
      </c>
      <c r="E1654" s="2">
        <f t="shared" si="25"/>
        <v>20.846527777779556</v>
      </c>
    </row>
    <row r="1655" spans="1:5" x14ac:dyDescent="0.25">
      <c r="A1655" t="s">
        <v>20</v>
      </c>
      <c r="B1655" t="s">
        <v>8</v>
      </c>
      <c r="C1655" s="1">
        <v>46075.20416666667</v>
      </c>
      <c r="D1655" s="1">
        <v>46113.945138888892</v>
      </c>
      <c r="E1655" s="2">
        <f t="shared" si="25"/>
        <v>38.740972222221899</v>
      </c>
    </row>
    <row r="1656" spans="1:5" x14ac:dyDescent="0.25">
      <c r="A1656" t="s">
        <v>28</v>
      </c>
      <c r="B1656" t="s">
        <v>18</v>
      </c>
      <c r="C1656" s="1">
        <v>45807.166666666657</v>
      </c>
      <c r="D1656" s="1">
        <v>45879</v>
      </c>
      <c r="E1656" s="2">
        <f t="shared" si="25"/>
        <v>71.833333333343035</v>
      </c>
    </row>
    <row r="1657" spans="1:5" x14ac:dyDescent="0.25">
      <c r="A1657" t="s">
        <v>13</v>
      </c>
      <c r="B1657" t="s">
        <v>8</v>
      </c>
      <c r="C1657" s="1">
        <v>45872.354166666657</v>
      </c>
      <c r="D1657" s="1">
        <v>45895.902083333327</v>
      </c>
      <c r="E1657" s="2">
        <f t="shared" si="25"/>
        <v>23.547916666670062</v>
      </c>
    </row>
    <row r="1658" spans="1:5" x14ac:dyDescent="0.25">
      <c r="A1658" t="s">
        <v>13</v>
      </c>
      <c r="B1658" t="s">
        <v>8</v>
      </c>
      <c r="C1658" s="1">
        <v>46115.3</v>
      </c>
      <c r="D1658" s="1">
        <v>46142.0625</v>
      </c>
      <c r="E1658" s="2">
        <f t="shared" si="25"/>
        <v>26.76249999999709</v>
      </c>
    </row>
    <row r="1659" spans="1:5" x14ac:dyDescent="0.25">
      <c r="A1659" t="s">
        <v>8</v>
      </c>
      <c r="B1659" t="s">
        <v>18</v>
      </c>
      <c r="C1659" s="1">
        <v>46192.1875</v>
      </c>
      <c r="D1659" s="1">
        <v>46227.5</v>
      </c>
      <c r="E1659" s="2">
        <f t="shared" si="25"/>
        <v>35.3125</v>
      </c>
    </row>
    <row r="1660" spans="1:5" x14ac:dyDescent="0.25">
      <c r="A1660" t="s">
        <v>23</v>
      </c>
      <c r="B1660" t="s">
        <v>18</v>
      </c>
      <c r="C1660" s="1">
        <v>46087.270833333343</v>
      </c>
      <c r="D1660" s="1">
        <v>46131.375</v>
      </c>
      <c r="E1660" s="2">
        <f t="shared" si="25"/>
        <v>44.104166666656965</v>
      </c>
    </row>
    <row r="1661" spans="1:5" x14ac:dyDescent="0.25">
      <c r="A1661" t="s">
        <v>8</v>
      </c>
      <c r="B1661" t="s">
        <v>18</v>
      </c>
      <c r="C1661" s="1">
        <v>46149.661805555559</v>
      </c>
      <c r="D1661" s="1">
        <v>46195.804166666669</v>
      </c>
      <c r="E1661" s="2">
        <f t="shared" si="25"/>
        <v>46.142361111109494</v>
      </c>
    </row>
    <row r="1662" spans="1:5" x14ac:dyDescent="0.25">
      <c r="A1662" t="s">
        <v>10</v>
      </c>
      <c r="B1662" t="s">
        <v>8</v>
      </c>
      <c r="C1662" s="1">
        <v>46146.184027777781</v>
      </c>
      <c r="D1662" s="1">
        <v>46167.287499999999</v>
      </c>
      <c r="E1662" s="2">
        <f t="shared" si="25"/>
        <v>21.103472222217533</v>
      </c>
    </row>
    <row r="1663" spans="1:5" x14ac:dyDescent="0.25">
      <c r="A1663" t="s">
        <v>23</v>
      </c>
      <c r="B1663" t="s">
        <v>46</v>
      </c>
      <c r="C1663" s="1">
        <v>46073.712500000001</v>
      </c>
      <c r="D1663" s="1">
        <v>46123.439583333333</v>
      </c>
      <c r="E1663" s="2">
        <f t="shared" si="25"/>
        <v>49.727083333331393</v>
      </c>
    </row>
    <row r="1664" spans="1:5" x14ac:dyDescent="0.25">
      <c r="A1664" t="s">
        <v>20</v>
      </c>
      <c r="B1664" t="s">
        <v>8</v>
      </c>
      <c r="C1664" s="1">
        <v>46086.158333333333</v>
      </c>
      <c r="D1664" s="1">
        <v>46127.65902777778</v>
      </c>
      <c r="E1664" s="2">
        <f t="shared" si="25"/>
        <v>41.500694444446708</v>
      </c>
    </row>
    <row r="1665" spans="1:5" x14ac:dyDescent="0.25">
      <c r="A1665" t="s">
        <v>7</v>
      </c>
      <c r="B1665" t="s">
        <v>13</v>
      </c>
      <c r="C1665" s="1">
        <v>46143.990277777782</v>
      </c>
      <c r="D1665" s="1">
        <v>46191.841666666667</v>
      </c>
      <c r="E1665" s="2">
        <f t="shared" si="25"/>
        <v>47.851388888884685</v>
      </c>
    </row>
    <row r="1666" spans="1:5" x14ac:dyDescent="0.25">
      <c r="A1666" t="s">
        <v>12</v>
      </c>
      <c r="B1666" t="s">
        <v>13</v>
      </c>
      <c r="C1666" s="1">
        <v>46083.54583333333</v>
      </c>
      <c r="D1666" s="1">
        <v>46128.060416666667</v>
      </c>
      <c r="E1666" s="2">
        <f t="shared" ref="E1666:E1729" si="26">D1666-C1666</f>
        <v>44.514583333337214</v>
      </c>
    </row>
    <row r="1667" spans="1:5" x14ac:dyDescent="0.25">
      <c r="A1667" t="s">
        <v>20</v>
      </c>
      <c r="B1667" t="s">
        <v>8</v>
      </c>
      <c r="C1667" s="1">
        <v>46108.433333333327</v>
      </c>
      <c r="D1667" s="1">
        <v>46142.0625</v>
      </c>
      <c r="E1667" s="2">
        <f t="shared" si="26"/>
        <v>33.629166666672972</v>
      </c>
    </row>
    <row r="1668" spans="1:5" x14ac:dyDescent="0.25">
      <c r="A1668" t="s">
        <v>8</v>
      </c>
      <c r="B1668" t="s">
        <v>18</v>
      </c>
      <c r="C1668" s="1">
        <v>46177.366666666669</v>
      </c>
      <c r="D1668" s="1">
        <v>46224.604166666657</v>
      </c>
      <c r="E1668" s="2">
        <f t="shared" si="26"/>
        <v>47.237499999988358</v>
      </c>
    </row>
    <row r="1669" spans="1:5" x14ac:dyDescent="0.25">
      <c r="A1669" t="s">
        <v>15</v>
      </c>
      <c r="B1669" t="s">
        <v>13</v>
      </c>
      <c r="C1669" s="1">
        <v>46018.870833333327</v>
      </c>
      <c r="D1669" s="1">
        <v>46059.751388888893</v>
      </c>
      <c r="E1669" s="2">
        <f t="shared" si="26"/>
        <v>40.880555555566389</v>
      </c>
    </row>
    <row r="1670" spans="1:5" x14ac:dyDescent="0.25">
      <c r="A1670" t="s">
        <v>15</v>
      </c>
      <c r="B1670" t="s">
        <v>13</v>
      </c>
      <c r="C1670" s="1">
        <v>46041.837500000001</v>
      </c>
      <c r="D1670" s="1">
        <v>46079.787499999999</v>
      </c>
      <c r="E1670" s="2">
        <f t="shared" si="26"/>
        <v>37.94999999999709</v>
      </c>
    </row>
    <row r="1671" spans="1:5" x14ac:dyDescent="0.25">
      <c r="A1671" t="s">
        <v>15</v>
      </c>
      <c r="B1671" t="s">
        <v>18</v>
      </c>
      <c r="C1671" s="1">
        <v>45928.416666666657</v>
      </c>
      <c r="D1671" s="1">
        <v>45986.619444444441</v>
      </c>
      <c r="E1671" s="2">
        <f t="shared" si="26"/>
        <v>58.202777777783922</v>
      </c>
    </row>
    <row r="1672" spans="1:5" x14ac:dyDescent="0.25">
      <c r="A1672" t="s">
        <v>8</v>
      </c>
      <c r="B1672" t="s">
        <v>18</v>
      </c>
      <c r="C1672" s="1">
        <v>46170.131249999999</v>
      </c>
      <c r="D1672" s="1">
        <v>46210.020833333343</v>
      </c>
      <c r="E1672" s="2">
        <f t="shared" si="26"/>
        <v>39.88958333334449</v>
      </c>
    </row>
    <row r="1673" spans="1:5" x14ac:dyDescent="0.25">
      <c r="A1673" t="s">
        <v>15</v>
      </c>
      <c r="B1673" t="s">
        <v>13</v>
      </c>
      <c r="C1673" s="1">
        <v>46018.870833333327</v>
      </c>
      <c r="D1673" s="1">
        <v>46059.751388888893</v>
      </c>
      <c r="E1673" s="2">
        <f t="shared" si="26"/>
        <v>40.880555555566389</v>
      </c>
    </row>
    <row r="1674" spans="1:5" x14ac:dyDescent="0.25">
      <c r="A1674" t="s">
        <v>8</v>
      </c>
      <c r="B1674" t="s">
        <v>18</v>
      </c>
      <c r="C1674" s="1">
        <v>46162.799305555563</v>
      </c>
      <c r="D1674" s="1">
        <v>46210.020833333343</v>
      </c>
      <c r="E1674" s="2">
        <f t="shared" si="26"/>
        <v>47.221527777779556</v>
      </c>
    </row>
    <row r="1675" spans="1:5" x14ac:dyDescent="0.25">
      <c r="A1675" t="s">
        <v>15</v>
      </c>
      <c r="B1675" t="s">
        <v>18</v>
      </c>
      <c r="C1675" s="1">
        <v>45973.230555555558</v>
      </c>
      <c r="D1675" s="1">
        <v>46035.51666666667</v>
      </c>
      <c r="E1675" s="2">
        <f t="shared" si="26"/>
        <v>62.286111111112405</v>
      </c>
    </row>
    <row r="1676" spans="1:5" x14ac:dyDescent="0.25">
      <c r="A1676" t="s">
        <v>8</v>
      </c>
      <c r="B1676" t="s">
        <v>18</v>
      </c>
      <c r="C1676" s="1">
        <v>46170.131249999999</v>
      </c>
      <c r="D1676" s="1">
        <v>46210.020833333343</v>
      </c>
      <c r="E1676" s="2">
        <f t="shared" si="26"/>
        <v>39.88958333334449</v>
      </c>
    </row>
    <row r="1677" spans="1:5" x14ac:dyDescent="0.25">
      <c r="A1677" t="s">
        <v>8</v>
      </c>
      <c r="B1677" t="s">
        <v>18</v>
      </c>
      <c r="C1677" s="1">
        <v>46170.131249999999</v>
      </c>
      <c r="D1677" s="1">
        <v>46210.020833333343</v>
      </c>
      <c r="E1677" s="2">
        <f t="shared" si="26"/>
        <v>39.88958333334449</v>
      </c>
    </row>
    <row r="1678" spans="1:5" x14ac:dyDescent="0.25">
      <c r="A1678" t="s">
        <v>13</v>
      </c>
      <c r="B1678" t="s">
        <v>11</v>
      </c>
      <c r="C1678" s="1">
        <v>46046.355555555558</v>
      </c>
      <c r="D1678" s="1">
        <v>46085.681250000001</v>
      </c>
      <c r="E1678" s="2">
        <f t="shared" si="26"/>
        <v>39.325694444443798</v>
      </c>
    </row>
    <row r="1679" spans="1:5" x14ac:dyDescent="0.25">
      <c r="A1679" t="s">
        <v>15</v>
      </c>
      <c r="B1679" t="s">
        <v>18</v>
      </c>
      <c r="C1679" s="1">
        <v>45973.230555555558</v>
      </c>
      <c r="D1679" s="1">
        <v>46035.51666666667</v>
      </c>
      <c r="E1679" s="2">
        <f t="shared" si="26"/>
        <v>62.286111111112405</v>
      </c>
    </row>
    <row r="1680" spans="1:5" x14ac:dyDescent="0.25">
      <c r="A1680" t="s">
        <v>15</v>
      </c>
      <c r="B1680" t="s">
        <v>18</v>
      </c>
      <c r="C1680" s="1">
        <v>45973.230555555558</v>
      </c>
      <c r="D1680" s="1">
        <v>46035.51666666667</v>
      </c>
      <c r="E1680" s="2">
        <f t="shared" si="26"/>
        <v>62.286111111112405</v>
      </c>
    </row>
    <row r="1681" spans="1:5" x14ac:dyDescent="0.25">
      <c r="A1681" t="s">
        <v>15</v>
      </c>
      <c r="B1681" t="s">
        <v>18</v>
      </c>
      <c r="C1681" s="1">
        <v>45973.230555555558</v>
      </c>
      <c r="D1681" s="1">
        <v>46035.51666666667</v>
      </c>
      <c r="E1681" s="2">
        <f t="shared" si="26"/>
        <v>62.286111111112405</v>
      </c>
    </row>
    <row r="1682" spans="1:5" x14ac:dyDescent="0.25">
      <c r="A1682" t="s">
        <v>14</v>
      </c>
      <c r="B1682" t="s">
        <v>22</v>
      </c>
      <c r="C1682" s="1">
        <v>46081.037499999999</v>
      </c>
      <c r="D1682" s="1">
        <v>46144.887499999997</v>
      </c>
      <c r="E1682" s="2">
        <f t="shared" si="26"/>
        <v>63.849999999998545</v>
      </c>
    </row>
    <row r="1683" spans="1:5" x14ac:dyDescent="0.25">
      <c r="A1683" t="s">
        <v>26</v>
      </c>
      <c r="B1683" t="s">
        <v>21</v>
      </c>
      <c r="C1683" s="1">
        <v>45965.01666666667</v>
      </c>
      <c r="D1683" s="1">
        <v>46008.912499999999</v>
      </c>
      <c r="E1683" s="2">
        <f t="shared" si="26"/>
        <v>43.895833333328483</v>
      </c>
    </row>
    <row r="1684" spans="1:5" x14ac:dyDescent="0.25">
      <c r="A1684" t="s">
        <v>8</v>
      </c>
      <c r="B1684" t="s">
        <v>18</v>
      </c>
      <c r="C1684" s="1">
        <v>46212.760416666657</v>
      </c>
      <c r="D1684" s="1">
        <v>46269.7</v>
      </c>
      <c r="E1684" s="2">
        <f t="shared" si="26"/>
        <v>56.939583333340124</v>
      </c>
    </row>
    <row r="1685" spans="1:5" x14ac:dyDescent="0.25">
      <c r="A1685" t="s">
        <v>10</v>
      </c>
      <c r="B1685" t="s">
        <v>8</v>
      </c>
      <c r="C1685" s="1">
        <v>46188.222916666673</v>
      </c>
      <c r="D1685" s="1">
        <v>46209.59652777778</v>
      </c>
      <c r="E1685" s="2">
        <f t="shared" si="26"/>
        <v>21.373611111106584</v>
      </c>
    </row>
    <row r="1686" spans="1:5" x14ac:dyDescent="0.25">
      <c r="A1686" t="s">
        <v>8</v>
      </c>
      <c r="B1686" t="s">
        <v>18</v>
      </c>
      <c r="C1686" s="1">
        <v>46241.460416666669</v>
      </c>
      <c r="D1686" s="1">
        <v>46284.76666666667</v>
      </c>
      <c r="E1686" s="2">
        <f t="shared" si="26"/>
        <v>43.306250000001455</v>
      </c>
    </row>
    <row r="1687" spans="1:5" x14ac:dyDescent="0.25">
      <c r="A1687" t="s">
        <v>8</v>
      </c>
      <c r="B1687" t="s">
        <v>18</v>
      </c>
      <c r="C1687" s="1">
        <v>46206.283333333333</v>
      </c>
      <c r="D1687" s="1">
        <v>46251.208333333343</v>
      </c>
      <c r="E1687" s="2">
        <f t="shared" si="26"/>
        <v>44.925000000010186</v>
      </c>
    </row>
    <row r="1688" spans="1:5" x14ac:dyDescent="0.25">
      <c r="A1688" t="s">
        <v>20</v>
      </c>
      <c r="B1688" t="s">
        <v>8</v>
      </c>
      <c r="C1688" s="1">
        <v>46108.433333333327</v>
      </c>
      <c r="D1688" s="1">
        <v>46142.0625</v>
      </c>
      <c r="E1688" s="2">
        <f t="shared" si="26"/>
        <v>33.629166666672972</v>
      </c>
    </row>
    <row r="1689" spans="1:5" x14ac:dyDescent="0.25">
      <c r="A1689" t="s">
        <v>12</v>
      </c>
      <c r="B1689" t="s">
        <v>18</v>
      </c>
      <c r="C1689" s="1">
        <v>46012.541666666657</v>
      </c>
      <c r="D1689" s="1">
        <v>46079.863888888889</v>
      </c>
      <c r="E1689" s="2">
        <f t="shared" si="26"/>
        <v>67.322222222232085</v>
      </c>
    </row>
    <row r="1690" spans="1:5" x14ac:dyDescent="0.25">
      <c r="A1690" t="s">
        <v>10</v>
      </c>
      <c r="B1690" t="s">
        <v>8</v>
      </c>
      <c r="C1690" s="1">
        <v>46168.887499999997</v>
      </c>
      <c r="D1690" s="1">
        <v>46187.940972222219</v>
      </c>
      <c r="E1690" s="2">
        <f t="shared" si="26"/>
        <v>19.053472222221899</v>
      </c>
    </row>
    <row r="1691" spans="1:5" x14ac:dyDescent="0.25">
      <c r="A1691" t="s">
        <v>8</v>
      </c>
      <c r="B1691" t="s">
        <v>18</v>
      </c>
      <c r="C1691" s="1">
        <v>46227.745833333327</v>
      </c>
      <c r="D1691" s="1">
        <v>46269.7</v>
      </c>
      <c r="E1691" s="2">
        <f t="shared" si="26"/>
        <v>41.954166666670062</v>
      </c>
    </row>
    <row r="1692" spans="1:5" x14ac:dyDescent="0.25">
      <c r="A1692" t="s">
        <v>8</v>
      </c>
      <c r="B1692" t="s">
        <v>18</v>
      </c>
      <c r="C1692" s="1">
        <v>46162.799305555563</v>
      </c>
      <c r="D1692" s="1">
        <v>46210.020833333343</v>
      </c>
      <c r="E1692" s="2">
        <f t="shared" si="26"/>
        <v>47.221527777779556</v>
      </c>
    </row>
    <row r="1693" spans="1:5" x14ac:dyDescent="0.25">
      <c r="A1693" t="s">
        <v>12</v>
      </c>
      <c r="B1693" t="s">
        <v>13</v>
      </c>
      <c r="C1693" s="1">
        <v>46094.051388888889</v>
      </c>
      <c r="D1693" s="1">
        <v>46140.6</v>
      </c>
      <c r="E1693" s="2">
        <f t="shared" si="26"/>
        <v>46.548611111109494</v>
      </c>
    </row>
    <row r="1694" spans="1:5" x14ac:dyDescent="0.25">
      <c r="A1694" t="s">
        <v>20</v>
      </c>
      <c r="B1694" t="s">
        <v>8</v>
      </c>
      <c r="C1694" s="1">
        <v>45978.308333333327</v>
      </c>
      <c r="D1694" s="1">
        <v>46017.666666666657</v>
      </c>
      <c r="E1694" s="2">
        <f t="shared" si="26"/>
        <v>39.358333333329938</v>
      </c>
    </row>
    <row r="1695" spans="1:5" x14ac:dyDescent="0.25">
      <c r="A1695" t="s">
        <v>10</v>
      </c>
      <c r="B1695" t="s">
        <v>8</v>
      </c>
      <c r="C1695" s="1">
        <v>46238.214918981481</v>
      </c>
      <c r="D1695" s="1">
        <v>46257.893750000003</v>
      </c>
      <c r="E1695" s="2">
        <f t="shared" si="26"/>
        <v>19.678831018522033</v>
      </c>
    </row>
    <row r="1696" spans="1:5" x14ac:dyDescent="0.25">
      <c r="A1696" t="s">
        <v>23</v>
      </c>
      <c r="B1696" t="s">
        <v>8</v>
      </c>
      <c r="C1696" s="1">
        <v>46126.137499999997</v>
      </c>
      <c r="D1696" s="1">
        <v>46175.798611111109</v>
      </c>
      <c r="E1696" s="2">
        <f t="shared" si="26"/>
        <v>49.661111111112405</v>
      </c>
    </row>
    <row r="1697" spans="1:5" x14ac:dyDescent="0.25">
      <c r="A1697" t="s">
        <v>23</v>
      </c>
      <c r="B1697" t="s">
        <v>18</v>
      </c>
      <c r="C1697" s="1">
        <v>46087.270833333343</v>
      </c>
      <c r="D1697" s="1">
        <v>46131.375</v>
      </c>
      <c r="E1697" s="2">
        <f t="shared" si="26"/>
        <v>44.104166666656965</v>
      </c>
    </row>
    <row r="1698" spans="1:5" x14ac:dyDescent="0.25">
      <c r="A1698" t="s">
        <v>8</v>
      </c>
      <c r="B1698" t="s">
        <v>18</v>
      </c>
      <c r="C1698" s="1">
        <v>46192.1875</v>
      </c>
      <c r="D1698" s="1">
        <v>46227.5</v>
      </c>
      <c r="E1698" s="2">
        <f t="shared" si="26"/>
        <v>35.3125</v>
      </c>
    </row>
    <row r="1699" spans="1:5" x14ac:dyDescent="0.25">
      <c r="A1699" t="s">
        <v>46</v>
      </c>
      <c r="B1699" t="s">
        <v>11</v>
      </c>
      <c r="C1699" s="1">
        <v>46180.365277777782</v>
      </c>
      <c r="D1699" s="1">
        <v>46189.916666666657</v>
      </c>
      <c r="E1699" s="2">
        <f t="shared" si="26"/>
        <v>9.5513888888744987</v>
      </c>
    </row>
    <row r="1700" spans="1:5" x14ac:dyDescent="0.25">
      <c r="A1700" t="s">
        <v>8</v>
      </c>
      <c r="B1700" t="s">
        <v>18</v>
      </c>
      <c r="C1700" s="1">
        <v>46186.24722222222</v>
      </c>
      <c r="D1700" s="1">
        <v>46225.658333333333</v>
      </c>
      <c r="E1700" s="2">
        <f t="shared" si="26"/>
        <v>39.411111111112405</v>
      </c>
    </row>
    <row r="1701" spans="1:5" x14ac:dyDescent="0.25">
      <c r="A1701" t="s">
        <v>13</v>
      </c>
      <c r="B1701" t="s">
        <v>8</v>
      </c>
      <c r="C1701" s="1">
        <v>46130.258333333331</v>
      </c>
      <c r="D1701" s="1">
        <v>46155.814583333333</v>
      </c>
      <c r="E1701" s="2">
        <f t="shared" si="26"/>
        <v>25.556250000001455</v>
      </c>
    </row>
    <row r="1702" spans="1:5" x14ac:dyDescent="0.25">
      <c r="A1702" t="s">
        <v>13</v>
      </c>
      <c r="B1702" t="s">
        <v>8</v>
      </c>
      <c r="C1702" s="1">
        <v>46130.258333333331</v>
      </c>
      <c r="D1702" s="1">
        <v>46155.814583333333</v>
      </c>
      <c r="E1702" s="2">
        <f t="shared" si="26"/>
        <v>25.556250000001455</v>
      </c>
    </row>
    <row r="1703" spans="1:5" x14ac:dyDescent="0.25">
      <c r="A1703" t="s">
        <v>8</v>
      </c>
      <c r="B1703" t="s">
        <v>18</v>
      </c>
      <c r="C1703" s="1">
        <v>46206.283333333333</v>
      </c>
      <c r="D1703" s="1">
        <v>46251.208333333343</v>
      </c>
      <c r="E1703" s="2">
        <f t="shared" si="26"/>
        <v>44.925000000010186</v>
      </c>
    </row>
    <row r="1704" spans="1:5" x14ac:dyDescent="0.25">
      <c r="A1704" t="s">
        <v>13</v>
      </c>
      <c r="B1704" t="s">
        <v>8</v>
      </c>
      <c r="C1704" s="1">
        <v>46130.258333333331</v>
      </c>
      <c r="D1704" s="1">
        <v>46153.31527777778</v>
      </c>
      <c r="E1704" s="2">
        <f t="shared" si="26"/>
        <v>23.056944444448163</v>
      </c>
    </row>
    <row r="1705" spans="1:5" x14ac:dyDescent="0.25">
      <c r="A1705" t="s">
        <v>8</v>
      </c>
      <c r="B1705" t="s">
        <v>18</v>
      </c>
      <c r="C1705" s="1">
        <v>46192.1875</v>
      </c>
      <c r="D1705" s="1">
        <v>46227.5</v>
      </c>
      <c r="E1705" s="2">
        <f t="shared" si="26"/>
        <v>35.3125</v>
      </c>
    </row>
    <row r="1706" spans="1:5" x14ac:dyDescent="0.25">
      <c r="A1706" t="s">
        <v>8</v>
      </c>
      <c r="B1706" t="s">
        <v>18</v>
      </c>
      <c r="C1706" s="1">
        <v>46206.283333333333</v>
      </c>
      <c r="D1706" s="1">
        <v>46251.208333333343</v>
      </c>
      <c r="E1706" s="2">
        <f t="shared" si="26"/>
        <v>44.925000000010186</v>
      </c>
    </row>
    <row r="1707" spans="1:5" x14ac:dyDescent="0.25">
      <c r="A1707" t="s">
        <v>15</v>
      </c>
      <c r="B1707" t="s">
        <v>13</v>
      </c>
      <c r="C1707" s="1">
        <v>46232.020833333343</v>
      </c>
      <c r="D1707" s="1">
        <v>46267.020833333343</v>
      </c>
      <c r="E1707" s="2">
        <f t="shared" si="26"/>
        <v>35</v>
      </c>
    </row>
    <row r="1708" spans="1:5" x14ac:dyDescent="0.25">
      <c r="A1708" t="s">
        <v>15</v>
      </c>
      <c r="B1708" t="s">
        <v>13</v>
      </c>
      <c r="C1708" s="1">
        <v>46232.020833333343</v>
      </c>
      <c r="D1708" s="1">
        <v>46267.020833333343</v>
      </c>
      <c r="E1708" s="2">
        <f t="shared" si="26"/>
        <v>35</v>
      </c>
    </row>
    <row r="1709" spans="1:5" x14ac:dyDescent="0.25">
      <c r="A1709" t="s">
        <v>8</v>
      </c>
      <c r="B1709" t="s">
        <v>18</v>
      </c>
      <c r="C1709" s="1">
        <v>46227.745833333327</v>
      </c>
      <c r="D1709" s="1">
        <v>46269.7</v>
      </c>
      <c r="E1709" s="2">
        <f t="shared" si="26"/>
        <v>41.954166666670062</v>
      </c>
    </row>
    <row r="1710" spans="1:5" x14ac:dyDescent="0.25">
      <c r="A1710" t="s">
        <v>19</v>
      </c>
      <c r="B1710" t="s">
        <v>8</v>
      </c>
      <c r="C1710" s="1">
        <v>46070.881944444453</v>
      </c>
      <c r="D1710" s="1">
        <v>46098.163194444453</v>
      </c>
      <c r="E1710" s="2">
        <f t="shared" si="26"/>
        <v>27.28125</v>
      </c>
    </row>
    <row r="1711" spans="1:5" x14ac:dyDescent="0.25">
      <c r="A1711" t="s">
        <v>27</v>
      </c>
      <c r="B1711" t="s">
        <v>18</v>
      </c>
      <c r="C1711" s="1">
        <v>45879.625</v>
      </c>
      <c r="D1711" s="1">
        <v>45948.833333333343</v>
      </c>
      <c r="E1711" s="2">
        <f t="shared" si="26"/>
        <v>69.208333333343035</v>
      </c>
    </row>
    <row r="1712" spans="1:5" x14ac:dyDescent="0.25">
      <c r="A1712" t="s">
        <v>11</v>
      </c>
      <c r="B1712" t="s">
        <v>13</v>
      </c>
      <c r="C1712" s="1">
        <v>46157.958333333343</v>
      </c>
      <c r="D1712" s="1">
        <v>46200.89166666667</v>
      </c>
      <c r="E1712" s="2">
        <f t="shared" si="26"/>
        <v>42.933333333327028</v>
      </c>
    </row>
    <row r="1713" spans="1:5" x14ac:dyDescent="0.25">
      <c r="A1713" t="s">
        <v>12</v>
      </c>
      <c r="B1713" t="s">
        <v>13</v>
      </c>
      <c r="C1713" s="1">
        <v>45662.208333333343</v>
      </c>
      <c r="D1713" s="1">
        <v>45704.333333333343</v>
      </c>
      <c r="E1713" s="2">
        <f t="shared" si="26"/>
        <v>42.125</v>
      </c>
    </row>
    <row r="1714" spans="1:5" x14ac:dyDescent="0.25">
      <c r="A1714" t="s">
        <v>7</v>
      </c>
      <c r="B1714" t="s">
        <v>11</v>
      </c>
      <c r="C1714" s="1">
        <v>45738.083333333343</v>
      </c>
      <c r="D1714" s="1">
        <v>45819.366666666669</v>
      </c>
      <c r="E1714" s="2">
        <f t="shared" si="26"/>
        <v>81.283333333325572</v>
      </c>
    </row>
    <row r="1715" spans="1:5" x14ac:dyDescent="0.25">
      <c r="A1715" t="s">
        <v>13</v>
      </c>
      <c r="B1715" t="s">
        <v>8</v>
      </c>
      <c r="C1715" s="1">
        <v>45704.237500000003</v>
      </c>
      <c r="D1715" s="1">
        <v>45728.632638888892</v>
      </c>
      <c r="E1715" s="2">
        <f t="shared" si="26"/>
        <v>24.395138888889051</v>
      </c>
    </row>
    <row r="1716" spans="1:5" x14ac:dyDescent="0.25">
      <c r="A1716" t="s">
        <v>6</v>
      </c>
      <c r="B1716" t="s">
        <v>8</v>
      </c>
      <c r="C1716" s="1">
        <v>45690.933333333327</v>
      </c>
      <c r="D1716" s="1">
        <v>45735.334027777782</v>
      </c>
      <c r="E1716" s="2">
        <f t="shared" si="26"/>
        <v>44.400694444455439</v>
      </c>
    </row>
    <row r="1717" spans="1:5" x14ac:dyDescent="0.25">
      <c r="A1717" t="s">
        <v>8</v>
      </c>
      <c r="B1717" t="s">
        <v>6</v>
      </c>
      <c r="C1717" s="1">
        <v>46186.24722222222</v>
      </c>
      <c r="D1717" s="1">
        <v>46229.474999999999</v>
      </c>
      <c r="E1717" s="2">
        <f t="shared" si="26"/>
        <v>43.227777777778101</v>
      </c>
    </row>
    <row r="1718" spans="1:5" x14ac:dyDescent="0.25">
      <c r="A1718" t="s">
        <v>28</v>
      </c>
      <c r="B1718" t="s">
        <v>13</v>
      </c>
      <c r="C1718" s="1">
        <v>46009.938194444447</v>
      </c>
      <c r="D1718" s="1">
        <v>46071.101388888892</v>
      </c>
      <c r="E1718" s="2">
        <f t="shared" si="26"/>
        <v>61.163194444445253</v>
      </c>
    </row>
    <row r="1719" spans="1:5" x14ac:dyDescent="0.25">
      <c r="A1719" t="s">
        <v>27</v>
      </c>
      <c r="B1719" t="s">
        <v>18</v>
      </c>
      <c r="C1719" s="1">
        <v>45773.5</v>
      </c>
      <c r="D1719" s="1">
        <v>45832.666666666657</v>
      </c>
      <c r="E1719" s="2">
        <f t="shared" si="26"/>
        <v>59.166666666656965</v>
      </c>
    </row>
    <row r="1720" spans="1:5" x14ac:dyDescent="0.25">
      <c r="A1720" t="s">
        <v>26</v>
      </c>
      <c r="B1720" t="s">
        <v>21</v>
      </c>
      <c r="C1720" s="1">
        <v>46054.645833333343</v>
      </c>
      <c r="D1720" s="1">
        <v>46100.395833333343</v>
      </c>
      <c r="E1720" s="2">
        <f t="shared" si="26"/>
        <v>45.75</v>
      </c>
    </row>
    <row r="1721" spans="1:5" x14ac:dyDescent="0.25">
      <c r="A1721" t="s">
        <v>12</v>
      </c>
      <c r="B1721" t="s">
        <v>13</v>
      </c>
      <c r="C1721" s="1">
        <v>45669.5</v>
      </c>
      <c r="D1721" s="1">
        <v>45714.583333333343</v>
      </c>
      <c r="E1721" s="2">
        <f t="shared" si="26"/>
        <v>45.083333333343035</v>
      </c>
    </row>
    <row r="1722" spans="1:5" x14ac:dyDescent="0.25">
      <c r="A1722" t="s">
        <v>20</v>
      </c>
      <c r="B1722" t="s">
        <v>8</v>
      </c>
      <c r="C1722" s="1">
        <v>46082.508333333331</v>
      </c>
      <c r="D1722" s="1">
        <v>46120.779166666667</v>
      </c>
      <c r="E1722" s="2">
        <f t="shared" si="26"/>
        <v>38.270833333335759</v>
      </c>
    </row>
    <row r="1723" spans="1:5" x14ac:dyDescent="0.25">
      <c r="A1723" t="s">
        <v>28</v>
      </c>
      <c r="B1723" t="s">
        <v>13</v>
      </c>
      <c r="C1723" s="1">
        <v>45932.916666666657</v>
      </c>
      <c r="D1723" s="1">
        <v>46002.104166666657</v>
      </c>
      <c r="E1723" s="2">
        <f t="shared" si="26"/>
        <v>69.1875</v>
      </c>
    </row>
    <row r="1724" spans="1:5" x14ac:dyDescent="0.25">
      <c r="A1724" t="s">
        <v>8</v>
      </c>
      <c r="B1724" t="s">
        <v>18</v>
      </c>
      <c r="C1724" s="1">
        <v>46206.283333333333</v>
      </c>
      <c r="D1724" s="1">
        <v>46251.208333333343</v>
      </c>
      <c r="E1724" s="2">
        <f t="shared" si="26"/>
        <v>44.925000000010186</v>
      </c>
    </row>
    <row r="1725" spans="1:5" x14ac:dyDescent="0.25">
      <c r="A1725" t="s">
        <v>18</v>
      </c>
      <c r="B1725" t="s">
        <v>27</v>
      </c>
      <c r="C1725" s="1">
        <v>46059.115277777782</v>
      </c>
      <c r="D1725" s="1">
        <v>46114.333333333343</v>
      </c>
      <c r="E1725" s="2">
        <f t="shared" si="26"/>
        <v>55.218055555560568</v>
      </c>
    </row>
    <row r="1726" spans="1:5" x14ac:dyDescent="0.25">
      <c r="A1726" t="s">
        <v>20</v>
      </c>
      <c r="B1726" t="s">
        <v>8</v>
      </c>
      <c r="C1726" s="1">
        <v>45879.316666666673</v>
      </c>
      <c r="D1726" s="1">
        <v>45910.938888888893</v>
      </c>
      <c r="E1726" s="2">
        <f t="shared" si="26"/>
        <v>31.622222222220444</v>
      </c>
    </row>
    <row r="1727" spans="1:5" x14ac:dyDescent="0.25">
      <c r="A1727" t="s">
        <v>12</v>
      </c>
      <c r="B1727" t="s">
        <v>18</v>
      </c>
      <c r="C1727" s="1">
        <v>45907.466666666667</v>
      </c>
      <c r="D1727" s="1">
        <v>45970.963194444441</v>
      </c>
      <c r="E1727" s="2">
        <f t="shared" si="26"/>
        <v>63.496527777773736</v>
      </c>
    </row>
    <row r="1728" spans="1:5" x14ac:dyDescent="0.25">
      <c r="A1728" t="s">
        <v>19</v>
      </c>
      <c r="B1728" t="s">
        <v>11</v>
      </c>
      <c r="C1728" s="1">
        <v>46130.55</v>
      </c>
      <c r="D1728" s="1">
        <v>46169.136111111111</v>
      </c>
      <c r="E1728" s="2">
        <f t="shared" si="26"/>
        <v>38.586111111108039</v>
      </c>
    </row>
    <row r="1729" spans="1:5" x14ac:dyDescent="0.25">
      <c r="A1729" t="s">
        <v>23</v>
      </c>
      <c r="B1729" t="s">
        <v>18</v>
      </c>
      <c r="C1729" s="1">
        <v>45995.4375</v>
      </c>
      <c r="D1729" s="1">
        <v>46050.520833333343</v>
      </c>
      <c r="E1729" s="2">
        <f t="shared" si="26"/>
        <v>55.083333333343035</v>
      </c>
    </row>
    <row r="1730" spans="1:5" x14ac:dyDescent="0.25">
      <c r="A1730" t="s">
        <v>26</v>
      </c>
      <c r="B1730" t="s">
        <v>21</v>
      </c>
      <c r="C1730" s="1">
        <v>46007.3</v>
      </c>
      <c r="D1730" s="1">
        <v>46051.241666666669</v>
      </c>
      <c r="E1730" s="2">
        <f t="shared" ref="E1730:E1793" si="27">D1730-C1730</f>
        <v>43.941666666665697</v>
      </c>
    </row>
    <row r="1731" spans="1:5" x14ac:dyDescent="0.25">
      <c r="A1731" t="s">
        <v>12</v>
      </c>
      <c r="B1731" t="s">
        <v>18</v>
      </c>
      <c r="C1731" s="1">
        <v>46057.875</v>
      </c>
      <c r="D1731" s="1">
        <v>46119.064583333333</v>
      </c>
      <c r="E1731" s="2">
        <f t="shared" si="27"/>
        <v>61.189583333332848</v>
      </c>
    </row>
    <row r="1732" spans="1:5" x14ac:dyDescent="0.25">
      <c r="A1732" t="s">
        <v>23</v>
      </c>
      <c r="B1732" t="s">
        <v>18</v>
      </c>
      <c r="C1732" s="1">
        <v>45939.654166666667</v>
      </c>
      <c r="D1732" s="1">
        <v>45990.75</v>
      </c>
      <c r="E1732" s="2">
        <f t="shared" si="27"/>
        <v>51.095833333332848</v>
      </c>
    </row>
    <row r="1733" spans="1:5" x14ac:dyDescent="0.25">
      <c r="A1733" t="s">
        <v>8</v>
      </c>
      <c r="B1733" t="s">
        <v>13</v>
      </c>
      <c r="C1733" s="1">
        <v>45760.53125</v>
      </c>
      <c r="D1733" s="1">
        <v>45802.041666666657</v>
      </c>
      <c r="E1733" s="2">
        <f t="shared" si="27"/>
        <v>41.510416666656965</v>
      </c>
    </row>
    <row r="1734" spans="1:5" x14ac:dyDescent="0.25">
      <c r="A1734" t="s">
        <v>15</v>
      </c>
      <c r="B1734" t="s">
        <v>18</v>
      </c>
      <c r="C1734" s="1">
        <v>45885.958333333343</v>
      </c>
      <c r="D1734" s="1">
        <v>45948.833333333343</v>
      </c>
      <c r="E1734" s="2">
        <f t="shared" si="27"/>
        <v>62.875</v>
      </c>
    </row>
    <row r="1735" spans="1:5" x14ac:dyDescent="0.25">
      <c r="A1735" t="s">
        <v>28</v>
      </c>
      <c r="B1735" t="s">
        <v>8</v>
      </c>
      <c r="C1735" s="1">
        <v>45858.201388888891</v>
      </c>
      <c r="D1735" s="1">
        <v>45923.416666666657</v>
      </c>
      <c r="E1735" s="2">
        <f t="shared" si="27"/>
        <v>65.21527777776646</v>
      </c>
    </row>
    <row r="1736" spans="1:5" x14ac:dyDescent="0.25">
      <c r="A1736" t="s">
        <v>23</v>
      </c>
      <c r="B1736" t="s">
        <v>18</v>
      </c>
      <c r="C1736" s="1">
        <v>46100.208333333343</v>
      </c>
      <c r="D1736" s="1">
        <v>46156.002083333333</v>
      </c>
      <c r="E1736" s="2">
        <f t="shared" si="27"/>
        <v>55.793749999989814</v>
      </c>
    </row>
    <row r="1737" spans="1:5" x14ac:dyDescent="0.25">
      <c r="A1737" t="s">
        <v>27</v>
      </c>
      <c r="B1737" t="s">
        <v>18</v>
      </c>
      <c r="C1737" s="1">
        <v>45773.5</v>
      </c>
      <c r="D1737" s="1">
        <v>45832.666666666657</v>
      </c>
      <c r="E1737" s="2">
        <f t="shared" si="27"/>
        <v>59.166666666656965</v>
      </c>
    </row>
    <row r="1738" spans="1:5" x14ac:dyDescent="0.25">
      <c r="A1738" t="s">
        <v>20</v>
      </c>
      <c r="B1738" t="s">
        <v>8</v>
      </c>
      <c r="C1738" s="1">
        <v>45920.474999999999</v>
      </c>
      <c r="D1738" s="1">
        <v>45953.417361111111</v>
      </c>
      <c r="E1738" s="2">
        <f t="shared" si="27"/>
        <v>32.942361111112405</v>
      </c>
    </row>
    <row r="1739" spans="1:5" x14ac:dyDescent="0.25">
      <c r="A1739" t="s">
        <v>22</v>
      </c>
      <c r="B1739" t="s">
        <v>19</v>
      </c>
      <c r="C1739" s="1">
        <v>46229.95416666667</v>
      </c>
      <c r="D1739" s="1">
        <v>46274.875</v>
      </c>
      <c r="E1739" s="2">
        <f t="shared" si="27"/>
        <v>44.920833333329938</v>
      </c>
    </row>
    <row r="1740" spans="1:5" x14ac:dyDescent="0.25">
      <c r="A1740" t="s">
        <v>8</v>
      </c>
      <c r="B1740" t="s">
        <v>18</v>
      </c>
      <c r="C1740" s="1">
        <v>46199.770833333343</v>
      </c>
      <c r="D1740" s="1">
        <v>46241.870833333327</v>
      </c>
      <c r="E1740" s="2">
        <f t="shared" si="27"/>
        <v>42.099999999983993</v>
      </c>
    </row>
    <row r="1741" spans="1:5" x14ac:dyDescent="0.25">
      <c r="A1741" t="s">
        <v>8</v>
      </c>
      <c r="B1741" t="s">
        <v>18</v>
      </c>
      <c r="C1741" s="1">
        <v>46227.745833333327</v>
      </c>
      <c r="D1741" s="1">
        <v>46269.7</v>
      </c>
      <c r="E1741" s="2">
        <f t="shared" si="27"/>
        <v>41.954166666670062</v>
      </c>
    </row>
    <row r="1742" spans="1:5" x14ac:dyDescent="0.25">
      <c r="A1742" t="s">
        <v>15</v>
      </c>
      <c r="B1742" t="s">
        <v>18</v>
      </c>
      <c r="C1742" s="1">
        <v>45678</v>
      </c>
      <c r="D1742" s="1">
        <v>45732.921527777777</v>
      </c>
      <c r="E1742" s="2">
        <f t="shared" si="27"/>
        <v>54.921527777776646</v>
      </c>
    </row>
    <row r="1743" spans="1:5" x14ac:dyDescent="0.25">
      <c r="A1743" t="s">
        <v>15</v>
      </c>
      <c r="B1743" t="s">
        <v>6</v>
      </c>
      <c r="C1743" s="1">
        <v>45677</v>
      </c>
      <c r="D1743" s="1">
        <v>45765.916666666657</v>
      </c>
      <c r="E1743" s="2">
        <f t="shared" si="27"/>
        <v>88.916666666656965</v>
      </c>
    </row>
    <row r="1744" spans="1:5" x14ac:dyDescent="0.25">
      <c r="A1744" t="s">
        <v>15</v>
      </c>
      <c r="B1744" t="s">
        <v>6</v>
      </c>
      <c r="C1744" s="1">
        <v>45683.460416666669</v>
      </c>
      <c r="D1744" s="1">
        <v>45754.908333333333</v>
      </c>
      <c r="E1744" s="2">
        <f t="shared" si="27"/>
        <v>71.447916666664241</v>
      </c>
    </row>
    <row r="1745" spans="1:5" x14ac:dyDescent="0.25">
      <c r="A1745" t="s">
        <v>8</v>
      </c>
      <c r="B1745" t="s">
        <v>18</v>
      </c>
      <c r="C1745" s="1">
        <v>46212.760416666657</v>
      </c>
      <c r="D1745" s="1">
        <v>46269.7</v>
      </c>
      <c r="E1745" s="2">
        <f t="shared" si="27"/>
        <v>56.939583333340124</v>
      </c>
    </row>
    <row r="1746" spans="1:5" x14ac:dyDescent="0.25">
      <c r="A1746" t="s">
        <v>15</v>
      </c>
      <c r="B1746" t="s">
        <v>13</v>
      </c>
      <c r="C1746" s="1">
        <v>45672</v>
      </c>
      <c r="D1746" s="1">
        <v>45714.583333333343</v>
      </c>
      <c r="E1746" s="2">
        <f t="shared" si="27"/>
        <v>42.583333333343035</v>
      </c>
    </row>
    <row r="1747" spans="1:5" x14ac:dyDescent="0.25">
      <c r="A1747" t="s">
        <v>13</v>
      </c>
      <c r="B1747" t="s">
        <v>8</v>
      </c>
      <c r="C1747" s="1">
        <v>45741.29583333333</v>
      </c>
      <c r="D1747" s="1">
        <v>45777</v>
      </c>
      <c r="E1747" s="2">
        <f t="shared" si="27"/>
        <v>35.704166666670062</v>
      </c>
    </row>
    <row r="1748" spans="1:5" x14ac:dyDescent="0.25">
      <c r="A1748" t="s">
        <v>26</v>
      </c>
      <c r="B1748" t="s">
        <v>21</v>
      </c>
      <c r="C1748" s="1">
        <v>46214.779166666667</v>
      </c>
      <c r="D1748" s="1">
        <v>46254.470833333333</v>
      </c>
      <c r="E1748" s="2">
        <f t="shared" si="27"/>
        <v>39.691666666665697</v>
      </c>
    </row>
    <row r="1749" spans="1:5" x14ac:dyDescent="0.25">
      <c r="A1749" t="s">
        <v>8</v>
      </c>
      <c r="B1749" t="s">
        <v>18</v>
      </c>
      <c r="C1749" s="1">
        <v>46234.25</v>
      </c>
      <c r="D1749" s="1">
        <v>46284.76666666667</v>
      </c>
      <c r="E1749" s="2">
        <f t="shared" si="27"/>
        <v>50.516666666670062</v>
      </c>
    </row>
    <row r="1750" spans="1:5" x14ac:dyDescent="0.25">
      <c r="A1750" t="s">
        <v>15</v>
      </c>
      <c r="B1750" t="s">
        <v>13</v>
      </c>
      <c r="C1750" s="1">
        <v>45683.460416666669</v>
      </c>
      <c r="D1750" s="1">
        <v>45723.27847222222</v>
      </c>
      <c r="E1750" s="2">
        <f t="shared" si="27"/>
        <v>39.818055555551837</v>
      </c>
    </row>
    <row r="1751" spans="1:5" x14ac:dyDescent="0.25">
      <c r="A1751" t="s">
        <v>8</v>
      </c>
      <c r="B1751" t="s">
        <v>18</v>
      </c>
      <c r="C1751" s="1">
        <v>46199.770833333343</v>
      </c>
      <c r="D1751" s="1">
        <v>46241.870833333327</v>
      </c>
      <c r="E1751" s="2">
        <f t="shared" si="27"/>
        <v>42.099999999983993</v>
      </c>
    </row>
    <row r="1752" spans="1:5" x14ac:dyDescent="0.25">
      <c r="A1752" t="s">
        <v>20</v>
      </c>
      <c r="B1752" t="s">
        <v>8</v>
      </c>
      <c r="C1752" s="1">
        <v>45795.35</v>
      </c>
      <c r="D1752" s="1">
        <v>45833.972916666673</v>
      </c>
      <c r="E1752" s="2">
        <f t="shared" si="27"/>
        <v>38.622916666674428</v>
      </c>
    </row>
    <row r="1753" spans="1:5" x14ac:dyDescent="0.25">
      <c r="A1753" t="s">
        <v>15</v>
      </c>
      <c r="B1753" t="s">
        <v>6</v>
      </c>
      <c r="C1753" s="1">
        <v>45671</v>
      </c>
      <c r="D1753" s="1">
        <v>45731.054166666669</v>
      </c>
      <c r="E1753" s="2">
        <f t="shared" si="27"/>
        <v>60.054166666668607</v>
      </c>
    </row>
    <row r="1754" spans="1:5" x14ac:dyDescent="0.25">
      <c r="A1754" t="s">
        <v>15</v>
      </c>
      <c r="B1754" t="s">
        <v>18</v>
      </c>
      <c r="C1754" s="1">
        <v>46081.041666666657</v>
      </c>
      <c r="D1754" s="1">
        <v>46131.375</v>
      </c>
      <c r="E1754" s="2">
        <f t="shared" si="27"/>
        <v>50.333333333343035</v>
      </c>
    </row>
    <row r="1755" spans="1:5" x14ac:dyDescent="0.25">
      <c r="A1755" t="s">
        <v>12</v>
      </c>
      <c r="B1755" t="s">
        <v>13</v>
      </c>
      <c r="C1755" s="1">
        <v>45887</v>
      </c>
      <c r="D1755" s="1">
        <v>45942.337500000001</v>
      </c>
      <c r="E1755" s="2">
        <f t="shared" si="27"/>
        <v>55.337500000001455</v>
      </c>
    </row>
    <row r="1756" spans="1:5" x14ac:dyDescent="0.25">
      <c r="A1756" t="s">
        <v>27</v>
      </c>
      <c r="B1756" t="s">
        <v>18</v>
      </c>
      <c r="C1756" s="1">
        <v>45876.125</v>
      </c>
      <c r="D1756" s="1">
        <v>45948.833333333343</v>
      </c>
      <c r="E1756" s="2">
        <f t="shared" si="27"/>
        <v>72.708333333343035</v>
      </c>
    </row>
    <row r="1757" spans="1:5" x14ac:dyDescent="0.25">
      <c r="A1757" t="s">
        <v>10</v>
      </c>
      <c r="B1757" t="s">
        <v>8</v>
      </c>
      <c r="C1757" s="1">
        <v>46225.225972222222</v>
      </c>
      <c r="D1757" s="1">
        <v>46243.890972222223</v>
      </c>
      <c r="E1757" s="2">
        <f t="shared" si="27"/>
        <v>18.665000000000873</v>
      </c>
    </row>
    <row r="1758" spans="1:5" x14ac:dyDescent="0.25">
      <c r="A1758" t="s">
        <v>8</v>
      </c>
      <c r="B1758" t="s">
        <v>18</v>
      </c>
      <c r="C1758" s="1">
        <v>46192.1875</v>
      </c>
      <c r="D1758" s="1">
        <v>46227.5</v>
      </c>
      <c r="E1758" s="2">
        <f t="shared" si="27"/>
        <v>35.3125</v>
      </c>
    </row>
    <row r="1759" spans="1:5" x14ac:dyDescent="0.25">
      <c r="A1759" t="s">
        <v>27</v>
      </c>
      <c r="B1759" t="s">
        <v>8</v>
      </c>
      <c r="C1759" s="1">
        <v>45900.95</v>
      </c>
      <c r="D1759" s="1">
        <v>45955.75</v>
      </c>
      <c r="E1759" s="2">
        <f t="shared" si="27"/>
        <v>54.80000000000291</v>
      </c>
    </row>
    <row r="1760" spans="1:5" x14ac:dyDescent="0.25">
      <c r="A1760" t="s">
        <v>12</v>
      </c>
      <c r="B1760" t="s">
        <v>13</v>
      </c>
      <c r="C1760" s="1">
        <v>45895.17083333333</v>
      </c>
      <c r="D1760" s="1">
        <v>45949.119444444441</v>
      </c>
      <c r="E1760" s="2">
        <f t="shared" si="27"/>
        <v>53.948611111110949</v>
      </c>
    </row>
    <row r="1761" spans="1:5" x14ac:dyDescent="0.25">
      <c r="A1761" t="s">
        <v>23</v>
      </c>
      <c r="B1761" t="s">
        <v>18</v>
      </c>
      <c r="C1761" s="1">
        <v>45933.418055555558</v>
      </c>
      <c r="D1761" s="1">
        <v>45986.619444444441</v>
      </c>
      <c r="E1761" s="2">
        <f t="shared" si="27"/>
        <v>53.20138888888323</v>
      </c>
    </row>
    <row r="1762" spans="1:5" x14ac:dyDescent="0.25">
      <c r="A1762" t="s">
        <v>20</v>
      </c>
      <c r="B1762" t="s">
        <v>8</v>
      </c>
      <c r="C1762" s="1">
        <v>46075.20416666667</v>
      </c>
      <c r="D1762" s="1">
        <v>46113.945138888892</v>
      </c>
      <c r="E1762" s="2">
        <f t="shared" si="27"/>
        <v>38.740972222221899</v>
      </c>
    </row>
    <row r="1763" spans="1:5" x14ac:dyDescent="0.25">
      <c r="A1763" t="s">
        <v>8</v>
      </c>
      <c r="B1763" t="s">
        <v>6</v>
      </c>
      <c r="C1763" s="1">
        <v>46186.24722222222</v>
      </c>
      <c r="D1763" s="1">
        <v>46229.474999999999</v>
      </c>
      <c r="E1763" s="2">
        <f t="shared" si="27"/>
        <v>43.227777777778101</v>
      </c>
    </row>
    <row r="1764" spans="1:5" x14ac:dyDescent="0.25">
      <c r="A1764" t="s">
        <v>15</v>
      </c>
      <c r="B1764" t="s">
        <v>18</v>
      </c>
      <c r="C1764" s="1">
        <v>45928.416666666657</v>
      </c>
      <c r="D1764" s="1">
        <v>45986.619444444441</v>
      </c>
      <c r="E1764" s="2">
        <f t="shared" si="27"/>
        <v>58.202777777783922</v>
      </c>
    </row>
    <row r="1765" spans="1:5" x14ac:dyDescent="0.25">
      <c r="A1765" t="s">
        <v>20</v>
      </c>
      <c r="B1765" t="s">
        <v>8</v>
      </c>
      <c r="C1765" s="1">
        <v>46025.862500000003</v>
      </c>
      <c r="D1765" s="1">
        <v>46064.25</v>
      </c>
      <c r="E1765" s="2">
        <f t="shared" si="27"/>
        <v>38.38749999999709</v>
      </c>
    </row>
    <row r="1766" spans="1:5" x14ac:dyDescent="0.25">
      <c r="A1766" t="s">
        <v>8</v>
      </c>
      <c r="B1766" t="s">
        <v>18</v>
      </c>
      <c r="C1766" s="1">
        <v>46149.661805555559</v>
      </c>
      <c r="D1766" s="1">
        <v>46195.804166666669</v>
      </c>
      <c r="E1766" s="2">
        <f t="shared" si="27"/>
        <v>46.142361111109494</v>
      </c>
    </row>
    <row r="1767" spans="1:5" x14ac:dyDescent="0.25">
      <c r="A1767" t="s">
        <v>23</v>
      </c>
      <c r="B1767" t="s">
        <v>18</v>
      </c>
      <c r="C1767" s="1">
        <v>46034.098611111112</v>
      </c>
      <c r="D1767" s="1">
        <v>46079.863888888889</v>
      </c>
      <c r="E1767" s="2">
        <f t="shared" si="27"/>
        <v>45.765277777776646</v>
      </c>
    </row>
    <row r="1768" spans="1:5" x14ac:dyDescent="0.25">
      <c r="A1768" t="s">
        <v>6</v>
      </c>
      <c r="B1768" t="s">
        <v>8</v>
      </c>
      <c r="C1768" s="1">
        <v>45779.34375</v>
      </c>
      <c r="D1768" s="1">
        <v>45839.076388888891</v>
      </c>
      <c r="E1768" s="2">
        <f t="shared" si="27"/>
        <v>59.732638888890506</v>
      </c>
    </row>
    <row r="1769" spans="1:5" x14ac:dyDescent="0.25">
      <c r="A1769" t="s">
        <v>8</v>
      </c>
      <c r="B1769" t="s">
        <v>18</v>
      </c>
      <c r="C1769" s="1">
        <v>46157.003472222219</v>
      </c>
      <c r="D1769" s="1">
        <v>46195.804166666669</v>
      </c>
      <c r="E1769" s="2">
        <f t="shared" si="27"/>
        <v>38.800694444449618</v>
      </c>
    </row>
    <row r="1770" spans="1:5" x14ac:dyDescent="0.25">
      <c r="A1770" t="s">
        <v>27</v>
      </c>
      <c r="B1770" t="s">
        <v>20</v>
      </c>
      <c r="C1770" s="1">
        <v>45748.5625</v>
      </c>
      <c r="D1770" s="1">
        <v>45813.379166666673</v>
      </c>
      <c r="E1770" s="2">
        <f t="shared" si="27"/>
        <v>64.816666666672972</v>
      </c>
    </row>
    <row r="1771" spans="1:5" x14ac:dyDescent="0.25">
      <c r="A1771" t="s">
        <v>26</v>
      </c>
      <c r="B1771" t="s">
        <v>21</v>
      </c>
      <c r="C1771" s="1">
        <v>46135.666666666657</v>
      </c>
      <c r="D1771" s="1">
        <v>46177.158333333333</v>
      </c>
      <c r="E1771" s="2">
        <f t="shared" si="27"/>
        <v>41.491666666675883</v>
      </c>
    </row>
    <row r="1772" spans="1:5" x14ac:dyDescent="0.25">
      <c r="A1772" t="s">
        <v>20</v>
      </c>
      <c r="B1772" t="s">
        <v>8</v>
      </c>
      <c r="C1772" s="1">
        <v>45955.679166666669</v>
      </c>
      <c r="D1772" s="1">
        <v>45987.640277777777</v>
      </c>
      <c r="E1772" s="2">
        <f t="shared" si="27"/>
        <v>31.961111111108039</v>
      </c>
    </row>
    <row r="1773" spans="1:5" x14ac:dyDescent="0.25">
      <c r="A1773" t="s">
        <v>28</v>
      </c>
      <c r="B1773" t="s">
        <v>18</v>
      </c>
      <c r="C1773" s="1">
        <v>45852.695138888892</v>
      </c>
      <c r="D1773" s="1">
        <v>45917.230555555558</v>
      </c>
      <c r="E1773" s="2">
        <f t="shared" si="27"/>
        <v>64.535416666665697</v>
      </c>
    </row>
    <row r="1774" spans="1:5" x14ac:dyDescent="0.25">
      <c r="A1774" t="s">
        <v>23</v>
      </c>
      <c r="B1774" t="s">
        <v>24</v>
      </c>
      <c r="C1774" s="1">
        <v>46100.208333333343</v>
      </c>
      <c r="D1774" s="1">
        <v>46156.694444444453</v>
      </c>
      <c r="E1774" s="2">
        <f t="shared" si="27"/>
        <v>56.486111111109494</v>
      </c>
    </row>
    <row r="1775" spans="1:5" x14ac:dyDescent="0.25">
      <c r="A1775" t="s">
        <v>6</v>
      </c>
      <c r="B1775" t="s">
        <v>8</v>
      </c>
      <c r="C1775" s="1">
        <v>45779.34375</v>
      </c>
      <c r="D1775" s="1">
        <v>45839.076388888891</v>
      </c>
      <c r="E1775" s="2">
        <f t="shared" si="27"/>
        <v>59.732638888890506</v>
      </c>
    </row>
    <row r="1776" spans="1:5" x14ac:dyDescent="0.25">
      <c r="A1776" t="s">
        <v>15</v>
      </c>
      <c r="B1776" t="s">
        <v>19</v>
      </c>
      <c r="C1776" s="1">
        <v>46166.48541666667</v>
      </c>
      <c r="D1776" s="1">
        <v>46202.877083333333</v>
      </c>
      <c r="E1776" s="2">
        <f t="shared" si="27"/>
        <v>36.391666666662786</v>
      </c>
    </row>
    <row r="1777" spans="1:5" x14ac:dyDescent="0.25">
      <c r="A1777" t="s">
        <v>20</v>
      </c>
      <c r="B1777" t="s">
        <v>8</v>
      </c>
      <c r="C1777" s="1">
        <v>46075.20416666667</v>
      </c>
      <c r="D1777" s="1">
        <v>46113.945138888892</v>
      </c>
      <c r="E1777" s="2">
        <f t="shared" si="27"/>
        <v>38.740972222221899</v>
      </c>
    </row>
    <row r="1778" spans="1:5" x14ac:dyDescent="0.25">
      <c r="A1778" t="s">
        <v>15</v>
      </c>
      <c r="B1778" t="s">
        <v>18</v>
      </c>
      <c r="C1778" s="1">
        <v>46092.223611111112</v>
      </c>
      <c r="D1778" s="1">
        <v>46143.875</v>
      </c>
      <c r="E1778" s="2">
        <f t="shared" si="27"/>
        <v>51.651388888887595</v>
      </c>
    </row>
    <row r="1779" spans="1:5" x14ac:dyDescent="0.25">
      <c r="A1779" t="s">
        <v>20</v>
      </c>
      <c r="B1779" t="s">
        <v>8</v>
      </c>
      <c r="C1779" s="1">
        <v>46075.20416666667</v>
      </c>
      <c r="D1779" s="1">
        <v>46113.945138888892</v>
      </c>
      <c r="E1779" s="2">
        <f t="shared" si="27"/>
        <v>38.740972222221899</v>
      </c>
    </row>
    <row r="1780" spans="1:5" x14ac:dyDescent="0.25">
      <c r="A1780" t="s">
        <v>23</v>
      </c>
      <c r="B1780" t="s">
        <v>24</v>
      </c>
      <c r="C1780" s="1">
        <v>46026.05</v>
      </c>
      <c r="D1780" s="1">
        <v>46110.945833333331</v>
      </c>
      <c r="E1780" s="2">
        <f t="shared" si="27"/>
        <v>84.895833333328483</v>
      </c>
    </row>
    <row r="1781" spans="1:5" x14ac:dyDescent="0.25">
      <c r="A1781" t="s">
        <v>15</v>
      </c>
      <c r="B1781" t="s">
        <v>13</v>
      </c>
      <c r="C1781" s="1">
        <v>45944.912499999999</v>
      </c>
      <c r="D1781" s="1">
        <v>45984.025000000001</v>
      </c>
      <c r="E1781" s="2">
        <f t="shared" si="27"/>
        <v>39.11250000000291</v>
      </c>
    </row>
    <row r="1782" spans="1:5" x14ac:dyDescent="0.25">
      <c r="A1782" t="s">
        <v>22</v>
      </c>
      <c r="B1782" t="s">
        <v>19</v>
      </c>
      <c r="C1782" s="1">
        <v>46092.00104166667</v>
      </c>
      <c r="D1782" s="1">
        <v>46139.809525462973</v>
      </c>
      <c r="E1782" s="2">
        <f t="shared" si="27"/>
        <v>47.808483796303335</v>
      </c>
    </row>
    <row r="1783" spans="1:5" x14ac:dyDescent="0.25">
      <c r="A1783" t="s">
        <v>22</v>
      </c>
      <c r="B1783" t="s">
        <v>19</v>
      </c>
      <c r="C1783" s="1">
        <v>46050.214236111111</v>
      </c>
      <c r="D1783" s="1">
        <v>46102.554826388892</v>
      </c>
      <c r="E1783" s="2">
        <f t="shared" si="27"/>
        <v>52.340590277781303</v>
      </c>
    </row>
    <row r="1784" spans="1:5" x14ac:dyDescent="0.25">
      <c r="A1784" t="s">
        <v>22</v>
      </c>
      <c r="B1784" t="s">
        <v>6</v>
      </c>
      <c r="C1784" s="1">
        <v>46053.207916666674</v>
      </c>
      <c r="D1784" s="1">
        <v>46126.91306712963</v>
      </c>
      <c r="E1784" s="2">
        <f t="shared" si="27"/>
        <v>73.705150462956226</v>
      </c>
    </row>
    <row r="1785" spans="1:5" x14ac:dyDescent="0.25">
      <c r="A1785" t="s">
        <v>15</v>
      </c>
      <c r="B1785" t="s">
        <v>19</v>
      </c>
      <c r="C1785" s="1">
        <v>46068.255902777782</v>
      </c>
      <c r="D1785" s="1">
        <v>46109.470752314817</v>
      </c>
      <c r="E1785" s="2">
        <f t="shared" si="27"/>
        <v>41.214849537034752</v>
      </c>
    </row>
    <row r="1786" spans="1:5" x14ac:dyDescent="0.25">
      <c r="A1786" t="s">
        <v>22</v>
      </c>
      <c r="B1786" t="s">
        <v>19</v>
      </c>
      <c r="C1786" s="1">
        <v>46111.217002314806</v>
      </c>
      <c r="D1786" s="1">
        <v>46152.626076388893</v>
      </c>
      <c r="E1786" s="2">
        <f t="shared" si="27"/>
        <v>41.409074074086675</v>
      </c>
    </row>
    <row r="1787" spans="1:5" x14ac:dyDescent="0.25">
      <c r="A1787" t="s">
        <v>22</v>
      </c>
      <c r="B1787" t="s">
        <v>6</v>
      </c>
      <c r="C1787" s="1">
        <v>46136.69321759259</v>
      </c>
      <c r="D1787" s="1">
        <v>46199.227847222217</v>
      </c>
      <c r="E1787" s="2">
        <f t="shared" si="27"/>
        <v>62.534629629626579</v>
      </c>
    </row>
    <row r="1788" spans="1:5" x14ac:dyDescent="0.25">
      <c r="A1788" t="s">
        <v>22</v>
      </c>
      <c r="B1788" t="s">
        <v>6</v>
      </c>
      <c r="C1788" s="1">
        <v>46123.778715277767</v>
      </c>
      <c r="D1788" s="1">
        <v>46189.878946759258</v>
      </c>
      <c r="E1788" s="2">
        <f t="shared" si="27"/>
        <v>66.100231481490482</v>
      </c>
    </row>
    <row r="1789" spans="1:5" x14ac:dyDescent="0.25">
      <c r="A1789" t="s">
        <v>35</v>
      </c>
      <c r="B1789" t="s">
        <v>19</v>
      </c>
      <c r="C1789" s="1">
        <v>46130.066516203697</v>
      </c>
      <c r="D1789" s="1">
        <v>46170.814259259263</v>
      </c>
      <c r="E1789" s="2">
        <f t="shared" si="27"/>
        <v>40.747743055566389</v>
      </c>
    </row>
    <row r="1790" spans="1:5" x14ac:dyDescent="0.25">
      <c r="A1790" t="s">
        <v>23</v>
      </c>
      <c r="B1790" t="s">
        <v>19</v>
      </c>
      <c r="C1790" s="1">
        <v>45691</v>
      </c>
      <c r="D1790" s="1">
        <v>45737.234895833331</v>
      </c>
      <c r="E1790" s="2">
        <f t="shared" si="27"/>
        <v>46.234895833331393</v>
      </c>
    </row>
    <row r="1791" spans="1:5" x14ac:dyDescent="0.25">
      <c r="A1791" t="s">
        <v>22</v>
      </c>
      <c r="B1791" t="s">
        <v>32</v>
      </c>
      <c r="C1791" s="1">
        <v>45738.878518518519</v>
      </c>
      <c r="D1791" s="1">
        <v>45806.826805555553</v>
      </c>
      <c r="E1791" s="2">
        <f t="shared" si="27"/>
        <v>67.948287037033879</v>
      </c>
    </row>
    <row r="1792" spans="1:5" x14ac:dyDescent="0.25">
      <c r="A1792" t="s">
        <v>22</v>
      </c>
      <c r="B1792" t="s">
        <v>6</v>
      </c>
      <c r="C1792" s="1">
        <v>46084.519837962973</v>
      </c>
      <c r="D1792" s="1">
        <v>46148.575810185182</v>
      </c>
      <c r="E1792" s="2">
        <f t="shared" si="27"/>
        <v>64.055972222209675</v>
      </c>
    </row>
    <row r="1793" spans="1:5" x14ac:dyDescent="0.25">
      <c r="A1793" t="s">
        <v>22</v>
      </c>
      <c r="B1793" t="s">
        <v>19</v>
      </c>
      <c r="C1793" s="1">
        <v>46120.798657407409</v>
      </c>
      <c r="D1793" s="1">
        <v>46170.814259259263</v>
      </c>
      <c r="E1793" s="2">
        <f t="shared" si="27"/>
        <v>50.015601851853717</v>
      </c>
    </row>
    <row r="1794" spans="1:5" x14ac:dyDescent="0.25">
      <c r="A1794" t="s">
        <v>22</v>
      </c>
      <c r="B1794" t="s">
        <v>19</v>
      </c>
      <c r="C1794" s="1">
        <v>46123.778715277767</v>
      </c>
      <c r="D1794" s="1">
        <v>46170.814259259263</v>
      </c>
      <c r="E1794" s="2">
        <f t="shared" ref="E1794:E1857" si="28">D1794-C1794</f>
        <v>47.035543981495721</v>
      </c>
    </row>
    <row r="1795" spans="1:5" x14ac:dyDescent="0.25">
      <c r="A1795" t="s">
        <v>22</v>
      </c>
      <c r="B1795" t="s">
        <v>19</v>
      </c>
      <c r="C1795" s="1">
        <v>45982.323680555557</v>
      </c>
      <c r="D1795" s="1">
        <v>46030.247719907413</v>
      </c>
      <c r="E1795" s="2">
        <f t="shared" si="28"/>
        <v>47.924039351855754</v>
      </c>
    </row>
    <row r="1796" spans="1:5" x14ac:dyDescent="0.25">
      <c r="A1796" t="s">
        <v>23</v>
      </c>
      <c r="B1796" t="s">
        <v>19</v>
      </c>
      <c r="C1796" s="1">
        <v>45699.870763888888</v>
      </c>
      <c r="D1796" s="1">
        <v>45760.181608796287</v>
      </c>
      <c r="E1796" s="2">
        <f t="shared" si="28"/>
        <v>60.31084490739886</v>
      </c>
    </row>
    <row r="1797" spans="1:5" x14ac:dyDescent="0.25">
      <c r="A1797" t="s">
        <v>23</v>
      </c>
      <c r="B1797" t="s">
        <v>19</v>
      </c>
      <c r="C1797" s="1">
        <v>45685.013298611113</v>
      </c>
      <c r="D1797" s="1">
        <v>45731.027650462973</v>
      </c>
      <c r="E1797" s="2">
        <f t="shared" si="28"/>
        <v>46.014351851859828</v>
      </c>
    </row>
    <row r="1798" spans="1:5" x14ac:dyDescent="0.25">
      <c r="A1798" t="s">
        <v>22</v>
      </c>
      <c r="B1798" t="s">
        <v>19</v>
      </c>
      <c r="C1798" s="1">
        <v>45896.181435185194</v>
      </c>
      <c r="D1798" s="1">
        <v>45938.941678240742</v>
      </c>
      <c r="E1798" s="2">
        <f t="shared" si="28"/>
        <v>42.760243055548926</v>
      </c>
    </row>
    <row r="1799" spans="1:5" x14ac:dyDescent="0.25">
      <c r="A1799" t="s">
        <v>22</v>
      </c>
      <c r="B1799" t="s">
        <v>32</v>
      </c>
      <c r="C1799" s="1">
        <v>45707.314444444448</v>
      </c>
      <c r="D1799" s="1">
        <v>45766.345520833333</v>
      </c>
      <c r="E1799" s="2">
        <f t="shared" si="28"/>
        <v>59.031076388884685</v>
      </c>
    </row>
    <row r="1800" spans="1:5" x14ac:dyDescent="0.25">
      <c r="A1800" t="s">
        <v>22</v>
      </c>
      <c r="B1800" t="s">
        <v>19</v>
      </c>
      <c r="C1800" s="1">
        <v>46003.329479166663</v>
      </c>
      <c r="D1800" s="1">
        <v>46095.444212962961</v>
      </c>
      <c r="E1800" s="2">
        <f t="shared" si="28"/>
        <v>92.114733796297514</v>
      </c>
    </row>
    <row r="1801" spans="1:5" x14ac:dyDescent="0.25">
      <c r="A1801" t="s">
        <v>22</v>
      </c>
      <c r="B1801" t="s">
        <v>19</v>
      </c>
      <c r="C1801" s="1">
        <v>45932.332187499997</v>
      </c>
      <c r="D1801" s="1">
        <v>45975.527314814812</v>
      </c>
      <c r="E1801" s="2">
        <f t="shared" si="28"/>
        <v>43.195127314815181</v>
      </c>
    </row>
    <row r="1802" spans="1:5" x14ac:dyDescent="0.25">
      <c r="A1802" t="s">
        <v>22</v>
      </c>
      <c r="B1802" t="s">
        <v>19</v>
      </c>
      <c r="C1802" s="1">
        <v>45932.87771990741</v>
      </c>
      <c r="D1802" s="1">
        <v>45975.527314814812</v>
      </c>
      <c r="E1802" s="2">
        <f t="shared" si="28"/>
        <v>42.649594907401479</v>
      </c>
    </row>
    <row r="1803" spans="1:5" x14ac:dyDescent="0.25">
      <c r="A1803" t="s">
        <v>22</v>
      </c>
      <c r="B1803" t="s">
        <v>19</v>
      </c>
      <c r="C1803" s="1">
        <v>45947.776655092603</v>
      </c>
      <c r="D1803" s="1">
        <v>45994.358368055553</v>
      </c>
      <c r="E1803" s="2">
        <f t="shared" si="28"/>
        <v>46.581712962950405</v>
      </c>
    </row>
    <row r="1804" spans="1:5" x14ac:dyDescent="0.25">
      <c r="A1804" t="s">
        <v>15</v>
      </c>
      <c r="B1804" t="s">
        <v>19</v>
      </c>
      <c r="C1804" s="1">
        <v>45906.922002314823</v>
      </c>
      <c r="D1804" s="1">
        <v>45946.24359953704</v>
      </c>
      <c r="E1804" s="2">
        <f t="shared" si="28"/>
        <v>39.321597222216951</v>
      </c>
    </row>
    <row r="1805" spans="1:5" x14ac:dyDescent="0.25">
      <c r="A1805" t="s">
        <v>22</v>
      </c>
      <c r="B1805" t="s">
        <v>19</v>
      </c>
      <c r="C1805" s="1">
        <v>45932.87771990741</v>
      </c>
      <c r="D1805" s="1">
        <v>45975.527314814812</v>
      </c>
      <c r="E1805" s="2">
        <f t="shared" si="28"/>
        <v>42.649594907401479</v>
      </c>
    </row>
    <row r="1806" spans="1:5" x14ac:dyDescent="0.25">
      <c r="A1806" t="s">
        <v>15</v>
      </c>
      <c r="B1806" t="s">
        <v>19</v>
      </c>
      <c r="C1806" s="1">
        <v>45920.016250000001</v>
      </c>
      <c r="D1806" s="1">
        <v>45961.661469907413</v>
      </c>
      <c r="E1806" s="2">
        <f t="shared" si="28"/>
        <v>41.645219907411956</v>
      </c>
    </row>
    <row r="1807" spans="1:5" x14ac:dyDescent="0.25">
      <c r="A1807" t="s">
        <v>15</v>
      </c>
      <c r="B1807" t="s">
        <v>19</v>
      </c>
      <c r="C1807" s="1">
        <v>45906.922002314823</v>
      </c>
      <c r="D1807" s="1">
        <v>45946.24359953704</v>
      </c>
      <c r="E1807" s="2">
        <f t="shared" si="28"/>
        <v>39.321597222216951</v>
      </c>
    </row>
    <row r="1808" spans="1:5" x14ac:dyDescent="0.25">
      <c r="A1808" t="s">
        <v>22</v>
      </c>
      <c r="B1808" t="s">
        <v>19</v>
      </c>
      <c r="C1808" s="1">
        <v>45883.767754629633</v>
      </c>
      <c r="D1808" s="1">
        <v>45932.267418981479</v>
      </c>
      <c r="E1808" s="2">
        <f t="shared" si="28"/>
        <v>48.49966435184615</v>
      </c>
    </row>
    <row r="1809" spans="1:5" x14ac:dyDescent="0.25">
      <c r="A1809" t="s">
        <v>22</v>
      </c>
      <c r="B1809" t="s">
        <v>19</v>
      </c>
      <c r="C1809" s="1">
        <v>45965.344560185193</v>
      </c>
      <c r="D1809" s="1">
        <v>46015.497349537043</v>
      </c>
      <c r="E1809" s="2">
        <f t="shared" si="28"/>
        <v>50.152789351850515</v>
      </c>
    </row>
    <row r="1810" spans="1:5" x14ac:dyDescent="0.25">
      <c r="A1810" t="s">
        <v>15</v>
      </c>
      <c r="B1810" t="s">
        <v>19</v>
      </c>
      <c r="C1810" s="1">
        <v>45823.947465277779</v>
      </c>
      <c r="D1810" s="1">
        <v>45862.467905092592</v>
      </c>
      <c r="E1810" s="2">
        <f t="shared" si="28"/>
        <v>38.520439814812562</v>
      </c>
    </row>
    <row r="1811" spans="1:5" x14ac:dyDescent="0.25">
      <c r="A1811" t="s">
        <v>22</v>
      </c>
      <c r="B1811" t="s">
        <v>19</v>
      </c>
      <c r="C1811" s="1">
        <v>45697.211840277778</v>
      </c>
      <c r="D1811" s="1">
        <v>45743</v>
      </c>
      <c r="E1811" s="2">
        <f t="shared" si="28"/>
        <v>45.78815972222219</v>
      </c>
    </row>
    <row r="1812" spans="1:5" x14ac:dyDescent="0.25">
      <c r="A1812" t="s">
        <v>22</v>
      </c>
      <c r="B1812" t="s">
        <v>19</v>
      </c>
      <c r="C1812" s="1">
        <v>45908.334918981483</v>
      </c>
      <c r="D1812" s="1">
        <v>45961.661469907413</v>
      </c>
      <c r="E1812" s="2">
        <f t="shared" si="28"/>
        <v>53.326550925929041</v>
      </c>
    </row>
    <row r="1813" spans="1:5" x14ac:dyDescent="0.25">
      <c r="A1813" t="s">
        <v>22</v>
      </c>
      <c r="B1813" t="s">
        <v>19</v>
      </c>
      <c r="C1813" s="1">
        <v>45883.767754629633</v>
      </c>
      <c r="D1813" s="1">
        <v>45932.267418981479</v>
      </c>
      <c r="E1813" s="2">
        <f t="shared" si="28"/>
        <v>48.49966435184615</v>
      </c>
    </row>
    <row r="1814" spans="1:5" x14ac:dyDescent="0.25">
      <c r="A1814" t="s">
        <v>22</v>
      </c>
      <c r="B1814" t="s">
        <v>19</v>
      </c>
      <c r="C1814" s="1">
        <v>45938.77138888889</v>
      </c>
      <c r="D1814" s="1">
        <v>45986.788981481477</v>
      </c>
      <c r="E1814" s="2">
        <f t="shared" si="28"/>
        <v>48.01759259258688</v>
      </c>
    </row>
    <row r="1815" spans="1:5" x14ac:dyDescent="0.25">
      <c r="A1815" t="s">
        <v>22</v>
      </c>
      <c r="B1815" t="s">
        <v>19</v>
      </c>
      <c r="C1815" s="1">
        <v>45984.353067129632</v>
      </c>
      <c r="D1815" s="1">
        <v>46030.247719907413</v>
      </c>
      <c r="E1815" s="2">
        <f t="shared" si="28"/>
        <v>45.89465277778072</v>
      </c>
    </row>
    <row r="1816" spans="1:5" x14ac:dyDescent="0.25">
      <c r="A1816" t="s">
        <v>22</v>
      </c>
      <c r="B1816" t="s">
        <v>19</v>
      </c>
      <c r="C1816" s="1">
        <v>45947.776655092603</v>
      </c>
      <c r="D1816" s="1">
        <v>45994.358368055553</v>
      </c>
      <c r="E1816" s="2">
        <f t="shared" si="28"/>
        <v>46.581712962950405</v>
      </c>
    </row>
    <row r="1817" spans="1:5" x14ac:dyDescent="0.25">
      <c r="A1817" t="s">
        <v>15</v>
      </c>
      <c r="B1817" t="s">
        <v>19</v>
      </c>
      <c r="C1817" s="1">
        <v>45996.723923611113</v>
      </c>
      <c r="D1817" s="1">
        <v>46037.083726851852</v>
      </c>
      <c r="E1817" s="2">
        <f t="shared" si="28"/>
        <v>40.359803240738984</v>
      </c>
    </row>
    <row r="1818" spans="1:5" x14ac:dyDescent="0.25">
      <c r="A1818" t="s">
        <v>61</v>
      </c>
      <c r="B1818" t="s">
        <v>63</v>
      </c>
      <c r="C1818" s="1">
        <v>45928.891180555547</v>
      </c>
      <c r="D1818" s="1">
        <v>45997.0546875</v>
      </c>
      <c r="E1818" s="2">
        <f t="shared" si="28"/>
        <v>68.16350694445282</v>
      </c>
    </row>
    <row r="1819" spans="1:5" x14ac:dyDescent="0.25">
      <c r="A1819" t="s">
        <v>22</v>
      </c>
      <c r="B1819" t="s">
        <v>19</v>
      </c>
      <c r="C1819" s="1">
        <v>45947.776655092603</v>
      </c>
      <c r="D1819" s="1">
        <v>45994.358368055553</v>
      </c>
      <c r="E1819" s="2">
        <f t="shared" si="28"/>
        <v>46.581712962950405</v>
      </c>
    </row>
    <row r="1820" spans="1:5" x14ac:dyDescent="0.25">
      <c r="A1820" t="s">
        <v>15</v>
      </c>
      <c r="B1820" t="s">
        <v>19</v>
      </c>
      <c r="C1820" s="1">
        <v>45803.793055555558</v>
      </c>
      <c r="D1820" s="1">
        <v>45843.373877314807</v>
      </c>
      <c r="E1820" s="2">
        <f t="shared" si="28"/>
        <v>39.580821759249375</v>
      </c>
    </row>
    <row r="1821" spans="1:5" x14ac:dyDescent="0.25">
      <c r="A1821" t="s">
        <v>22</v>
      </c>
      <c r="B1821" t="s">
        <v>6</v>
      </c>
      <c r="C1821" s="1">
        <v>46139.799270833333</v>
      </c>
      <c r="D1821" s="1">
        <v>46199.227847222217</v>
      </c>
      <c r="E1821" s="2">
        <f t="shared" si="28"/>
        <v>59.428576388883812</v>
      </c>
    </row>
    <row r="1822" spans="1:5" x14ac:dyDescent="0.25">
      <c r="A1822" t="s">
        <v>22</v>
      </c>
      <c r="B1822" t="s">
        <v>19</v>
      </c>
      <c r="C1822" s="1">
        <v>46050.214236111111</v>
      </c>
      <c r="D1822" s="1">
        <v>46102.554826388892</v>
      </c>
      <c r="E1822" s="2">
        <f t="shared" si="28"/>
        <v>52.340590277781303</v>
      </c>
    </row>
    <row r="1823" spans="1:5" x14ac:dyDescent="0.25">
      <c r="A1823" t="s">
        <v>22</v>
      </c>
      <c r="B1823" t="s">
        <v>6</v>
      </c>
      <c r="C1823" s="1">
        <v>46106.213703703703</v>
      </c>
      <c r="D1823" s="1">
        <v>46177.359293981477</v>
      </c>
      <c r="E1823" s="2">
        <f t="shared" si="28"/>
        <v>71.145590277774318</v>
      </c>
    </row>
    <row r="1824" spans="1:5" x14ac:dyDescent="0.25">
      <c r="A1824" t="s">
        <v>15</v>
      </c>
      <c r="B1824" t="s">
        <v>19</v>
      </c>
      <c r="C1824" s="1">
        <v>46130.065046296288</v>
      </c>
      <c r="D1824" s="1">
        <v>46170.814259259263</v>
      </c>
      <c r="E1824" s="2">
        <f t="shared" si="28"/>
        <v>40.749212962975434</v>
      </c>
    </row>
    <row r="1825" spans="1:5" x14ac:dyDescent="0.25">
      <c r="A1825" t="s">
        <v>22</v>
      </c>
      <c r="B1825" t="s">
        <v>19</v>
      </c>
      <c r="C1825" s="1">
        <v>45938.77138888889</v>
      </c>
      <c r="D1825" s="1">
        <v>45986.788981481477</v>
      </c>
      <c r="E1825" s="2">
        <f t="shared" si="28"/>
        <v>48.01759259258688</v>
      </c>
    </row>
    <row r="1826" spans="1:5" x14ac:dyDescent="0.25">
      <c r="A1826" t="s">
        <v>22</v>
      </c>
      <c r="B1826" t="s">
        <v>19</v>
      </c>
      <c r="C1826" s="1">
        <v>46136.69321759259</v>
      </c>
      <c r="D1826" s="1">
        <v>46182.873668981483</v>
      </c>
      <c r="E1826" s="2">
        <f t="shared" si="28"/>
        <v>46.180451388892834</v>
      </c>
    </row>
    <row r="1827" spans="1:5" x14ac:dyDescent="0.25">
      <c r="A1827" t="s">
        <v>22</v>
      </c>
      <c r="B1827" t="s">
        <v>19</v>
      </c>
      <c r="C1827" s="1">
        <v>45947.776655092603</v>
      </c>
      <c r="D1827" s="1">
        <v>45994.358368055553</v>
      </c>
      <c r="E1827" s="2">
        <f t="shared" si="28"/>
        <v>46.581712962950405</v>
      </c>
    </row>
    <row r="1828" spans="1:5" x14ac:dyDescent="0.25">
      <c r="A1828" t="s">
        <v>22</v>
      </c>
      <c r="B1828" t="s">
        <v>19</v>
      </c>
      <c r="C1828" s="1">
        <v>45953.913090277783</v>
      </c>
      <c r="D1828" s="1">
        <v>46002.550821759258</v>
      </c>
      <c r="E1828" s="2">
        <f t="shared" si="28"/>
        <v>48.637731481474475</v>
      </c>
    </row>
    <row r="1829" spans="1:5" x14ac:dyDescent="0.25">
      <c r="A1829" t="s">
        <v>22</v>
      </c>
      <c r="B1829" t="s">
        <v>19</v>
      </c>
      <c r="C1829" s="1">
        <v>45913.750393518523</v>
      </c>
      <c r="D1829" s="1">
        <v>45961.661469907413</v>
      </c>
      <c r="E1829" s="2">
        <f t="shared" si="28"/>
        <v>47.911076388889342</v>
      </c>
    </row>
    <row r="1830" spans="1:5" x14ac:dyDescent="0.25">
      <c r="A1830" t="s">
        <v>35</v>
      </c>
      <c r="B1830" t="s">
        <v>19</v>
      </c>
      <c r="C1830" s="1">
        <v>46089.415347222217</v>
      </c>
      <c r="D1830" s="1">
        <v>46124.852303240739</v>
      </c>
      <c r="E1830" s="2">
        <f t="shared" si="28"/>
        <v>35.436956018522324</v>
      </c>
    </row>
    <row r="1831" spans="1:5" x14ac:dyDescent="0.25">
      <c r="A1831" t="s">
        <v>22</v>
      </c>
      <c r="B1831" t="s">
        <v>6</v>
      </c>
      <c r="C1831" s="1">
        <v>46078.201388888891</v>
      </c>
      <c r="D1831" s="1">
        <v>46138.430104166669</v>
      </c>
      <c r="E1831" s="2">
        <f t="shared" si="28"/>
        <v>60.228715277778974</v>
      </c>
    </row>
    <row r="1832" spans="1:5" x14ac:dyDescent="0.25">
      <c r="A1832" t="s">
        <v>35</v>
      </c>
      <c r="B1832" t="s">
        <v>19</v>
      </c>
      <c r="C1832" s="1">
        <v>46117.412951388891</v>
      </c>
      <c r="D1832" s="1">
        <v>46152.626076388893</v>
      </c>
      <c r="E1832" s="2">
        <f t="shared" si="28"/>
        <v>35.213125000002037</v>
      </c>
    </row>
    <row r="1833" spans="1:5" x14ac:dyDescent="0.25">
      <c r="A1833" t="s">
        <v>22</v>
      </c>
      <c r="B1833" t="s">
        <v>6</v>
      </c>
      <c r="C1833" s="1">
        <v>45799.20652777778</v>
      </c>
      <c r="D1833" s="1">
        <v>45872.409398148149</v>
      </c>
      <c r="E1833" s="2">
        <f t="shared" si="28"/>
        <v>73.202870370369055</v>
      </c>
    </row>
    <row r="1834" spans="1:5" x14ac:dyDescent="0.25">
      <c r="A1834" t="s">
        <v>22</v>
      </c>
      <c r="B1834" t="s">
        <v>6</v>
      </c>
      <c r="C1834" s="1">
        <v>46141.199942129628</v>
      </c>
      <c r="D1834" s="1">
        <v>46219.753750000003</v>
      </c>
      <c r="E1834" s="2">
        <f t="shared" si="28"/>
        <v>78.553807870375749</v>
      </c>
    </row>
    <row r="1835" spans="1:5" x14ac:dyDescent="0.25">
      <c r="A1835" t="s">
        <v>22</v>
      </c>
      <c r="B1835" t="s">
        <v>19</v>
      </c>
      <c r="C1835" s="1">
        <v>45966.167245370372</v>
      </c>
      <c r="D1835" s="1">
        <v>46015.497349537043</v>
      </c>
      <c r="E1835" s="2">
        <f t="shared" si="28"/>
        <v>49.330104166670935</v>
      </c>
    </row>
    <row r="1836" spans="1:5" x14ac:dyDescent="0.25">
      <c r="A1836" t="s">
        <v>22</v>
      </c>
      <c r="B1836" t="s">
        <v>19</v>
      </c>
      <c r="C1836" s="1">
        <v>45681.657256944447</v>
      </c>
      <c r="D1836" s="1">
        <v>45731.027650462973</v>
      </c>
      <c r="E1836" s="2">
        <f t="shared" si="28"/>
        <v>49.370393518525816</v>
      </c>
    </row>
    <row r="1837" spans="1:5" x14ac:dyDescent="0.25">
      <c r="A1837" t="s">
        <v>22</v>
      </c>
      <c r="B1837" t="s">
        <v>19</v>
      </c>
      <c r="C1837" s="1">
        <v>45854.175729166673</v>
      </c>
      <c r="D1837" s="1">
        <v>45898.190127314818</v>
      </c>
      <c r="E1837" s="2">
        <f t="shared" si="28"/>
        <v>44.014398148145119</v>
      </c>
    </row>
    <row r="1838" spans="1:5" x14ac:dyDescent="0.25">
      <c r="A1838" t="s">
        <v>22</v>
      </c>
      <c r="B1838" t="s">
        <v>19</v>
      </c>
      <c r="C1838" s="1">
        <v>45953.311423611107</v>
      </c>
      <c r="D1838" s="1">
        <v>46002.550821759258</v>
      </c>
      <c r="E1838" s="2">
        <f t="shared" si="28"/>
        <v>49.23939814815094</v>
      </c>
    </row>
    <row r="1839" spans="1:5" x14ac:dyDescent="0.25">
      <c r="A1839" t="s">
        <v>22</v>
      </c>
      <c r="B1839" t="s">
        <v>19</v>
      </c>
      <c r="C1839" s="1">
        <v>45854.175729166673</v>
      </c>
      <c r="D1839" s="1">
        <v>45898.190127314818</v>
      </c>
      <c r="E1839" s="2">
        <f t="shared" si="28"/>
        <v>44.014398148145119</v>
      </c>
    </row>
    <row r="1840" spans="1:5" x14ac:dyDescent="0.25">
      <c r="A1840" t="s">
        <v>22</v>
      </c>
      <c r="B1840" t="s">
        <v>19</v>
      </c>
      <c r="C1840" s="1">
        <v>45982.323680555557</v>
      </c>
      <c r="D1840" s="1">
        <v>46030.247719907413</v>
      </c>
      <c r="E1840" s="2">
        <f t="shared" si="28"/>
        <v>47.924039351855754</v>
      </c>
    </row>
    <row r="1841" spans="1:5" x14ac:dyDescent="0.25">
      <c r="A1841" t="s">
        <v>22</v>
      </c>
      <c r="B1841" t="s">
        <v>19</v>
      </c>
      <c r="C1841" s="1">
        <v>45703.316064814811</v>
      </c>
      <c r="D1841" s="1">
        <v>45752.572789351849</v>
      </c>
      <c r="E1841" s="2">
        <f t="shared" si="28"/>
        <v>49.256724537037371</v>
      </c>
    </row>
    <row r="1842" spans="1:5" x14ac:dyDescent="0.25">
      <c r="A1842" t="s">
        <v>15</v>
      </c>
      <c r="B1842" t="s">
        <v>19</v>
      </c>
      <c r="C1842" s="1">
        <v>45920.016250000001</v>
      </c>
      <c r="D1842" s="1">
        <v>45961.661469907413</v>
      </c>
      <c r="E1842" s="2">
        <f t="shared" si="28"/>
        <v>41.645219907411956</v>
      </c>
    </row>
    <row r="1843" spans="1:5" x14ac:dyDescent="0.25">
      <c r="A1843" t="s">
        <v>22</v>
      </c>
      <c r="B1843" t="s">
        <v>19</v>
      </c>
      <c r="C1843" s="1">
        <v>45854.175729166673</v>
      </c>
      <c r="D1843" s="1">
        <v>45898.190127314818</v>
      </c>
      <c r="E1843" s="2">
        <f t="shared" si="28"/>
        <v>44.014398148145119</v>
      </c>
    </row>
    <row r="1844" spans="1:5" x14ac:dyDescent="0.25">
      <c r="A1844" t="s">
        <v>22</v>
      </c>
      <c r="B1844" t="s">
        <v>19</v>
      </c>
      <c r="C1844" s="1">
        <v>45854.175729166673</v>
      </c>
      <c r="D1844" s="1">
        <v>45898.190127314818</v>
      </c>
      <c r="E1844" s="2">
        <f t="shared" si="28"/>
        <v>44.014398148145119</v>
      </c>
    </row>
    <row r="1845" spans="1:5" x14ac:dyDescent="0.25">
      <c r="A1845" t="s">
        <v>22</v>
      </c>
      <c r="B1845" t="s">
        <v>19</v>
      </c>
      <c r="C1845" s="1">
        <v>45938.77138888889</v>
      </c>
      <c r="D1845" s="1">
        <v>45986.788981481477</v>
      </c>
      <c r="E1845" s="2">
        <f t="shared" si="28"/>
        <v>48.01759259258688</v>
      </c>
    </row>
    <row r="1846" spans="1:5" x14ac:dyDescent="0.25">
      <c r="A1846" t="s">
        <v>22</v>
      </c>
      <c r="B1846" t="s">
        <v>19</v>
      </c>
      <c r="C1846" s="1">
        <v>45947.776655092603</v>
      </c>
      <c r="D1846" s="1">
        <v>45994.358368055553</v>
      </c>
      <c r="E1846" s="2">
        <f t="shared" si="28"/>
        <v>46.581712962950405</v>
      </c>
    </row>
    <row r="1847" spans="1:5" x14ac:dyDescent="0.25">
      <c r="A1847" t="s">
        <v>22</v>
      </c>
      <c r="B1847" t="s">
        <v>19</v>
      </c>
      <c r="C1847" s="1">
        <v>45853.777800925927</v>
      </c>
      <c r="D1847" s="1">
        <v>45898.190127314818</v>
      </c>
      <c r="E1847" s="2">
        <f t="shared" si="28"/>
        <v>44.412326388890506</v>
      </c>
    </row>
    <row r="1848" spans="1:5" x14ac:dyDescent="0.25">
      <c r="A1848" t="s">
        <v>22</v>
      </c>
      <c r="B1848" t="s">
        <v>32</v>
      </c>
      <c r="C1848" s="1">
        <v>45667</v>
      </c>
      <c r="D1848" s="1">
        <v>45743</v>
      </c>
      <c r="E1848" s="2">
        <f t="shared" si="28"/>
        <v>76</v>
      </c>
    </row>
    <row r="1849" spans="1:5" x14ac:dyDescent="0.25">
      <c r="A1849" t="s">
        <v>22</v>
      </c>
      <c r="B1849" t="s">
        <v>19</v>
      </c>
      <c r="C1849" s="1">
        <v>45883.767754629633</v>
      </c>
      <c r="D1849" s="1">
        <v>45932.267418981479</v>
      </c>
      <c r="E1849" s="2">
        <f t="shared" si="28"/>
        <v>48.49966435184615</v>
      </c>
    </row>
    <row r="1850" spans="1:5" x14ac:dyDescent="0.25">
      <c r="A1850" t="s">
        <v>22</v>
      </c>
      <c r="B1850" t="s">
        <v>19</v>
      </c>
      <c r="C1850" s="1">
        <v>45896.181435185194</v>
      </c>
      <c r="D1850" s="1">
        <v>45938.941678240742</v>
      </c>
      <c r="E1850" s="2">
        <f t="shared" si="28"/>
        <v>42.760243055548926</v>
      </c>
    </row>
    <row r="1851" spans="1:5" x14ac:dyDescent="0.25">
      <c r="A1851" t="s">
        <v>15</v>
      </c>
      <c r="B1851" t="s">
        <v>19</v>
      </c>
      <c r="C1851" s="1">
        <v>45880.416932870372</v>
      </c>
      <c r="D1851" s="1">
        <v>45920.332800925928</v>
      </c>
      <c r="E1851" s="2">
        <f t="shared" si="28"/>
        <v>39.91586805555562</v>
      </c>
    </row>
    <row r="1852" spans="1:5" x14ac:dyDescent="0.25">
      <c r="A1852" t="s">
        <v>22</v>
      </c>
      <c r="B1852" t="s">
        <v>32</v>
      </c>
      <c r="C1852" s="1">
        <v>45692.313344907408</v>
      </c>
      <c r="D1852" s="1">
        <v>45745.824965277781</v>
      </c>
      <c r="E1852" s="2">
        <f t="shared" si="28"/>
        <v>53.511620370372839</v>
      </c>
    </row>
    <row r="1853" spans="1:5" x14ac:dyDescent="0.25">
      <c r="A1853" t="s">
        <v>22</v>
      </c>
      <c r="B1853" t="s">
        <v>19</v>
      </c>
      <c r="C1853" s="1">
        <v>45666.322025462963</v>
      </c>
      <c r="D1853" s="1">
        <v>45721.519363425927</v>
      </c>
      <c r="E1853" s="2">
        <f t="shared" si="28"/>
        <v>55.197337962963502</v>
      </c>
    </row>
    <row r="1854" spans="1:5" x14ac:dyDescent="0.25">
      <c r="A1854" t="s">
        <v>15</v>
      </c>
      <c r="B1854" t="s">
        <v>19</v>
      </c>
      <c r="C1854" s="1">
        <v>45894.113993055558</v>
      </c>
      <c r="D1854" s="1">
        <v>45932.267418981479</v>
      </c>
      <c r="E1854" s="2">
        <f t="shared" si="28"/>
        <v>38.153425925920601</v>
      </c>
    </row>
    <row r="1855" spans="1:5" x14ac:dyDescent="0.25">
      <c r="A1855" t="s">
        <v>15</v>
      </c>
      <c r="B1855" t="s">
        <v>19</v>
      </c>
      <c r="C1855" s="1">
        <v>45906.922002314823</v>
      </c>
      <c r="D1855" s="1">
        <v>45946.24359953704</v>
      </c>
      <c r="E1855" s="2">
        <f t="shared" si="28"/>
        <v>39.321597222216951</v>
      </c>
    </row>
    <row r="1856" spans="1:5" x14ac:dyDescent="0.25">
      <c r="A1856" t="s">
        <v>15</v>
      </c>
      <c r="B1856" t="s">
        <v>19</v>
      </c>
      <c r="C1856" s="1">
        <v>45894.113993055558</v>
      </c>
      <c r="D1856" s="1">
        <v>45932.267418981479</v>
      </c>
      <c r="E1856" s="2">
        <f t="shared" si="28"/>
        <v>38.153425925920601</v>
      </c>
    </row>
    <row r="1857" spans="1:5" x14ac:dyDescent="0.25">
      <c r="A1857" t="s">
        <v>22</v>
      </c>
      <c r="B1857" t="s">
        <v>19</v>
      </c>
      <c r="C1857" s="1">
        <v>45883.767754629633</v>
      </c>
      <c r="D1857" s="1">
        <v>45932.267418981479</v>
      </c>
      <c r="E1857" s="2">
        <f t="shared" si="28"/>
        <v>48.49966435184615</v>
      </c>
    </row>
    <row r="1858" spans="1:5" x14ac:dyDescent="0.25">
      <c r="A1858" t="s">
        <v>22</v>
      </c>
      <c r="B1858" t="s">
        <v>6</v>
      </c>
      <c r="C1858" s="1">
        <v>45703.316064814811</v>
      </c>
      <c r="D1858" s="1">
        <v>45782</v>
      </c>
      <c r="E1858" s="2">
        <f t="shared" ref="E1858:E1921" si="29">D1858-C1858</f>
        <v>78.683935185188602</v>
      </c>
    </row>
    <row r="1859" spans="1:5" x14ac:dyDescent="0.25">
      <c r="A1859" t="s">
        <v>22</v>
      </c>
      <c r="B1859" t="s">
        <v>32</v>
      </c>
      <c r="C1859" s="1">
        <v>45703.316064814811</v>
      </c>
      <c r="D1859" s="1">
        <v>45782</v>
      </c>
      <c r="E1859" s="2">
        <f t="shared" si="29"/>
        <v>78.683935185188602</v>
      </c>
    </row>
    <row r="1860" spans="1:5" x14ac:dyDescent="0.25">
      <c r="A1860" t="s">
        <v>22</v>
      </c>
      <c r="B1860" t="s">
        <v>6</v>
      </c>
      <c r="C1860" s="1">
        <v>46092.00104166667</v>
      </c>
      <c r="D1860" s="1">
        <v>46164.842685185176</v>
      </c>
      <c r="E1860" s="2">
        <f t="shared" si="29"/>
        <v>72.841643518506316</v>
      </c>
    </row>
    <row r="1861" spans="1:5" x14ac:dyDescent="0.25">
      <c r="A1861" t="s">
        <v>22</v>
      </c>
      <c r="B1861" t="s">
        <v>19</v>
      </c>
      <c r="C1861" s="1">
        <v>45853.777800925927</v>
      </c>
      <c r="D1861" s="1">
        <v>45898.190127314818</v>
      </c>
      <c r="E1861" s="2">
        <f t="shared" si="29"/>
        <v>44.412326388890506</v>
      </c>
    </row>
    <row r="1862" spans="1:5" x14ac:dyDescent="0.25">
      <c r="A1862" t="s">
        <v>15</v>
      </c>
      <c r="B1862" t="s">
        <v>19</v>
      </c>
      <c r="C1862" s="1">
        <v>45996.723923611113</v>
      </c>
      <c r="D1862" s="1">
        <v>46037.083726851852</v>
      </c>
      <c r="E1862" s="2">
        <f t="shared" si="29"/>
        <v>40.359803240738984</v>
      </c>
    </row>
    <row r="1863" spans="1:5" x14ac:dyDescent="0.25">
      <c r="A1863" t="s">
        <v>15</v>
      </c>
      <c r="B1863" t="s">
        <v>19</v>
      </c>
      <c r="C1863" s="1">
        <v>45894.113993055558</v>
      </c>
      <c r="D1863" s="1">
        <v>45932.267418981479</v>
      </c>
      <c r="E1863" s="2">
        <f t="shared" si="29"/>
        <v>38.153425925920601</v>
      </c>
    </row>
    <row r="1864" spans="1:5" x14ac:dyDescent="0.25">
      <c r="A1864" t="s">
        <v>22</v>
      </c>
      <c r="B1864" t="s">
        <v>19</v>
      </c>
      <c r="C1864" s="1">
        <v>45938.310995370368</v>
      </c>
      <c r="D1864" s="1">
        <v>45986.788981481477</v>
      </c>
      <c r="E1864" s="2">
        <f t="shared" si="29"/>
        <v>48.477986111109203</v>
      </c>
    </row>
    <row r="1865" spans="1:5" x14ac:dyDescent="0.25">
      <c r="A1865" t="s">
        <v>22</v>
      </c>
      <c r="B1865" t="s">
        <v>32</v>
      </c>
      <c r="C1865" s="1">
        <v>45731.836793981478</v>
      </c>
      <c r="D1865" s="1">
        <v>45791.048495370371</v>
      </c>
      <c r="E1865" s="2">
        <f t="shared" si="29"/>
        <v>59.211701388892834</v>
      </c>
    </row>
    <row r="1866" spans="1:5" x14ac:dyDescent="0.25">
      <c r="A1866" t="s">
        <v>15</v>
      </c>
      <c r="B1866" t="s">
        <v>19</v>
      </c>
      <c r="C1866" s="1">
        <v>45894.113993055558</v>
      </c>
      <c r="D1866" s="1">
        <v>45932.267418981479</v>
      </c>
      <c r="E1866" s="2">
        <f t="shared" si="29"/>
        <v>38.153425925920601</v>
      </c>
    </row>
    <row r="1867" spans="1:5" x14ac:dyDescent="0.25">
      <c r="A1867" t="s">
        <v>22</v>
      </c>
      <c r="B1867" t="s">
        <v>19</v>
      </c>
      <c r="C1867" s="1">
        <v>45969.928831018522</v>
      </c>
      <c r="D1867" s="1">
        <v>46015.497349537043</v>
      </c>
      <c r="E1867" s="2">
        <f t="shared" si="29"/>
        <v>45.568518518521159</v>
      </c>
    </row>
    <row r="1868" spans="1:5" x14ac:dyDescent="0.25">
      <c r="A1868" t="s">
        <v>22</v>
      </c>
      <c r="B1868" t="s">
        <v>19</v>
      </c>
      <c r="C1868" s="1">
        <v>45953.913090277783</v>
      </c>
      <c r="D1868" s="1">
        <v>46002.550821759258</v>
      </c>
      <c r="E1868" s="2">
        <f t="shared" si="29"/>
        <v>48.637731481474475</v>
      </c>
    </row>
    <row r="1869" spans="1:5" x14ac:dyDescent="0.25">
      <c r="A1869" t="s">
        <v>22</v>
      </c>
      <c r="B1869" t="s">
        <v>19</v>
      </c>
      <c r="C1869" s="1">
        <v>45908.735115740739</v>
      </c>
      <c r="D1869" s="1">
        <v>45961.661469907413</v>
      </c>
      <c r="E1869" s="2">
        <f t="shared" si="29"/>
        <v>52.926354166673264</v>
      </c>
    </row>
    <row r="1870" spans="1:5" x14ac:dyDescent="0.25">
      <c r="A1870" t="s">
        <v>15</v>
      </c>
      <c r="B1870" t="s">
        <v>19</v>
      </c>
      <c r="C1870" s="1">
        <v>46137.029629629629</v>
      </c>
      <c r="D1870" s="1">
        <v>46175.520011574074</v>
      </c>
      <c r="E1870" s="2">
        <f t="shared" si="29"/>
        <v>38.49038194444438</v>
      </c>
    </row>
    <row r="1871" spans="1:5" x14ac:dyDescent="0.25">
      <c r="A1871" t="s">
        <v>22</v>
      </c>
      <c r="B1871" t="s">
        <v>19</v>
      </c>
      <c r="C1871" s="1">
        <v>45966.167245370372</v>
      </c>
      <c r="D1871" s="1">
        <v>46015.497349537043</v>
      </c>
      <c r="E1871" s="2">
        <f t="shared" si="29"/>
        <v>49.330104166670935</v>
      </c>
    </row>
    <row r="1872" spans="1:5" x14ac:dyDescent="0.25">
      <c r="A1872" t="s">
        <v>22</v>
      </c>
      <c r="B1872" t="s">
        <v>19</v>
      </c>
      <c r="C1872" s="1">
        <v>45969.928831018522</v>
      </c>
      <c r="D1872" s="1">
        <v>46015.497349537043</v>
      </c>
      <c r="E1872" s="2">
        <f t="shared" si="29"/>
        <v>45.568518518521159</v>
      </c>
    </row>
    <row r="1873" spans="1:5" x14ac:dyDescent="0.25">
      <c r="A1873" t="s">
        <v>22</v>
      </c>
      <c r="B1873" t="s">
        <v>19</v>
      </c>
      <c r="C1873" s="1">
        <v>45690.767546296287</v>
      </c>
      <c r="D1873" s="1">
        <v>45760.181608796287</v>
      </c>
      <c r="E1873" s="2">
        <f t="shared" si="29"/>
        <v>69.4140625</v>
      </c>
    </row>
    <row r="1874" spans="1:5" x14ac:dyDescent="0.25">
      <c r="A1874" t="s">
        <v>15</v>
      </c>
      <c r="B1874" t="s">
        <v>19</v>
      </c>
      <c r="C1874" s="1">
        <v>45996.723923611113</v>
      </c>
      <c r="D1874" s="1">
        <v>46037.083726851852</v>
      </c>
      <c r="E1874" s="2">
        <f t="shared" si="29"/>
        <v>40.359803240738984</v>
      </c>
    </row>
    <row r="1875" spans="1:5" x14ac:dyDescent="0.25">
      <c r="A1875" t="s">
        <v>22</v>
      </c>
      <c r="B1875" t="s">
        <v>19</v>
      </c>
      <c r="C1875" s="1">
        <v>45681.657256944447</v>
      </c>
      <c r="D1875" s="1">
        <v>45731.027650462973</v>
      </c>
      <c r="E1875" s="2">
        <f t="shared" si="29"/>
        <v>49.370393518525816</v>
      </c>
    </row>
    <row r="1876" spans="1:5" x14ac:dyDescent="0.25">
      <c r="A1876" t="s">
        <v>22</v>
      </c>
      <c r="B1876" t="s">
        <v>19</v>
      </c>
      <c r="C1876" s="1">
        <v>45854.175729166673</v>
      </c>
      <c r="D1876" s="1">
        <v>45898.190127314818</v>
      </c>
      <c r="E1876" s="2">
        <f t="shared" si="29"/>
        <v>44.014398148145119</v>
      </c>
    </row>
    <row r="1877" spans="1:5" x14ac:dyDescent="0.25">
      <c r="A1877" t="s">
        <v>22</v>
      </c>
      <c r="B1877" t="s">
        <v>19</v>
      </c>
      <c r="C1877" s="1">
        <v>45947.324699074074</v>
      </c>
      <c r="D1877" s="1">
        <v>45994.358368055553</v>
      </c>
      <c r="E1877" s="2">
        <f t="shared" si="29"/>
        <v>47.033668981479423</v>
      </c>
    </row>
    <row r="1878" spans="1:5" x14ac:dyDescent="0.25">
      <c r="A1878" t="s">
        <v>22</v>
      </c>
      <c r="B1878" t="s">
        <v>19</v>
      </c>
      <c r="C1878" s="1">
        <v>45883.767754629633</v>
      </c>
      <c r="D1878" s="1">
        <v>45932.267418981479</v>
      </c>
      <c r="E1878" s="2">
        <f t="shared" si="29"/>
        <v>48.49966435184615</v>
      </c>
    </row>
    <row r="1879" spans="1:5" x14ac:dyDescent="0.25">
      <c r="A1879" t="s">
        <v>22</v>
      </c>
      <c r="B1879" t="s">
        <v>19</v>
      </c>
      <c r="C1879" s="1">
        <v>45913.750393518523</v>
      </c>
      <c r="D1879" s="1">
        <v>45961.661469907413</v>
      </c>
      <c r="E1879" s="2">
        <f t="shared" si="29"/>
        <v>47.911076388889342</v>
      </c>
    </row>
    <row r="1880" spans="1:5" x14ac:dyDescent="0.25">
      <c r="A1880" t="s">
        <v>22</v>
      </c>
      <c r="B1880" t="s">
        <v>6</v>
      </c>
      <c r="C1880" s="1">
        <v>45799.20652777778</v>
      </c>
      <c r="D1880" s="1">
        <v>45872.409398148149</v>
      </c>
      <c r="E1880" s="2">
        <f t="shared" si="29"/>
        <v>73.202870370369055</v>
      </c>
    </row>
    <row r="1881" spans="1:5" x14ac:dyDescent="0.25">
      <c r="A1881" t="s">
        <v>22</v>
      </c>
      <c r="B1881" t="s">
        <v>6</v>
      </c>
      <c r="C1881" s="1">
        <v>46058.228229166663</v>
      </c>
      <c r="D1881" s="1">
        <v>46126.91306712963</v>
      </c>
      <c r="E1881" s="2">
        <f t="shared" si="29"/>
        <v>68.684837962966412</v>
      </c>
    </row>
    <row r="1882" spans="1:5" x14ac:dyDescent="0.25">
      <c r="A1882" t="s">
        <v>15</v>
      </c>
      <c r="B1882" t="s">
        <v>19</v>
      </c>
      <c r="C1882" s="1">
        <v>45996.723923611113</v>
      </c>
      <c r="D1882" s="1">
        <v>46037.083726851852</v>
      </c>
      <c r="E1882" s="2">
        <f t="shared" si="29"/>
        <v>40.359803240738984</v>
      </c>
    </row>
    <row r="1883" spans="1:5" x14ac:dyDescent="0.25">
      <c r="A1883" t="s">
        <v>22</v>
      </c>
      <c r="B1883" t="s">
        <v>32</v>
      </c>
      <c r="C1883" s="1">
        <v>45710.221956018519</v>
      </c>
      <c r="D1883" s="1">
        <v>45766.345520833333</v>
      </c>
      <c r="E1883" s="2">
        <f t="shared" si="29"/>
        <v>56.123564814814017</v>
      </c>
    </row>
    <row r="1884" spans="1:5" x14ac:dyDescent="0.25">
      <c r="A1884" t="s">
        <v>22</v>
      </c>
      <c r="B1884" t="s">
        <v>19</v>
      </c>
      <c r="C1884" s="1">
        <v>45697.211840277778</v>
      </c>
      <c r="D1884" s="1">
        <v>45743</v>
      </c>
      <c r="E1884" s="2">
        <f t="shared" si="29"/>
        <v>45.78815972222219</v>
      </c>
    </row>
    <row r="1885" spans="1:5" x14ac:dyDescent="0.25">
      <c r="A1885" t="s">
        <v>15</v>
      </c>
      <c r="B1885" t="s">
        <v>19</v>
      </c>
      <c r="C1885" s="1">
        <v>45894.113993055558</v>
      </c>
      <c r="D1885" s="1">
        <v>45932.267418981479</v>
      </c>
      <c r="E1885" s="2">
        <f t="shared" si="29"/>
        <v>38.153425925920601</v>
      </c>
    </row>
    <row r="1886" spans="1:5" x14ac:dyDescent="0.25">
      <c r="A1886" t="s">
        <v>15</v>
      </c>
      <c r="B1886" t="s">
        <v>19</v>
      </c>
      <c r="C1886" s="1">
        <v>45935.757881944453</v>
      </c>
      <c r="D1886" s="1">
        <v>45975.527314814812</v>
      </c>
      <c r="E1886" s="2">
        <f t="shared" si="29"/>
        <v>39.769432870358287</v>
      </c>
    </row>
    <row r="1887" spans="1:5" x14ac:dyDescent="0.25">
      <c r="A1887" t="s">
        <v>22</v>
      </c>
      <c r="B1887" t="s">
        <v>19</v>
      </c>
      <c r="C1887" s="1">
        <v>45953.913090277783</v>
      </c>
      <c r="D1887" s="1">
        <v>46002.550821759258</v>
      </c>
      <c r="E1887" s="2">
        <f t="shared" si="29"/>
        <v>48.637731481474475</v>
      </c>
    </row>
    <row r="1888" spans="1:5" x14ac:dyDescent="0.25">
      <c r="A1888" t="s">
        <v>15</v>
      </c>
      <c r="B1888" t="s">
        <v>19</v>
      </c>
      <c r="C1888" s="1">
        <v>46238.3125</v>
      </c>
      <c r="D1888" s="1">
        <v>46274.875</v>
      </c>
      <c r="E1888" s="2">
        <f t="shared" si="29"/>
        <v>36.5625</v>
      </c>
    </row>
    <row r="1889" spans="1:5" x14ac:dyDescent="0.25">
      <c r="A1889" t="s">
        <v>15</v>
      </c>
      <c r="B1889" t="s">
        <v>19</v>
      </c>
      <c r="C1889" s="1">
        <v>46202.508333333331</v>
      </c>
      <c r="D1889" s="1">
        <v>46238.121481481481</v>
      </c>
      <c r="E1889" s="2">
        <f t="shared" si="29"/>
        <v>35.613148148149776</v>
      </c>
    </row>
    <row r="1890" spans="1:5" x14ac:dyDescent="0.25">
      <c r="A1890" t="s">
        <v>15</v>
      </c>
      <c r="B1890" t="s">
        <v>19</v>
      </c>
      <c r="C1890" s="1">
        <v>46202.508333333331</v>
      </c>
      <c r="D1890" s="1">
        <v>46238.121481481481</v>
      </c>
      <c r="E1890" s="2">
        <f t="shared" si="29"/>
        <v>35.613148148149776</v>
      </c>
    </row>
    <row r="1891" spans="1:5" x14ac:dyDescent="0.25">
      <c r="A1891" t="s">
        <v>34</v>
      </c>
      <c r="B1891" t="s">
        <v>13</v>
      </c>
      <c r="C1891" s="1">
        <v>46254.101435185177</v>
      </c>
      <c r="D1891" s="1">
        <v>46277.713194444441</v>
      </c>
      <c r="E1891" s="2">
        <f t="shared" si="29"/>
        <v>23.611759259263636</v>
      </c>
    </row>
    <row r="1892" spans="1:5" x14ac:dyDescent="0.25">
      <c r="A1892" t="s">
        <v>22</v>
      </c>
      <c r="B1892" t="s">
        <v>14</v>
      </c>
      <c r="C1892" s="1">
        <v>45690.960474537038</v>
      </c>
      <c r="D1892" s="1">
        <v>45735.804166666669</v>
      </c>
      <c r="E1892" s="2">
        <f t="shared" si="29"/>
        <v>44.843692129630654</v>
      </c>
    </row>
    <row r="1893" spans="1:5" x14ac:dyDescent="0.25">
      <c r="A1893" t="s">
        <v>10</v>
      </c>
      <c r="B1893" t="s">
        <v>11</v>
      </c>
      <c r="C1893" s="1">
        <v>45670.137696759259</v>
      </c>
      <c r="D1893" s="1">
        <v>45693.404166666667</v>
      </c>
      <c r="E1893" s="2">
        <f t="shared" si="29"/>
        <v>23.266469907408464</v>
      </c>
    </row>
    <row r="1894" spans="1:5" x14ac:dyDescent="0.25">
      <c r="A1894" t="s">
        <v>22</v>
      </c>
      <c r="B1894" t="s">
        <v>14</v>
      </c>
      <c r="C1894" s="1">
        <v>45910.180532407408</v>
      </c>
      <c r="D1894" s="1">
        <v>45966.55</v>
      </c>
      <c r="E1894" s="2">
        <f t="shared" si="29"/>
        <v>56.369467592594447</v>
      </c>
    </row>
    <row r="1895" spans="1:5" x14ac:dyDescent="0.25">
      <c r="A1895" t="s">
        <v>22</v>
      </c>
      <c r="B1895" t="s">
        <v>14</v>
      </c>
      <c r="C1895" s="1">
        <v>45763.170138888891</v>
      </c>
      <c r="D1895" s="1">
        <v>45812.804861111108</v>
      </c>
      <c r="E1895" s="2">
        <f t="shared" si="29"/>
        <v>49.634722222217533</v>
      </c>
    </row>
    <row r="1896" spans="1:5" x14ac:dyDescent="0.25">
      <c r="A1896" t="s">
        <v>34</v>
      </c>
      <c r="B1896" t="s">
        <v>13</v>
      </c>
      <c r="C1896" s="1">
        <v>46034.327314814807</v>
      </c>
      <c r="D1896" s="1">
        <v>46060.929166666669</v>
      </c>
      <c r="E1896" s="2">
        <f t="shared" si="29"/>
        <v>26.601851851861284</v>
      </c>
    </row>
    <row r="1897" spans="1:5" x14ac:dyDescent="0.25">
      <c r="A1897" t="s">
        <v>18</v>
      </c>
      <c r="B1897" t="s">
        <v>27</v>
      </c>
      <c r="C1897" s="1">
        <v>45784.624756944453</v>
      </c>
      <c r="D1897" s="1">
        <v>45861.574999999997</v>
      </c>
      <c r="E1897" s="2">
        <f t="shared" si="29"/>
        <v>76.950243055543979</v>
      </c>
    </row>
    <row r="1898" spans="1:5" x14ac:dyDescent="0.25">
      <c r="A1898" t="s">
        <v>22</v>
      </c>
      <c r="B1898" t="s">
        <v>14</v>
      </c>
      <c r="C1898" s="1">
        <v>45831.487615740742</v>
      </c>
      <c r="D1898" s="1">
        <v>45875.784722222219</v>
      </c>
      <c r="E1898" s="2">
        <f t="shared" si="29"/>
        <v>44.297106481477385</v>
      </c>
    </row>
    <row r="1899" spans="1:5" x14ac:dyDescent="0.25">
      <c r="A1899" t="s">
        <v>15</v>
      </c>
      <c r="B1899" t="s">
        <v>13</v>
      </c>
      <c r="C1899" s="1">
        <v>45954.487500000003</v>
      </c>
      <c r="D1899" s="1">
        <v>45991.0625</v>
      </c>
      <c r="E1899" s="2">
        <f t="shared" si="29"/>
        <v>36.57499999999709</v>
      </c>
    </row>
    <row r="1900" spans="1:5" x14ac:dyDescent="0.25">
      <c r="A1900" t="s">
        <v>22</v>
      </c>
      <c r="B1900" t="s">
        <v>32</v>
      </c>
      <c r="C1900" s="1">
        <v>45673.75</v>
      </c>
      <c r="D1900" s="1">
        <v>45735.916666666657</v>
      </c>
      <c r="E1900" s="2">
        <f t="shared" si="29"/>
        <v>62.166666666656965</v>
      </c>
    </row>
    <row r="1901" spans="1:5" x14ac:dyDescent="0.25">
      <c r="A1901" t="s">
        <v>11</v>
      </c>
      <c r="B1901" t="s">
        <v>37</v>
      </c>
      <c r="C1901" s="1">
        <v>45766.887499999997</v>
      </c>
      <c r="D1901" s="1">
        <v>45783.916666666657</v>
      </c>
      <c r="E1901" s="2">
        <f t="shared" si="29"/>
        <v>17.029166666659876</v>
      </c>
    </row>
    <row r="1902" spans="1:5" x14ac:dyDescent="0.25">
      <c r="A1902" t="s">
        <v>8</v>
      </c>
      <c r="B1902" t="s">
        <v>19</v>
      </c>
      <c r="C1902" s="1">
        <v>46232.863125000003</v>
      </c>
      <c r="D1902" s="1">
        <v>46277.481944444437</v>
      </c>
      <c r="E1902" s="2">
        <f t="shared" si="29"/>
        <v>44.618819444433029</v>
      </c>
    </row>
    <row r="1903" spans="1:5" x14ac:dyDescent="0.25">
      <c r="A1903" t="s">
        <v>40</v>
      </c>
      <c r="B1903" t="s">
        <v>37</v>
      </c>
      <c r="C1903" s="1">
        <v>46057.6875</v>
      </c>
      <c r="D1903" s="1">
        <v>46071.635416666657</v>
      </c>
      <c r="E1903" s="2">
        <f t="shared" si="29"/>
        <v>13.947916666656965</v>
      </c>
    </row>
    <row r="1904" spans="1:5" x14ac:dyDescent="0.25">
      <c r="A1904" t="s">
        <v>10</v>
      </c>
      <c r="B1904" t="s">
        <v>11</v>
      </c>
      <c r="C1904" s="1">
        <v>45912.1</v>
      </c>
      <c r="D1904" s="1">
        <v>45946.133333333331</v>
      </c>
      <c r="E1904" s="2">
        <f t="shared" si="29"/>
        <v>34.033333333332848</v>
      </c>
    </row>
    <row r="1905" spans="1:5" x14ac:dyDescent="0.25">
      <c r="A1905" t="s">
        <v>14</v>
      </c>
      <c r="B1905" t="s">
        <v>22</v>
      </c>
      <c r="C1905" s="1">
        <v>46207.320833333331</v>
      </c>
      <c r="D1905" s="1">
        <v>46275.918055555558</v>
      </c>
      <c r="E1905" s="2">
        <f t="shared" si="29"/>
        <v>68.597222222226264</v>
      </c>
    </row>
    <row r="1906" spans="1:5" x14ac:dyDescent="0.25">
      <c r="A1906" t="s">
        <v>10</v>
      </c>
      <c r="B1906" t="s">
        <v>11</v>
      </c>
      <c r="C1906" s="1">
        <v>45825.221238425933</v>
      </c>
      <c r="D1906" s="1">
        <v>45853.879166666673</v>
      </c>
      <c r="E1906" s="2">
        <f t="shared" si="29"/>
        <v>28.657928240740148</v>
      </c>
    </row>
    <row r="1907" spans="1:5" x14ac:dyDescent="0.25">
      <c r="A1907" t="s">
        <v>10</v>
      </c>
      <c r="B1907" t="s">
        <v>11</v>
      </c>
      <c r="C1907" s="1">
        <v>45904.916666666657</v>
      </c>
      <c r="D1907" s="1">
        <v>45939.037499999999</v>
      </c>
      <c r="E1907" s="2">
        <f t="shared" si="29"/>
        <v>34.120833333341579</v>
      </c>
    </row>
    <row r="1908" spans="1:5" x14ac:dyDescent="0.25">
      <c r="A1908" t="s">
        <v>15</v>
      </c>
      <c r="B1908" t="s">
        <v>38</v>
      </c>
      <c r="C1908" s="1">
        <v>46183.125694444447</v>
      </c>
      <c r="D1908" s="1">
        <v>46240.875</v>
      </c>
      <c r="E1908" s="2">
        <f t="shared" si="29"/>
        <v>57.749305555553292</v>
      </c>
    </row>
    <row r="1909" spans="1:5" x14ac:dyDescent="0.25">
      <c r="A1909" t="s">
        <v>34</v>
      </c>
      <c r="B1909" t="s">
        <v>13</v>
      </c>
      <c r="C1909" s="1">
        <v>46057.396527777782</v>
      </c>
      <c r="D1909" s="1">
        <v>46076.161111111112</v>
      </c>
      <c r="E1909" s="2">
        <f t="shared" si="29"/>
        <v>18.764583333329938</v>
      </c>
    </row>
    <row r="1910" spans="1:5" x14ac:dyDescent="0.25">
      <c r="A1910" t="s">
        <v>11</v>
      </c>
      <c r="B1910" t="s">
        <v>37</v>
      </c>
      <c r="C1910" s="1">
        <v>45744.654166666667</v>
      </c>
      <c r="D1910" s="1">
        <v>45757.929166666669</v>
      </c>
      <c r="E1910" s="2">
        <f t="shared" si="29"/>
        <v>13.275000000001455</v>
      </c>
    </row>
    <row r="1911" spans="1:5" x14ac:dyDescent="0.25">
      <c r="A1911" t="s">
        <v>34</v>
      </c>
      <c r="B1911" t="s">
        <v>13</v>
      </c>
      <c r="C1911" s="1">
        <v>46020.304166666669</v>
      </c>
      <c r="D1911" s="1">
        <v>46060.847916666673</v>
      </c>
      <c r="E1911" s="2">
        <f t="shared" si="29"/>
        <v>40.543750000004366</v>
      </c>
    </row>
    <row r="1912" spans="1:5" x14ac:dyDescent="0.25">
      <c r="A1912" t="s">
        <v>15</v>
      </c>
      <c r="B1912" t="s">
        <v>38</v>
      </c>
      <c r="C1912" s="1">
        <v>46183.125694444447</v>
      </c>
      <c r="D1912" s="1">
        <v>46240.875</v>
      </c>
      <c r="E1912" s="2">
        <f t="shared" si="29"/>
        <v>57.749305555553292</v>
      </c>
    </row>
    <row r="1913" spans="1:5" x14ac:dyDescent="0.25">
      <c r="A1913" t="s">
        <v>8</v>
      </c>
      <c r="B1913" t="s">
        <v>13</v>
      </c>
      <c r="C1913" s="1">
        <v>45807.732488425929</v>
      </c>
      <c r="D1913" s="1">
        <v>45851.48333333333</v>
      </c>
      <c r="E1913" s="2">
        <f t="shared" si="29"/>
        <v>43.750844907401188</v>
      </c>
    </row>
    <row r="1914" spans="1:5" x14ac:dyDescent="0.25">
      <c r="A1914" t="s">
        <v>15</v>
      </c>
      <c r="B1914" t="s">
        <v>13</v>
      </c>
      <c r="C1914" s="1">
        <v>45931.458333333343</v>
      </c>
      <c r="D1914" s="1">
        <v>45977.095833333333</v>
      </c>
      <c r="E1914" s="2">
        <f t="shared" si="29"/>
        <v>45.637499999989814</v>
      </c>
    </row>
    <row r="1915" spans="1:5" x14ac:dyDescent="0.25">
      <c r="A1915" t="s">
        <v>22</v>
      </c>
      <c r="B1915" t="s">
        <v>19</v>
      </c>
      <c r="C1915" s="1">
        <v>45726.157638888893</v>
      </c>
      <c r="D1915" s="1">
        <v>45794.54583333333</v>
      </c>
      <c r="E1915" s="2">
        <f t="shared" si="29"/>
        <v>68.388194444436522</v>
      </c>
    </row>
    <row r="1916" spans="1:5" x14ac:dyDescent="0.25">
      <c r="A1916" t="s">
        <v>11</v>
      </c>
      <c r="B1916" t="s">
        <v>37</v>
      </c>
      <c r="C1916" s="1">
        <v>45663.672048611108</v>
      </c>
      <c r="D1916" s="1">
        <v>45678.612500000003</v>
      </c>
      <c r="E1916" s="2">
        <f t="shared" si="29"/>
        <v>14.940451388894871</v>
      </c>
    </row>
    <row r="1917" spans="1:5" x14ac:dyDescent="0.25">
      <c r="A1917" t="s">
        <v>15</v>
      </c>
      <c r="B1917" t="s">
        <v>13</v>
      </c>
      <c r="C1917" s="1">
        <v>46057.854166666657</v>
      </c>
      <c r="D1917" s="1">
        <v>46104.811111111107</v>
      </c>
      <c r="E1917" s="2">
        <f t="shared" si="29"/>
        <v>46.956944444449618</v>
      </c>
    </row>
    <row r="1918" spans="1:5" x14ac:dyDescent="0.25">
      <c r="A1918" t="s">
        <v>10</v>
      </c>
      <c r="B1918" t="s">
        <v>11</v>
      </c>
      <c r="C1918" s="1">
        <v>46088.671527777777</v>
      </c>
      <c r="D1918" s="1">
        <v>46120.609027777777</v>
      </c>
      <c r="E1918" s="2">
        <f t="shared" si="29"/>
        <v>31.9375</v>
      </c>
    </row>
    <row r="1919" spans="1:5" x14ac:dyDescent="0.25">
      <c r="A1919" t="s">
        <v>34</v>
      </c>
      <c r="B1919" t="s">
        <v>13</v>
      </c>
      <c r="C1919" s="1">
        <v>45893.804166666669</v>
      </c>
      <c r="D1919" s="1">
        <v>45919.23333333333</v>
      </c>
      <c r="E1919" s="2">
        <f t="shared" si="29"/>
        <v>25.429166666661331</v>
      </c>
    </row>
    <row r="1920" spans="1:5" x14ac:dyDescent="0.25">
      <c r="A1920" t="s">
        <v>22</v>
      </c>
      <c r="B1920" t="s">
        <v>19</v>
      </c>
      <c r="C1920" s="1">
        <v>45754.15</v>
      </c>
      <c r="D1920" s="1">
        <v>45816.841666666667</v>
      </c>
      <c r="E1920" s="2">
        <f t="shared" si="29"/>
        <v>62.691666666665697</v>
      </c>
    </row>
    <row r="1921" spans="1:5" x14ac:dyDescent="0.25">
      <c r="A1921" t="s">
        <v>46</v>
      </c>
      <c r="B1921" t="s">
        <v>11</v>
      </c>
      <c r="C1921" s="1">
        <v>46081.599999999999</v>
      </c>
      <c r="D1921" s="1">
        <v>46091.859027777777</v>
      </c>
      <c r="E1921" s="2">
        <f t="shared" si="29"/>
        <v>10.259027777778101</v>
      </c>
    </row>
    <row r="1922" spans="1:5" x14ac:dyDescent="0.25">
      <c r="A1922" t="s">
        <v>15</v>
      </c>
      <c r="B1922" t="s">
        <v>13</v>
      </c>
      <c r="C1922" s="1">
        <v>45896.65</v>
      </c>
      <c r="D1922" s="1">
        <v>45935.083333333343</v>
      </c>
      <c r="E1922" s="2">
        <f t="shared" ref="E1922:E1985" si="30">D1922-C1922</f>
        <v>38.433333333341579</v>
      </c>
    </row>
    <row r="1923" spans="1:5" x14ac:dyDescent="0.25">
      <c r="A1923" t="s">
        <v>7</v>
      </c>
      <c r="B1923" t="s">
        <v>13</v>
      </c>
      <c r="C1923" s="1">
        <v>46189.305162037039</v>
      </c>
      <c r="D1923" s="1">
        <v>46223.036111111112</v>
      </c>
      <c r="E1923" s="2">
        <f t="shared" si="30"/>
        <v>33.730949074073578</v>
      </c>
    </row>
    <row r="1924" spans="1:5" x14ac:dyDescent="0.25">
      <c r="A1924" t="s">
        <v>13</v>
      </c>
      <c r="B1924" t="s">
        <v>8</v>
      </c>
      <c r="C1924" s="1">
        <v>46260.05568287037</v>
      </c>
      <c r="D1924" s="1">
        <v>46282.479166666657</v>
      </c>
      <c r="E1924" s="2">
        <f t="shared" si="30"/>
        <v>22.423483796286746</v>
      </c>
    </row>
    <row r="1925" spans="1:5" x14ac:dyDescent="0.25">
      <c r="A1925" t="s">
        <v>11</v>
      </c>
      <c r="B1925" t="s">
        <v>21</v>
      </c>
      <c r="C1925" s="1">
        <v>46165.075590277767</v>
      </c>
      <c r="D1925" s="1">
        <v>46175.602083333331</v>
      </c>
      <c r="E1925" s="2">
        <f t="shared" si="30"/>
        <v>10.52649305556406</v>
      </c>
    </row>
    <row r="1926" spans="1:5" x14ac:dyDescent="0.25">
      <c r="A1926" t="s">
        <v>22</v>
      </c>
      <c r="B1926" t="s">
        <v>53</v>
      </c>
      <c r="C1926" s="1">
        <v>45665.777777777781</v>
      </c>
      <c r="D1926" s="1">
        <v>45734.253425925926</v>
      </c>
      <c r="E1926" s="2">
        <f t="shared" si="30"/>
        <v>68.47564814814541</v>
      </c>
    </row>
    <row r="1927" spans="1:5" x14ac:dyDescent="0.25">
      <c r="A1927" t="s">
        <v>15</v>
      </c>
      <c r="B1927" t="s">
        <v>38</v>
      </c>
      <c r="C1927" s="1">
        <v>46158.291666666657</v>
      </c>
      <c r="D1927" s="1">
        <v>46202.322222222218</v>
      </c>
      <c r="E1927" s="2">
        <f t="shared" si="30"/>
        <v>44.030555555560568</v>
      </c>
    </row>
    <row r="1928" spans="1:5" x14ac:dyDescent="0.25">
      <c r="A1928" t="s">
        <v>7</v>
      </c>
      <c r="B1928" t="s">
        <v>13</v>
      </c>
      <c r="C1928" s="1">
        <v>46147.705555555563</v>
      </c>
      <c r="D1928" s="1">
        <v>46183.042361111111</v>
      </c>
      <c r="E1928" s="2">
        <f t="shared" si="30"/>
        <v>35.336805555547471</v>
      </c>
    </row>
    <row r="1929" spans="1:5" x14ac:dyDescent="0.25">
      <c r="A1929" t="s">
        <v>60</v>
      </c>
      <c r="B1929" t="s">
        <v>13</v>
      </c>
      <c r="C1929" s="1">
        <v>45964.814629629633</v>
      </c>
      <c r="D1929" s="1">
        <v>46006.436111111107</v>
      </c>
      <c r="E1929" s="2">
        <f t="shared" si="30"/>
        <v>41.621481481473893</v>
      </c>
    </row>
    <row r="1930" spans="1:5" x14ac:dyDescent="0.25">
      <c r="A1930" t="s">
        <v>10</v>
      </c>
      <c r="B1930" t="s">
        <v>11</v>
      </c>
      <c r="C1930" s="1">
        <v>45926.054166666669</v>
      </c>
      <c r="D1930" s="1">
        <v>45959.408333333333</v>
      </c>
      <c r="E1930" s="2">
        <f t="shared" si="30"/>
        <v>33.354166666664241</v>
      </c>
    </row>
    <row r="1931" spans="1:5" x14ac:dyDescent="0.25">
      <c r="A1931" t="s">
        <v>11</v>
      </c>
      <c r="B1931" t="s">
        <v>37</v>
      </c>
      <c r="C1931" s="1">
        <v>45907.253472222219</v>
      </c>
      <c r="D1931" s="1">
        <v>45924.195833333331</v>
      </c>
      <c r="E1931" s="2">
        <f t="shared" si="30"/>
        <v>16.942361111112405</v>
      </c>
    </row>
    <row r="1932" spans="1:5" x14ac:dyDescent="0.25">
      <c r="A1932" t="s">
        <v>7</v>
      </c>
      <c r="B1932" t="s">
        <v>20</v>
      </c>
      <c r="C1932" s="1">
        <v>46097.667361111111</v>
      </c>
      <c r="D1932" s="1">
        <v>46143.824999999997</v>
      </c>
      <c r="E1932" s="2">
        <f t="shared" si="30"/>
        <v>46.15763888888614</v>
      </c>
    </row>
    <row r="1933" spans="1:5" x14ac:dyDescent="0.25">
      <c r="A1933" t="s">
        <v>22</v>
      </c>
      <c r="B1933" t="s">
        <v>36</v>
      </c>
      <c r="C1933" s="1">
        <v>45733.434027777781</v>
      </c>
      <c r="D1933" s="1">
        <v>45783.012499999997</v>
      </c>
      <c r="E1933" s="2">
        <f t="shared" si="30"/>
        <v>49.578472222216078</v>
      </c>
    </row>
    <row r="1934" spans="1:5" x14ac:dyDescent="0.25">
      <c r="A1934" t="s">
        <v>18</v>
      </c>
      <c r="B1934" t="s">
        <v>27</v>
      </c>
      <c r="C1934" s="1">
        <v>45763.504861111112</v>
      </c>
      <c r="D1934" s="1">
        <v>45836.319444444453</v>
      </c>
      <c r="E1934" s="2">
        <f t="shared" si="30"/>
        <v>72.814583333340124</v>
      </c>
    </row>
    <row r="1935" spans="1:5" x14ac:dyDescent="0.25">
      <c r="A1935" t="s">
        <v>14</v>
      </c>
      <c r="B1935" t="s">
        <v>22</v>
      </c>
      <c r="C1935" s="1">
        <v>46060.155555555553</v>
      </c>
      <c r="D1935" s="1">
        <v>46100.311111111107</v>
      </c>
      <c r="E1935" s="2">
        <f t="shared" si="30"/>
        <v>40.155555555553292</v>
      </c>
    </row>
    <row r="1936" spans="1:5" x14ac:dyDescent="0.25">
      <c r="A1936" t="s">
        <v>15</v>
      </c>
      <c r="B1936" t="s">
        <v>13</v>
      </c>
      <c r="C1936" s="1">
        <v>46120.702314814807</v>
      </c>
      <c r="D1936" s="1">
        <v>46161.084722222222</v>
      </c>
      <c r="E1936" s="2">
        <f t="shared" si="30"/>
        <v>40.382407407414576</v>
      </c>
    </row>
    <row r="1937" spans="1:5" x14ac:dyDescent="0.25">
      <c r="A1937" t="s">
        <v>7</v>
      </c>
      <c r="B1937" t="s">
        <v>20</v>
      </c>
      <c r="C1937" s="1">
        <v>45894.600208333337</v>
      </c>
      <c r="D1937" s="1">
        <v>45952.567361111112</v>
      </c>
      <c r="E1937" s="2">
        <f t="shared" si="30"/>
        <v>57.967152777775482</v>
      </c>
    </row>
    <row r="1938" spans="1:5" x14ac:dyDescent="0.25">
      <c r="A1938" t="s">
        <v>18</v>
      </c>
      <c r="B1938" t="s">
        <v>27</v>
      </c>
      <c r="C1938" s="1">
        <v>45853.826388888891</v>
      </c>
      <c r="D1938" s="1">
        <v>45925.003472222219</v>
      </c>
      <c r="E1938" s="2">
        <f t="shared" si="30"/>
        <v>71.177083333328483</v>
      </c>
    </row>
    <row r="1939" spans="1:5" x14ac:dyDescent="0.25">
      <c r="A1939" t="s">
        <v>40</v>
      </c>
      <c r="B1939" t="s">
        <v>37</v>
      </c>
      <c r="C1939" s="1">
        <v>45961.645833333343</v>
      </c>
      <c r="D1939" s="1">
        <v>45975.616666666669</v>
      </c>
      <c r="E1939" s="2">
        <f t="shared" si="30"/>
        <v>13.970833333325572</v>
      </c>
    </row>
    <row r="1940" spans="1:5" x14ac:dyDescent="0.25">
      <c r="A1940" t="s">
        <v>10</v>
      </c>
      <c r="B1940" t="s">
        <v>11</v>
      </c>
      <c r="C1940" s="1">
        <v>45714.679166666669</v>
      </c>
      <c r="D1940" s="1">
        <v>45749.220833333333</v>
      </c>
      <c r="E1940" s="2">
        <f t="shared" si="30"/>
        <v>34.541666666664241</v>
      </c>
    </row>
    <row r="1941" spans="1:5" x14ac:dyDescent="0.25">
      <c r="A1941" t="s">
        <v>40</v>
      </c>
      <c r="B1941" t="s">
        <v>37</v>
      </c>
      <c r="C1941" s="1">
        <v>45921.006944444453</v>
      </c>
      <c r="D1941" s="1">
        <v>45932.691666666673</v>
      </c>
      <c r="E1941" s="2">
        <f t="shared" si="30"/>
        <v>11.684722222220444</v>
      </c>
    </row>
    <row r="1942" spans="1:5" x14ac:dyDescent="0.25">
      <c r="A1942" t="s">
        <v>13</v>
      </c>
      <c r="B1942" t="s">
        <v>8</v>
      </c>
      <c r="C1942" s="1">
        <v>46222.043749999997</v>
      </c>
      <c r="D1942" s="1">
        <v>46244.741666666669</v>
      </c>
      <c r="E1942" s="2">
        <f t="shared" si="30"/>
        <v>22.697916666671517</v>
      </c>
    </row>
    <row r="1943" spans="1:5" x14ac:dyDescent="0.25">
      <c r="A1943" t="s">
        <v>34</v>
      </c>
      <c r="B1943" t="s">
        <v>13</v>
      </c>
      <c r="C1943" s="1">
        <v>46057.396527777782</v>
      </c>
      <c r="D1943" s="1">
        <v>46076.161111111112</v>
      </c>
      <c r="E1943" s="2">
        <f t="shared" si="30"/>
        <v>18.764583333329938</v>
      </c>
    </row>
    <row r="1944" spans="1:5" x14ac:dyDescent="0.25">
      <c r="A1944" t="s">
        <v>22</v>
      </c>
      <c r="B1944" t="s">
        <v>14</v>
      </c>
      <c r="C1944" s="1">
        <v>45754.15</v>
      </c>
      <c r="D1944" s="1">
        <v>45812.804861111108</v>
      </c>
      <c r="E1944" s="2">
        <f t="shared" si="30"/>
        <v>58.654861111106584</v>
      </c>
    </row>
    <row r="1945" spans="1:5" x14ac:dyDescent="0.25">
      <c r="A1945" t="s">
        <v>10</v>
      </c>
      <c r="B1945" t="s">
        <v>11</v>
      </c>
      <c r="C1945" s="1">
        <v>45692.775000000001</v>
      </c>
      <c r="D1945" s="1">
        <v>45722.755555555559</v>
      </c>
      <c r="E1945" s="2">
        <f t="shared" si="30"/>
        <v>29.980555555557657</v>
      </c>
    </row>
    <row r="1946" spans="1:5" x14ac:dyDescent="0.25">
      <c r="A1946" t="s">
        <v>22</v>
      </c>
      <c r="B1946" t="s">
        <v>14</v>
      </c>
      <c r="C1946" s="1">
        <v>45898.770833333343</v>
      </c>
      <c r="D1946" s="1">
        <v>45945.550694444442</v>
      </c>
      <c r="E1946" s="2">
        <f t="shared" si="30"/>
        <v>46.779861111099308</v>
      </c>
    </row>
    <row r="1947" spans="1:5" x14ac:dyDescent="0.25">
      <c r="A1947" t="s">
        <v>15</v>
      </c>
      <c r="B1947" t="s">
        <v>13</v>
      </c>
      <c r="C1947" s="1">
        <v>45988.254166666673</v>
      </c>
      <c r="D1947" s="1">
        <v>46025.690972222219</v>
      </c>
      <c r="E1947" s="2">
        <f t="shared" si="30"/>
        <v>37.436805555546016</v>
      </c>
    </row>
    <row r="1948" spans="1:5" x14ac:dyDescent="0.25">
      <c r="A1948" t="s">
        <v>11</v>
      </c>
      <c r="B1948" t="s">
        <v>37</v>
      </c>
      <c r="C1948" s="1">
        <v>46026.289583333331</v>
      </c>
      <c r="D1948" s="1">
        <v>46043.29</v>
      </c>
      <c r="E1948" s="2">
        <f t="shared" si="30"/>
        <v>17.00041666666948</v>
      </c>
    </row>
    <row r="1949" spans="1:5" x14ac:dyDescent="0.25">
      <c r="A1949" t="s">
        <v>10</v>
      </c>
      <c r="B1949" t="s">
        <v>11</v>
      </c>
      <c r="C1949" s="1">
        <v>45709.466319444437</v>
      </c>
      <c r="D1949" s="1">
        <v>45742.291666666657</v>
      </c>
      <c r="E1949" s="2">
        <f t="shared" si="30"/>
        <v>32.825347222220444</v>
      </c>
    </row>
    <row r="1950" spans="1:5" x14ac:dyDescent="0.25">
      <c r="A1950" t="s">
        <v>7</v>
      </c>
      <c r="B1950" t="s">
        <v>13</v>
      </c>
      <c r="C1950" s="1">
        <v>46174.765740740739</v>
      </c>
      <c r="D1950" s="1">
        <v>46211.89166666667</v>
      </c>
      <c r="E1950" s="2">
        <f t="shared" si="30"/>
        <v>37.125925925931369</v>
      </c>
    </row>
    <row r="1951" spans="1:5" x14ac:dyDescent="0.25">
      <c r="A1951" t="s">
        <v>15</v>
      </c>
      <c r="B1951" t="s">
        <v>38</v>
      </c>
      <c r="C1951" s="1">
        <v>46123.006377314807</v>
      </c>
      <c r="D1951" s="1">
        <v>46167.224999999999</v>
      </c>
      <c r="E1951" s="2">
        <f t="shared" si="30"/>
        <v>44.218622685191804</v>
      </c>
    </row>
    <row r="1952" spans="1:5" x14ac:dyDescent="0.25">
      <c r="A1952" t="s">
        <v>22</v>
      </c>
      <c r="B1952" t="s">
        <v>19</v>
      </c>
      <c r="C1952" s="1">
        <v>45768.991863425923</v>
      </c>
      <c r="D1952" s="1">
        <v>45835.866666666669</v>
      </c>
      <c r="E1952" s="2">
        <f t="shared" si="30"/>
        <v>66.874803240745678</v>
      </c>
    </row>
    <row r="1953" spans="1:5" x14ac:dyDescent="0.25">
      <c r="A1953" t="s">
        <v>15</v>
      </c>
      <c r="B1953" t="s">
        <v>13</v>
      </c>
      <c r="C1953" s="1">
        <v>46010.15</v>
      </c>
      <c r="D1953" s="1">
        <v>46048.311805555553</v>
      </c>
      <c r="E1953" s="2">
        <f t="shared" si="30"/>
        <v>38.161805555551837</v>
      </c>
    </row>
    <row r="1954" spans="1:5" x14ac:dyDescent="0.25">
      <c r="A1954" t="s">
        <v>22</v>
      </c>
      <c r="B1954" t="s">
        <v>19</v>
      </c>
      <c r="C1954" s="1">
        <v>45679.180462962962</v>
      </c>
      <c r="D1954" s="1">
        <v>45755.558333333327</v>
      </c>
      <c r="E1954" s="2">
        <f t="shared" si="30"/>
        <v>76.37787037036469</v>
      </c>
    </row>
    <row r="1955" spans="1:5" x14ac:dyDescent="0.25">
      <c r="A1955" t="s">
        <v>11</v>
      </c>
      <c r="B1955" t="s">
        <v>37</v>
      </c>
      <c r="C1955" s="1">
        <v>45896.657812500001</v>
      </c>
      <c r="D1955" s="1">
        <v>45912.51666666667</v>
      </c>
      <c r="E1955" s="2">
        <f t="shared" si="30"/>
        <v>15.858854166668607</v>
      </c>
    </row>
    <row r="1956" spans="1:5" x14ac:dyDescent="0.25">
      <c r="A1956" t="s">
        <v>22</v>
      </c>
      <c r="B1956" t="s">
        <v>53</v>
      </c>
      <c r="C1956" s="1">
        <v>45665.796157407407</v>
      </c>
      <c r="D1956" s="1">
        <v>45734.253425925926</v>
      </c>
      <c r="E1956" s="2">
        <f t="shared" si="30"/>
        <v>68.457268518519413</v>
      </c>
    </row>
    <row r="1957" spans="1:5" x14ac:dyDescent="0.25">
      <c r="A1957" t="s">
        <v>11</v>
      </c>
      <c r="B1957" t="s">
        <v>37</v>
      </c>
      <c r="C1957" s="1">
        <v>45963.958333333343</v>
      </c>
      <c r="D1957" s="1">
        <v>45981.962500000001</v>
      </c>
      <c r="E1957" s="2">
        <f t="shared" si="30"/>
        <v>18.004166666658421</v>
      </c>
    </row>
    <row r="1958" spans="1:5" x14ac:dyDescent="0.25">
      <c r="A1958" t="s">
        <v>22</v>
      </c>
      <c r="B1958" t="s">
        <v>19</v>
      </c>
      <c r="C1958" s="1">
        <v>45754.15</v>
      </c>
      <c r="D1958" s="1">
        <v>45816.841666666667</v>
      </c>
      <c r="E1958" s="2">
        <f t="shared" si="30"/>
        <v>62.691666666665697</v>
      </c>
    </row>
    <row r="1959" spans="1:5" x14ac:dyDescent="0.25">
      <c r="A1959" t="s">
        <v>8</v>
      </c>
      <c r="B1959" t="s">
        <v>19</v>
      </c>
      <c r="C1959" s="1">
        <v>46183.949166666673</v>
      </c>
      <c r="D1959" s="1">
        <v>46233.241666666669</v>
      </c>
      <c r="E1959" s="2">
        <f t="shared" si="30"/>
        <v>49.292499999995925</v>
      </c>
    </row>
    <row r="1960" spans="1:5" x14ac:dyDescent="0.25">
      <c r="A1960" t="s">
        <v>34</v>
      </c>
      <c r="B1960" t="s">
        <v>13</v>
      </c>
      <c r="C1960" s="1">
        <v>46043.711805555547</v>
      </c>
      <c r="D1960" s="1">
        <v>46083.593055555553</v>
      </c>
      <c r="E1960" s="2">
        <f t="shared" si="30"/>
        <v>39.881250000005821</v>
      </c>
    </row>
    <row r="1961" spans="1:5" x14ac:dyDescent="0.25">
      <c r="A1961" t="s">
        <v>60</v>
      </c>
      <c r="B1961" t="s">
        <v>13</v>
      </c>
      <c r="C1961" s="1">
        <v>45964.791666666657</v>
      </c>
      <c r="D1961" s="1">
        <v>46006.416527777779</v>
      </c>
      <c r="E1961" s="2">
        <f t="shared" si="30"/>
        <v>41.6248611111223</v>
      </c>
    </row>
    <row r="1962" spans="1:5" x14ac:dyDescent="0.25">
      <c r="A1962" t="s">
        <v>14</v>
      </c>
      <c r="B1962" t="s">
        <v>34</v>
      </c>
      <c r="C1962" s="1">
        <v>45899.352893518517</v>
      </c>
      <c r="D1962" s="1">
        <v>45927.775000000001</v>
      </c>
      <c r="E1962" s="2">
        <f t="shared" si="30"/>
        <v>28.422106481484661</v>
      </c>
    </row>
    <row r="1963" spans="1:5" x14ac:dyDescent="0.25">
      <c r="A1963" t="s">
        <v>11</v>
      </c>
      <c r="B1963" t="s">
        <v>19</v>
      </c>
      <c r="C1963" s="1">
        <v>45661.040289351848</v>
      </c>
      <c r="D1963" s="1">
        <v>45752.64166666667</v>
      </c>
      <c r="E1963" s="2">
        <f t="shared" si="30"/>
        <v>91.601377314822457</v>
      </c>
    </row>
    <row r="1964" spans="1:5" x14ac:dyDescent="0.25">
      <c r="A1964" t="s">
        <v>34</v>
      </c>
      <c r="B1964" t="s">
        <v>13</v>
      </c>
      <c r="C1964" s="1">
        <v>45943.17083333333</v>
      </c>
      <c r="D1964" s="1">
        <v>45967.658333333333</v>
      </c>
      <c r="E1964" s="2">
        <f t="shared" si="30"/>
        <v>24.48750000000291</v>
      </c>
    </row>
    <row r="1965" spans="1:5" x14ac:dyDescent="0.25">
      <c r="A1965" t="s">
        <v>22</v>
      </c>
      <c r="B1965" t="s">
        <v>36</v>
      </c>
      <c r="C1965" s="1">
        <v>45740.175000000003</v>
      </c>
      <c r="D1965" s="1">
        <v>45789.629166666673</v>
      </c>
      <c r="E1965" s="2">
        <f t="shared" si="30"/>
        <v>49.454166666670062</v>
      </c>
    </row>
    <row r="1966" spans="1:5" x14ac:dyDescent="0.25">
      <c r="A1966" t="s">
        <v>11</v>
      </c>
      <c r="B1966" t="s">
        <v>37</v>
      </c>
      <c r="C1966" s="1">
        <v>46124.32671296296</v>
      </c>
      <c r="D1966" s="1">
        <v>46141.252083333333</v>
      </c>
      <c r="E1966" s="2">
        <f t="shared" si="30"/>
        <v>16.925370370372548</v>
      </c>
    </row>
    <row r="1967" spans="1:5" x14ac:dyDescent="0.25">
      <c r="A1967" t="s">
        <v>8</v>
      </c>
      <c r="B1967" t="s">
        <v>34</v>
      </c>
      <c r="C1967" s="1">
        <v>45963.513888888891</v>
      </c>
      <c r="D1967" s="1">
        <v>45983.29583333333</v>
      </c>
      <c r="E1967" s="2">
        <f t="shared" si="30"/>
        <v>19.781944444439432</v>
      </c>
    </row>
    <row r="1968" spans="1:5" x14ac:dyDescent="0.25">
      <c r="A1968" t="s">
        <v>8</v>
      </c>
      <c r="B1968" t="s">
        <v>13</v>
      </c>
      <c r="C1968" s="1">
        <v>46019.675000000003</v>
      </c>
      <c r="D1968" s="1">
        <v>46048.083333333343</v>
      </c>
      <c r="E1968" s="2">
        <f t="shared" si="30"/>
        <v>28.408333333340124</v>
      </c>
    </row>
    <row r="1969" spans="1:5" x14ac:dyDescent="0.25">
      <c r="A1969" t="s">
        <v>22</v>
      </c>
      <c r="B1969" t="s">
        <v>14</v>
      </c>
      <c r="C1969" s="1">
        <v>45852.147175925929</v>
      </c>
      <c r="D1969" s="1">
        <v>45896.787430555552</v>
      </c>
      <c r="E1969" s="2">
        <f t="shared" si="30"/>
        <v>44.640254629623087</v>
      </c>
    </row>
    <row r="1970" spans="1:5" x14ac:dyDescent="0.25">
      <c r="A1970" t="s">
        <v>22</v>
      </c>
      <c r="B1970" t="s">
        <v>14</v>
      </c>
      <c r="C1970" s="1">
        <v>45898.786504629628</v>
      </c>
      <c r="D1970" s="1">
        <v>45945.550694444442</v>
      </c>
      <c r="E1970" s="2">
        <f t="shared" si="30"/>
        <v>46.764189814814017</v>
      </c>
    </row>
    <row r="1971" spans="1:5" x14ac:dyDescent="0.25">
      <c r="A1971" t="s">
        <v>10</v>
      </c>
      <c r="B1971" t="s">
        <v>11</v>
      </c>
      <c r="C1971" s="1">
        <v>45748.583333333343</v>
      </c>
      <c r="D1971" s="1">
        <v>45777.362500000003</v>
      </c>
      <c r="E1971" s="2">
        <f t="shared" si="30"/>
        <v>28.779166666659876</v>
      </c>
    </row>
    <row r="1972" spans="1:5" x14ac:dyDescent="0.25">
      <c r="A1972" t="s">
        <v>15</v>
      </c>
      <c r="B1972" t="s">
        <v>13</v>
      </c>
      <c r="C1972" s="1">
        <v>45884.946064814823</v>
      </c>
      <c r="D1972" s="1">
        <v>45921.26666666667</v>
      </c>
      <c r="E1972" s="2">
        <f t="shared" si="30"/>
        <v>36.320601851846732</v>
      </c>
    </row>
    <row r="1973" spans="1:5" x14ac:dyDescent="0.25">
      <c r="A1973" t="s">
        <v>14</v>
      </c>
      <c r="B1973" t="s">
        <v>34</v>
      </c>
      <c r="C1973" s="1">
        <v>45765.265972222223</v>
      </c>
      <c r="D1973" s="1">
        <v>45794.606099537043</v>
      </c>
      <c r="E1973" s="2">
        <f t="shared" si="30"/>
        <v>29.340127314819256</v>
      </c>
    </row>
    <row r="1974" spans="1:5" x14ac:dyDescent="0.25">
      <c r="A1974" t="s">
        <v>11</v>
      </c>
      <c r="B1974" t="s">
        <v>37</v>
      </c>
      <c r="C1974" s="1">
        <v>46098.109027777777</v>
      </c>
      <c r="D1974" s="1">
        <v>46116.626388888893</v>
      </c>
      <c r="E1974" s="2">
        <f t="shared" si="30"/>
        <v>18.51736111111677</v>
      </c>
    </row>
    <row r="1975" spans="1:5" x14ac:dyDescent="0.25">
      <c r="A1975" t="s">
        <v>34</v>
      </c>
      <c r="B1975" t="s">
        <v>13</v>
      </c>
      <c r="C1975" s="1">
        <v>45810.070833333331</v>
      </c>
      <c r="D1975" s="1">
        <v>45835.224999999999</v>
      </c>
      <c r="E1975" s="2">
        <f t="shared" si="30"/>
        <v>25.154166666667152</v>
      </c>
    </row>
    <row r="1976" spans="1:5" x14ac:dyDescent="0.25">
      <c r="A1976" t="s">
        <v>34</v>
      </c>
      <c r="B1976" t="s">
        <v>13</v>
      </c>
      <c r="C1976" s="1">
        <v>45810.070833333331</v>
      </c>
      <c r="D1976" s="1">
        <v>45835.224999999999</v>
      </c>
      <c r="E1976" s="2">
        <f t="shared" si="30"/>
        <v>25.154166666667152</v>
      </c>
    </row>
    <row r="1977" spans="1:5" x14ac:dyDescent="0.25">
      <c r="A1977" t="s">
        <v>34</v>
      </c>
      <c r="B1977" t="s">
        <v>13</v>
      </c>
      <c r="C1977" s="1">
        <v>45879.079155092593</v>
      </c>
      <c r="D1977" s="1">
        <v>45905.012499999997</v>
      </c>
      <c r="E1977" s="2">
        <f t="shared" si="30"/>
        <v>25.933344907403807</v>
      </c>
    </row>
    <row r="1978" spans="1:5" x14ac:dyDescent="0.25">
      <c r="A1978" t="s">
        <v>22</v>
      </c>
      <c r="B1978" t="s">
        <v>36</v>
      </c>
      <c r="C1978" s="1">
        <v>45733.453414351847</v>
      </c>
      <c r="D1978" s="1">
        <v>45783.012499999997</v>
      </c>
      <c r="E1978" s="2">
        <f t="shared" si="30"/>
        <v>49.559085648150358</v>
      </c>
    </row>
    <row r="1979" spans="1:5" x14ac:dyDescent="0.25">
      <c r="A1979" t="s">
        <v>22</v>
      </c>
      <c r="B1979" t="s">
        <v>19</v>
      </c>
      <c r="C1979" s="1">
        <v>45775.8749537037</v>
      </c>
      <c r="D1979" s="1">
        <v>45842.425000000003</v>
      </c>
      <c r="E1979" s="2">
        <f t="shared" si="30"/>
        <v>66.550046296302753</v>
      </c>
    </row>
    <row r="1980" spans="1:5" x14ac:dyDescent="0.25">
      <c r="A1980" t="s">
        <v>22</v>
      </c>
      <c r="B1980" t="s">
        <v>19</v>
      </c>
      <c r="C1980" s="1">
        <v>45768.991863425923</v>
      </c>
      <c r="D1980" s="1">
        <v>45835.866666666669</v>
      </c>
      <c r="E1980" s="2">
        <f t="shared" si="30"/>
        <v>66.874803240745678</v>
      </c>
    </row>
    <row r="1981" spans="1:5" x14ac:dyDescent="0.25">
      <c r="A1981" t="s">
        <v>11</v>
      </c>
      <c r="B1981" t="s">
        <v>21</v>
      </c>
      <c r="C1981" s="1">
        <v>45856.070833333331</v>
      </c>
      <c r="D1981" s="1">
        <v>45867.570833333331</v>
      </c>
      <c r="E1981" s="2">
        <f t="shared" si="30"/>
        <v>11.5</v>
      </c>
    </row>
    <row r="1982" spans="1:5" x14ac:dyDescent="0.25">
      <c r="A1982" t="s">
        <v>7</v>
      </c>
      <c r="B1982" t="s">
        <v>13</v>
      </c>
      <c r="C1982" s="1">
        <v>46195.005891203713</v>
      </c>
      <c r="D1982" s="1">
        <v>46230.70208333333</v>
      </c>
      <c r="E1982" s="2">
        <f t="shared" si="30"/>
        <v>35.696192129616975</v>
      </c>
    </row>
    <row r="1983" spans="1:5" x14ac:dyDescent="0.25">
      <c r="A1983" t="s">
        <v>11</v>
      </c>
      <c r="B1983" t="s">
        <v>37</v>
      </c>
      <c r="C1983" s="1">
        <v>46075.29583333333</v>
      </c>
      <c r="D1983" s="1">
        <v>46092.310416666667</v>
      </c>
      <c r="E1983" s="2">
        <f t="shared" si="30"/>
        <v>17.014583333337214</v>
      </c>
    </row>
    <row r="1984" spans="1:5" x14ac:dyDescent="0.25">
      <c r="A1984" t="s">
        <v>34</v>
      </c>
      <c r="B1984" t="s">
        <v>13</v>
      </c>
      <c r="C1984" s="1">
        <v>46153.23333333333</v>
      </c>
      <c r="D1984" s="1">
        <v>46179.444444444453</v>
      </c>
      <c r="E1984" s="2">
        <f t="shared" si="30"/>
        <v>26.211111111122591</v>
      </c>
    </row>
    <row r="1985" spans="1:5" x14ac:dyDescent="0.25">
      <c r="A1985" t="s">
        <v>10</v>
      </c>
      <c r="B1985" t="s">
        <v>11</v>
      </c>
      <c r="C1985" s="1">
        <v>45670.137696759259</v>
      </c>
      <c r="D1985" s="1">
        <v>45693.404166666667</v>
      </c>
      <c r="E1985" s="2">
        <f t="shared" si="30"/>
        <v>23.266469907408464</v>
      </c>
    </row>
    <row r="1986" spans="1:5" x14ac:dyDescent="0.25">
      <c r="A1986" t="s">
        <v>11</v>
      </c>
      <c r="B1986" t="s">
        <v>37</v>
      </c>
      <c r="C1986" s="1">
        <v>45838.386597222219</v>
      </c>
      <c r="D1986" s="1">
        <v>45854.237500000003</v>
      </c>
      <c r="E1986" s="2">
        <f t="shared" ref="E1986:E2049" si="31">D1986-C1986</f>
        <v>15.850902777783631</v>
      </c>
    </row>
    <row r="1987" spans="1:5" x14ac:dyDescent="0.25">
      <c r="A1987" t="s">
        <v>11</v>
      </c>
      <c r="B1987" t="s">
        <v>37</v>
      </c>
      <c r="C1987" s="1">
        <v>46075.29583333333</v>
      </c>
      <c r="D1987" s="1">
        <v>46092.325775462959</v>
      </c>
      <c r="E1987" s="2">
        <f t="shared" si="31"/>
        <v>17.02994212962949</v>
      </c>
    </row>
    <row r="1988" spans="1:5" x14ac:dyDescent="0.25">
      <c r="A1988" t="s">
        <v>10</v>
      </c>
      <c r="B1988" t="s">
        <v>11</v>
      </c>
      <c r="C1988" s="1">
        <v>45879.025000000001</v>
      </c>
      <c r="D1988" s="1">
        <v>45909.908333333333</v>
      </c>
      <c r="E1988" s="2">
        <f t="shared" si="31"/>
        <v>30.883333333331393</v>
      </c>
    </row>
    <row r="1989" spans="1:5" x14ac:dyDescent="0.25">
      <c r="A1989" t="s">
        <v>11</v>
      </c>
      <c r="B1989" t="s">
        <v>37</v>
      </c>
      <c r="C1989" s="1">
        <v>45677.302268518521</v>
      </c>
      <c r="D1989" s="1">
        <v>45693.313252314823</v>
      </c>
      <c r="E1989" s="2">
        <f t="shared" si="31"/>
        <v>16.010983796302753</v>
      </c>
    </row>
    <row r="1990" spans="1:5" x14ac:dyDescent="0.25">
      <c r="A1990" t="s">
        <v>34</v>
      </c>
      <c r="B1990" t="s">
        <v>13</v>
      </c>
      <c r="C1990" s="1">
        <v>46100.364583333343</v>
      </c>
      <c r="D1990" s="1">
        <v>46128.446527777778</v>
      </c>
      <c r="E1990" s="2">
        <f t="shared" si="31"/>
        <v>28.081944444435067</v>
      </c>
    </row>
    <row r="1991" spans="1:5" x14ac:dyDescent="0.25">
      <c r="A1991" t="s">
        <v>13</v>
      </c>
      <c r="B1991" t="s">
        <v>8</v>
      </c>
      <c r="C1991" s="1">
        <v>46151.791666666657</v>
      </c>
      <c r="D1991" s="1">
        <v>46172.038194444453</v>
      </c>
      <c r="E1991" s="2">
        <f t="shared" si="31"/>
        <v>20.246527777795563</v>
      </c>
    </row>
    <row r="1992" spans="1:5" x14ac:dyDescent="0.25">
      <c r="A1992" t="s">
        <v>11</v>
      </c>
      <c r="B1992" t="s">
        <v>21</v>
      </c>
      <c r="C1992" s="1">
        <v>45941.916666666657</v>
      </c>
      <c r="D1992" s="1">
        <v>45951.8</v>
      </c>
      <c r="E1992" s="2">
        <f t="shared" si="31"/>
        <v>9.883333333345945</v>
      </c>
    </row>
    <row r="1993" spans="1:5" x14ac:dyDescent="0.25">
      <c r="A1993" t="s">
        <v>22</v>
      </c>
      <c r="B1993" t="s">
        <v>19</v>
      </c>
      <c r="C1993" s="1">
        <v>45754.15</v>
      </c>
      <c r="D1993" s="1">
        <v>45816.841666666667</v>
      </c>
      <c r="E1993" s="2">
        <f t="shared" si="31"/>
        <v>62.691666666665697</v>
      </c>
    </row>
    <row r="1994" spans="1:5" x14ac:dyDescent="0.25">
      <c r="A1994" t="s">
        <v>34</v>
      </c>
      <c r="B1994" t="s">
        <v>13</v>
      </c>
      <c r="C1994" s="1">
        <v>46034.327314814807</v>
      </c>
      <c r="D1994" s="1">
        <v>46060.929166666669</v>
      </c>
      <c r="E1994" s="2">
        <f t="shared" si="31"/>
        <v>26.601851851861284</v>
      </c>
    </row>
    <row r="1995" spans="1:5" x14ac:dyDescent="0.25">
      <c r="A1995" t="s">
        <v>15</v>
      </c>
      <c r="B1995" t="s">
        <v>38</v>
      </c>
      <c r="C1995" s="1">
        <v>46183.125694444447</v>
      </c>
      <c r="D1995" s="1">
        <v>46240.875</v>
      </c>
      <c r="E1995" s="2">
        <f t="shared" si="31"/>
        <v>57.749305555553292</v>
      </c>
    </row>
    <row r="1996" spans="1:5" x14ac:dyDescent="0.25">
      <c r="A1996" t="s">
        <v>19</v>
      </c>
      <c r="B1996" t="s">
        <v>11</v>
      </c>
      <c r="C1996" s="1">
        <v>46156.143750000003</v>
      </c>
      <c r="D1996" s="1">
        <v>46204.538888888892</v>
      </c>
      <c r="E1996" s="2">
        <f t="shared" si="31"/>
        <v>48.395138888889051</v>
      </c>
    </row>
    <row r="1997" spans="1:5" x14ac:dyDescent="0.25">
      <c r="A1997" t="s">
        <v>15</v>
      </c>
      <c r="B1997" t="s">
        <v>13</v>
      </c>
      <c r="C1997" s="1">
        <v>46023.19027777778</v>
      </c>
      <c r="D1997" s="1">
        <v>46072.587500000001</v>
      </c>
      <c r="E1997" s="2">
        <f t="shared" si="31"/>
        <v>49.397222222221899</v>
      </c>
    </row>
    <row r="1998" spans="1:5" x14ac:dyDescent="0.25">
      <c r="A1998" t="s">
        <v>11</v>
      </c>
      <c r="B1998" t="s">
        <v>21</v>
      </c>
      <c r="C1998" s="1">
        <v>45948.32916666667</v>
      </c>
      <c r="D1998" s="1">
        <v>45959.15</v>
      </c>
      <c r="E1998" s="2">
        <f t="shared" si="31"/>
        <v>10.820833333331393</v>
      </c>
    </row>
    <row r="1999" spans="1:5" x14ac:dyDescent="0.25">
      <c r="A1999" t="s">
        <v>34</v>
      </c>
      <c r="B1999" t="s">
        <v>13</v>
      </c>
      <c r="C1999" s="1">
        <v>45810.070833333331</v>
      </c>
      <c r="D1999" s="1">
        <v>45835.224999999999</v>
      </c>
      <c r="E1999" s="2">
        <f t="shared" si="31"/>
        <v>25.154166666667152</v>
      </c>
    </row>
    <row r="2000" spans="1:5" x14ac:dyDescent="0.25">
      <c r="A2000" t="s">
        <v>18</v>
      </c>
      <c r="B2000" t="s">
        <v>27</v>
      </c>
      <c r="C2000" s="1">
        <v>45749.246527777781</v>
      </c>
      <c r="D2000" s="1">
        <v>45819.925000000003</v>
      </c>
      <c r="E2000" s="2">
        <f t="shared" si="31"/>
        <v>70.678472222221899</v>
      </c>
    </row>
    <row r="2001" spans="1:5" x14ac:dyDescent="0.25">
      <c r="A2001" t="s">
        <v>15</v>
      </c>
      <c r="B2001" t="s">
        <v>13</v>
      </c>
      <c r="C2001" s="1">
        <v>45783.755393518521</v>
      </c>
      <c r="D2001" s="1">
        <v>45822.470138888893</v>
      </c>
      <c r="E2001" s="2">
        <f t="shared" si="31"/>
        <v>38.714745370372839</v>
      </c>
    </row>
    <row r="2002" spans="1:5" x14ac:dyDescent="0.25">
      <c r="A2002" t="s">
        <v>8</v>
      </c>
      <c r="B2002" t="s">
        <v>13</v>
      </c>
      <c r="C2002" s="1">
        <v>45942.489583333343</v>
      </c>
      <c r="D2002" s="1">
        <v>45964.758333333331</v>
      </c>
      <c r="E2002" s="2">
        <f t="shared" si="31"/>
        <v>22.268749999988358</v>
      </c>
    </row>
    <row r="2003" spans="1:5" x14ac:dyDescent="0.25">
      <c r="A2003" t="s">
        <v>11</v>
      </c>
      <c r="B2003" t="s">
        <v>21</v>
      </c>
      <c r="C2003" s="1">
        <v>45885.32916666667</v>
      </c>
      <c r="D2003" s="1">
        <v>45895.39166666667</v>
      </c>
      <c r="E2003" s="2">
        <f t="shared" si="31"/>
        <v>10.0625</v>
      </c>
    </row>
    <row r="2004" spans="1:5" x14ac:dyDescent="0.25">
      <c r="A2004" t="s">
        <v>22</v>
      </c>
      <c r="B2004" t="s">
        <v>14</v>
      </c>
      <c r="C2004" s="1">
        <v>45719.029166666667</v>
      </c>
      <c r="D2004" s="1">
        <v>45763.804166666669</v>
      </c>
      <c r="E2004" s="2">
        <f t="shared" si="31"/>
        <v>44.775000000001455</v>
      </c>
    </row>
    <row r="2005" spans="1:5" x14ac:dyDescent="0.25">
      <c r="A2005" t="s">
        <v>11</v>
      </c>
      <c r="B2005" t="s">
        <v>37</v>
      </c>
      <c r="C2005" s="1">
        <v>45838.379166666673</v>
      </c>
      <c r="D2005" s="1">
        <v>45854.239814814813</v>
      </c>
      <c r="E2005" s="2">
        <f t="shared" si="31"/>
        <v>15.860648148140172</v>
      </c>
    </row>
    <row r="2006" spans="1:5" x14ac:dyDescent="0.25">
      <c r="A2006" t="s">
        <v>22</v>
      </c>
      <c r="B2006" t="s">
        <v>19</v>
      </c>
      <c r="C2006" s="1">
        <v>45748.2</v>
      </c>
      <c r="D2006" s="1">
        <v>45816.841666666667</v>
      </c>
      <c r="E2006" s="2">
        <f t="shared" si="31"/>
        <v>68.641666666670062</v>
      </c>
    </row>
    <row r="2007" spans="1:5" x14ac:dyDescent="0.25">
      <c r="A2007" t="s">
        <v>40</v>
      </c>
      <c r="B2007" t="s">
        <v>37</v>
      </c>
      <c r="C2007" s="1">
        <v>45940.911041666674</v>
      </c>
      <c r="D2007" s="1">
        <v>45954.65</v>
      </c>
      <c r="E2007" s="2">
        <f t="shared" si="31"/>
        <v>13.738958333327901</v>
      </c>
    </row>
    <row r="2008" spans="1:5" x14ac:dyDescent="0.25">
      <c r="A2008" t="s">
        <v>34</v>
      </c>
      <c r="B2008" t="s">
        <v>13</v>
      </c>
      <c r="C2008" s="1">
        <v>46079.626388888893</v>
      </c>
      <c r="D2008" s="1">
        <v>46113.236805555563</v>
      </c>
      <c r="E2008" s="2">
        <f t="shared" si="31"/>
        <v>33.610416666670062</v>
      </c>
    </row>
    <row r="2009" spans="1:5" x14ac:dyDescent="0.25">
      <c r="A2009" t="s">
        <v>11</v>
      </c>
      <c r="B2009" t="s">
        <v>37</v>
      </c>
      <c r="C2009" s="1">
        <v>46026.289583333331</v>
      </c>
      <c r="D2009" s="1">
        <v>46043.29</v>
      </c>
      <c r="E2009" s="2">
        <f t="shared" si="31"/>
        <v>17.00041666666948</v>
      </c>
    </row>
    <row r="2010" spans="1:5" x14ac:dyDescent="0.25">
      <c r="A2010" t="s">
        <v>15</v>
      </c>
      <c r="B2010" t="s">
        <v>13</v>
      </c>
      <c r="C2010" s="1">
        <v>46219.958333333343</v>
      </c>
      <c r="D2010" s="1">
        <v>46257.863888888889</v>
      </c>
      <c r="E2010" s="2">
        <f t="shared" si="31"/>
        <v>37.905555555546016</v>
      </c>
    </row>
    <row r="2011" spans="1:5" x14ac:dyDescent="0.25">
      <c r="A2011" t="s">
        <v>11</v>
      </c>
      <c r="B2011" t="s">
        <v>37</v>
      </c>
      <c r="C2011" s="1">
        <v>46110.554166666669</v>
      </c>
      <c r="D2011" s="1">
        <v>46127.342361111107</v>
      </c>
      <c r="E2011" s="2">
        <f t="shared" si="31"/>
        <v>16.788194444437977</v>
      </c>
    </row>
    <row r="2012" spans="1:5" x14ac:dyDescent="0.25">
      <c r="A2012" t="s">
        <v>15</v>
      </c>
      <c r="B2012" t="s">
        <v>38</v>
      </c>
      <c r="C2012" s="1">
        <v>46171.477083333331</v>
      </c>
      <c r="D2012" s="1">
        <v>46226.684027777781</v>
      </c>
      <c r="E2012" s="2">
        <f t="shared" si="31"/>
        <v>55.206944444449618</v>
      </c>
    </row>
    <row r="2013" spans="1:5" x14ac:dyDescent="0.25">
      <c r="A2013" t="s">
        <v>18</v>
      </c>
      <c r="B2013" t="s">
        <v>27</v>
      </c>
      <c r="C2013" s="1">
        <v>45719.916666666657</v>
      </c>
      <c r="D2013" s="1">
        <v>45791.845833333333</v>
      </c>
      <c r="E2013" s="2">
        <f t="shared" si="31"/>
        <v>71.929166666675883</v>
      </c>
    </row>
    <row r="2014" spans="1:5" x14ac:dyDescent="0.25">
      <c r="A2014" t="s">
        <v>40</v>
      </c>
      <c r="B2014" t="s">
        <v>37</v>
      </c>
      <c r="C2014" s="1">
        <v>45988.65</v>
      </c>
      <c r="D2014" s="1">
        <v>46002.35833333333</v>
      </c>
      <c r="E2014" s="2">
        <f t="shared" si="31"/>
        <v>13.708333333328483</v>
      </c>
    </row>
    <row r="2015" spans="1:5" x14ac:dyDescent="0.25">
      <c r="A2015" t="s">
        <v>15</v>
      </c>
      <c r="B2015" t="s">
        <v>38</v>
      </c>
      <c r="C2015" s="1">
        <v>46031.850393518522</v>
      </c>
      <c r="D2015" s="1">
        <v>46075.982638888891</v>
      </c>
      <c r="E2015" s="2">
        <f t="shared" si="31"/>
        <v>44.132245370368764</v>
      </c>
    </row>
    <row r="2016" spans="1:5" x14ac:dyDescent="0.25">
      <c r="A2016" t="s">
        <v>34</v>
      </c>
      <c r="B2016" t="s">
        <v>13</v>
      </c>
      <c r="C2016" s="1">
        <v>46092.71597222222</v>
      </c>
      <c r="D2016" s="1">
        <v>46132.469444444447</v>
      </c>
      <c r="E2016" s="2">
        <f t="shared" si="31"/>
        <v>39.753472222226264</v>
      </c>
    </row>
    <row r="2017" spans="1:5" x14ac:dyDescent="0.25">
      <c r="A2017" t="s">
        <v>14</v>
      </c>
      <c r="B2017" t="s">
        <v>34</v>
      </c>
      <c r="C2017" s="1">
        <v>45824.323159722233</v>
      </c>
      <c r="D2017" s="1">
        <v>45850.29583333333</v>
      </c>
      <c r="E2017" s="2">
        <f t="shared" si="31"/>
        <v>25.97267361109698</v>
      </c>
    </row>
    <row r="2018" spans="1:5" x14ac:dyDescent="0.25">
      <c r="A2018" t="s">
        <v>11</v>
      </c>
      <c r="B2018" t="s">
        <v>37</v>
      </c>
      <c r="C2018" s="1">
        <v>45721.031712962962</v>
      </c>
      <c r="D2018" s="1">
        <v>45734.345833333333</v>
      </c>
      <c r="E2018" s="2">
        <f t="shared" si="31"/>
        <v>13.314120370370802</v>
      </c>
    </row>
    <row r="2019" spans="1:5" x14ac:dyDescent="0.25">
      <c r="A2019" t="s">
        <v>14</v>
      </c>
      <c r="B2019" t="s">
        <v>22</v>
      </c>
      <c r="C2019" s="1">
        <v>46167.522048611107</v>
      </c>
      <c r="D2019" s="1">
        <v>46223.777083333327</v>
      </c>
      <c r="E2019" s="2">
        <f t="shared" si="31"/>
        <v>56.255034722220444</v>
      </c>
    </row>
    <row r="2020" spans="1:5" x14ac:dyDescent="0.25">
      <c r="A2020" t="s">
        <v>11</v>
      </c>
      <c r="B2020" t="s">
        <v>37</v>
      </c>
      <c r="C2020" s="1">
        <v>46110.554166666669</v>
      </c>
      <c r="D2020" s="1">
        <v>46127.342361111107</v>
      </c>
      <c r="E2020" s="2">
        <f t="shared" si="31"/>
        <v>16.788194444437977</v>
      </c>
    </row>
    <row r="2021" spans="1:5" x14ac:dyDescent="0.25">
      <c r="A2021" t="s">
        <v>18</v>
      </c>
      <c r="B2021" t="s">
        <v>27</v>
      </c>
      <c r="C2021" s="1">
        <v>45677.389548611107</v>
      </c>
      <c r="D2021" s="1">
        <v>45756.691666666673</v>
      </c>
      <c r="E2021" s="2">
        <f t="shared" si="31"/>
        <v>79.302118055566098</v>
      </c>
    </row>
    <row r="2022" spans="1:5" x14ac:dyDescent="0.25">
      <c r="A2022" t="s">
        <v>15</v>
      </c>
      <c r="B2022" t="s">
        <v>13</v>
      </c>
      <c r="C2022" s="1">
        <v>45966.155972222223</v>
      </c>
      <c r="D2022" s="1">
        <v>46006.416527777779</v>
      </c>
      <c r="E2022" s="2">
        <f t="shared" si="31"/>
        <v>40.260555555556493</v>
      </c>
    </row>
    <row r="2023" spans="1:5" x14ac:dyDescent="0.25">
      <c r="A2023" t="s">
        <v>15</v>
      </c>
      <c r="B2023" t="s">
        <v>13</v>
      </c>
      <c r="C2023" s="1">
        <v>46114.436111111107</v>
      </c>
      <c r="D2023" s="1">
        <v>46152.242361111108</v>
      </c>
      <c r="E2023" s="2">
        <f t="shared" si="31"/>
        <v>37.806250000001455</v>
      </c>
    </row>
    <row r="2024" spans="1:5" x14ac:dyDescent="0.25">
      <c r="A2024" t="s">
        <v>8</v>
      </c>
      <c r="B2024" t="s">
        <v>27</v>
      </c>
      <c r="C2024" s="1">
        <v>46160.644444444442</v>
      </c>
      <c r="D2024" s="1">
        <v>46227.588194444441</v>
      </c>
      <c r="E2024" s="2">
        <f t="shared" si="31"/>
        <v>66.943749999998545</v>
      </c>
    </row>
    <row r="2025" spans="1:5" x14ac:dyDescent="0.25">
      <c r="A2025" t="s">
        <v>22</v>
      </c>
      <c r="B2025" t="s">
        <v>19</v>
      </c>
      <c r="C2025" s="1">
        <v>45705.035416666673</v>
      </c>
      <c r="D2025" s="1">
        <v>45773.758333333331</v>
      </c>
      <c r="E2025" s="2">
        <f t="shared" si="31"/>
        <v>68.722916666658421</v>
      </c>
    </row>
    <row r="2026" spans="1:5" x14ac:dyDescent="0.25">
      <c r="A2026" t="s">
        <v>15</v>
      </c>
      <c r="B2026" t="s">
        <v>38</v>
      </c>
      <c r="C2026" s="1">
        <v>46164.476388888892</v>
      </c>
      <c r="D2026" s="1">
        <v>46213.482638888891</v>
      </c>
      <c r="E2026" s="2">
        <f t="shared" si="31"/>
        <v>49.006249999998545</v>
      </c>
    </row>
    <row r="2027" spans="1:5" x14ac:dyDescent="0.25">
      <c r="A2027" t="s">
        <v>11</v>
      </c>
      <c r="B2027" t="s">
        <v>21</v>
      </c>
      <c r="C2027" s="1">
        <v>45927.804166666669</v>
      </c>
      <c r="D2027" s="1">
        <v>45937.379166666673</v>
      </c>
      <c r="E2027" s="2">
        <f t="shared" si="31"/>
        <v>9.5750000000043656</v>
      </c>
    </row>
    <row r="2028" spans="1:5" x14ac:dyDescent="0.25">
      <c r="A2028" t="s">
        <v>22</v>
      </c>
      <c r="B2028" t="s">
        <v>14</v>
      </c>
      <c r="C2028" s="1">
        <v>45790.503252314818</v>
      </c>
      <c r="D2028" s="1">
        <v>45833.819444444453</v>
      </c>
      <c r="E2028" s="2">
        <f t="shared" si="31"/>
        <v>43.316192129634146</v>
      </c>
    </row>
    <row r="2029" spans="1:5" x14ac:dyDescent="0.25">
      <c r="A2029" t="s">
        <v>11</v>
      </c>
      <c r="B2029" t="s">
        <v>21</v>
      </c>
      <c r="C2029" s="1">
        <v>45751.833333333343</v>
      </c>
      <c r="D2029" s="1">
        <v>45763.458333333343</v>
      </c>
      <c r="E2029" s="2">
        <f t="shared" si="31"/>
        <v>11.625</v>
      </c>
    </row>
    <row r="2030" spans="1:5" x14ac:dyDescent="0.25">
      <c r="A2030" t="s">
        <v>11</v>
      </c>
      <c r="B2030" t="s">
        <v>37</v>
      </c>
      <c r="C2030" s="1">
        <v>46026.289583333331</v>
      </c>
      <c r="D2030" s="1">
        <v>46043.29</v>
      </c>
      <c r="E2030" s="2">
        <f t="shared" si="31"/>
        <v>17.00041666666948</v>
      </c>
    </row>
    <row r="2031" spans="1:5" x14ac:dyDescent="0.25">
      <c r="A2031" t="s">
        <v>13</v>
      </c>
      <c r="B2031" t="s">
        <v>8</v>
      </c>
      <c r="C2031" s="1">
        <v>46222.043749999997</v>
      </c>
      <c r="D2031" s="1">
        <v>46244.741076388891</v>
      </c>
      <c r="E2031" s="2">
        <f t="shared" si="31"/>
        <v>22.697326388893998</v>
      </c>
    </row>
    <row r="2032" spans="1:5" x14ac:dyDescent="0.25">
      <c r="A2032" t="s">
        <v>19</v>
      </c>
      <c r="B2032" t="s">
        <v>11</v>
      </c>
      <c r="C2032" s="1">
        <v>46164.175949074073</v>
      </c>
      <c r="D2032" s="1">
        <v>46204.538888888892</v>
      </c>
      <c r="E2032" s="2">
        <f t="shared" si="31"/>
        <v>40.362939814818674</v>
      </c>
    </row>
    <row r="2033" spans="1:5" x14ac:dyDescent="0.25">
      <c r="A2033" t="s">
        <v>42</v>
      </c>
      <c r="B2033" t="s">
        <v>19</v>
      </c>
      <c r="C2033" s="1">
        <v>45778.65</v>
      </c>
      <c r="D2033" s="1">
        <v>45827.04583333333</v>
      </c>
      <c r="E2033" s="2">
        <f t="shared" si="31"/>
        <v>48.395833333328483</v>
      </c>
    </row>
    <row r="2034" spans="1:5" x14ac:dyDescent="0.25">
      <c r="A2034" t="s">
        <v>10</v>
      </c>
      <c r="B2034" t="s">
        <v>11</v>
      </c>
      <c r="C2034" s="1">
        <v>45934.120833333327</v>
      </c>
      <c r="D2034" s="1">
        <v>45966.32916666667</v>
      </c>
      <c r="E2034" s="2">
        <f t="shared" si="31"/>
        <v>32.208333333343035</v>
      </c>
    </row>
    <row r="2035" spans="1:5" x14ac:dyDescent="0.25">
      <c r="A2035" t="s">
        <v>15</v>
      </c>
      <c r="B2035" t="s">
        <v>38</v>
      </c>
      <c r="C2035" s="1">
        <v>46192.579826388886</v>
      </c>
      <c r="D2035" s="1">
        <v>46246.558333333327</v>
      </c>
      <c r="E2035" s="2">
        <f t="shared" si="31"/>
        <v>53.978506944440596</v>
      </c>
    </row>
    <row r="2036" spans="1:5" x14ac:dyDescent="0.25">
      <c r="A2036" t="s">
        <v>23</v>
      </c>
      <c r="B2036" t="s">
        <v>19</v>
      </c>
      <c r="C2036" s="1">
        <v>45728.116666666669</v>
      </c>
      <c r="D2036" s="1">
        <v>45776.589583333327</v>
      </c>
      <c r="E2036" s="2">
        <f t="shared" si="31"/>
        <v>48.472916666658421</v>
      </c>
    </row>
    <row r="2037" spans="1:5" x14ac:dyDescent="0.25">
      <c r="A2037" t="s">
        <v>10</v>
      </c>
      <c r="B2037" t="s">
        <v>11</v>
      </c>
      <c r="C2037" s="1">
        <v>45879.047152777777</v>
      </c>
      <c r="D2037" s="1">
        <v>45909.908333333333</v>
      </c>
      <c r="E2037" s="2">
        <f t="shared" si="31"/>
        <v>30.86118055555562</v>
      </c>
    </row>
    <row r="2038" spans="1:5" x14ac:dyDescent="0.25">
      <c r="A2038" t="s">
        <v>22</v>
      </c>
      <c r="B2038" t="s">
        <v>14</v>
      </c>
      <c r="C2038" s="1">
        <v>45838.058553240742</v>
      </c>
      <c r="D2038" s="1">
        <v>45889.818055555559</v>
      </c>
      <c r="E2038" s="2">
        <f t="shared" si="31"/>
        <v>51.759502314816928</v>
      </c>
    </row>
    <row r="2039" spans="1:5" x14ac:dyDescent="0.25">
      <c r="A2039" t="s">
        <v>15</v>
      </c>
      <c r="B2039" t="s">
        <v>13</v>
      </c>
      <c r="C2039" s="1">
        <v>46148.260694444441</v>
      </c>
      <c r="D2039" s="1">
        <v>46187.042361111111</v>
      </c>
      <c r="E2039" s="2">
        <f t="shared" si="31"/>
        <v>38.78166666666948</v>
      </c>
    </row>
    <row r="2040" spans="1:5" x14ac:dyDescent="0.25">
      <c r="A2040" t="s">
        <v>8</v>
      </c>
      <c r="B2040" t="s">
        <v>13</v>
      </c>
      <c r="C2040" s="1">
        <v>45926.987500000003</v>
      </c>
      <c r="D2040" s="1">
        <v>45951.145833333343</v>
      </c>
      <c r="E2040" s="2">
        <f t="shared" si="31"/>
        <v>24.158333333340124</v>
      </c>
    </row>
    <row r="2041" spans="1:5" x14ac:dyDescent="0.25">
      <c r="A2041" t="s">
        <v>15</v>
      </c>
      <c r="B2041" t="s">
        <v>13</v>
      </c>
      <c r="C2041" s="1">
        <v>45840.018020833333</v>
      </c>
      <c r="D2041" s="1">
        <v>45878.583333333343</v>
      </c>
      <c r="E2041" s="2">
        <f t="shared" si="31"/>
        <v>38.565312500009895</v>
      </c>
    </row>
    <row r="2042" spans="1:5" x14ac:dyDescent="0.25">
      <c r="A2042" t="s">
        <v>22</v>
      </c>
      <c r="B2042" t="s">
        <v>14</v>
      </c>
      <c r="C2042" s="1">
        <v>45838.058553240742</v>
      </c>
      <c r="D2042" s="1">
        <v>45889.818055555559</v>
      </c>
      <c r="E2042" s="2">
        <f t="shared" si="31"/>
        <v>51.759502314816928</v>
      </c>
    </row>
    <row r="2043" spans="1:5" x14ac:dyDescent="0.25">
      <c r="A2043" t="s">
        <v>8</v>
      </c>
      <c r="B2043" t="s">
        <v>19</v>
      </c>
      <c r="C2043" s="1">
        <v>45671.909722222219</v>
      </c>
      <c r="D2043" s="1">
        <v>45729.875</v>
      </c>
      <c r="E2043" s="2">
        <f t="shared" si="31"/>
        <v>57.965277777781012</v>
      </c>
    </row>
    <row r="2044" spans="1:5" x14ac:dyDescent="0.25">
      <c r="A2044" t="s">
        <v>15</v>
      </c>
      <c r="B2044" t="s">
        <v>13</v>
      </c>
      <c r="C2044" s="1">
        <v>45855.370833333327</v>
      </c>
      <c r="D2044" s="1">
        <v>45892.729166666657</v>
      </c>
      <c r="E2044" s="2">
        <f t="shared" si="31"/>
        <v>37.358333333329938</v>
      </c>
    </row>
    <row r="2045" spans="1:5" x14ac:dyDescent="0.25">
      <c r="A2045" t="s">
        <v>34</v>
      </c>
      <c r="B2045" t="s">
        <v>13</v>
      </c>
      <c r="C2045" s="1">
        <v>46141.649131944447</v>
      </c>
      <c r="D2045" s="1">
        <v>46170.734722222223</v>
      </c>
      <c r="E2045" s="2">
        <f t="shared" si="31"/>
        <v>29.085590277776646</v>
      </c>
    </row>
    <row r="2046" spans="1:5" x14ac:dyDescent="0.25">
      <c r="A2046" t="s">
        <v>23</v>
      </c>
      <c r="B2046" t="s">
        <v>19</v>
      </c>
      <c r="C2046" s="1">
        <v>45766.770833333343</v>
      </c>
      <c r="D2046" s="1">
        <v>45811.895138888889</v>
      </c>
      <c r="E2046" s="2">
        <f t="shared" si="31"/>
        <v>45.124305555546016</v>
      </c>
    </row>
    <row r="2047" spans="1:5" x14ac:dyDescent="0.25">
      <c r="A2047" t="s">
        <v>10</v>
      </c>
      <c r="B2047" t="s">
        <v>11</v>
      </c>
      <c r="C2047" s="1">
        <v>45912.1</v>
      </c>
      <c r="D2047" s="1">
        <v>45946.133333333331</v>
      </c>
      <c r="E2047" s="2">
        <f t="shared" si="31"/>
        <v>34.033333333332848</v>
      </c>
    </row>
    <row r="2048" spans="1:5" x14ac:dyDescent="0.25">
      <c r="A2048" t="s">
        <v>22</v>
      </c>
      <c r="B2048" t="s">
        <v>19</v>
      </c>
      <c r="C2048" s="1">
        <v>45712.171527777777</v>
      </c>
      <c r="D2048" s="1">
        <v>45778.55</v>
      </c>
      <c r="E2048" s="2">
        <f t="shared" si="31"/>
        <v>66.378472222226264</v>
      </c>
    </row>
    <row r="2049" spans="1:5" x14ac:dyDescent="0.25">
      <c r="A2049" t="s">
        <v>22</v>
      </c>
      <c r="B2049" t="s">
        <v>19</v>
      </c>
      <c r="C2049" s="1">
        <v>45719.043969907398</v>
      </c>
      <c r="D2049" s="1">
        <v>45794</v>
      </c>
      <c r="E2049" s="2">
        <f t="shared" si="31"/>
        <v>74.956030092602305</v>
      </c>
    </row>
    <row r="2050" spans="1:5" x14ac:dyDescent="0.25">
      <c r="A2050" t="s">
        <v>22</v>
      </c>
      <c r="B2050" t="s">
        <v>14</v>
      </c>
      <c r="C2050" s="1">
        <v>45719.029166666667</v>
      </c>
      <c r="D2050" s="1">
        <v>45763.804166666669</v>
      </c>
      <c r="E2050" s="2">
        <f t="shared" ref="E2050:E2113" si="32">D2050-C2050</f>
        <v>44.775000000001455</v>
      </c>
    </row>
    <row r="2051" spans="1:5" x14ac:dyDescent="0.25">
      <c r="A2051" t="s">
        <v>22</v>
      </c>
      <c r="B2051" t="s">
        <v>14</v>
      </c>
      <c r="C2051" s="1">
        <v>45817.683333333327</v>
      </c>
      <c r="D2051" s="1">
        <v>45863.320138888892</v>
      </c>
      <c r="E2051" s="2">
        <f t="shared" si="32"/>
        <v>45.636805555564933</v>
      </c>
    </row>
    <row r="2052" spans="1:5" x14ac:dyDescent="0.25">
      <c r="A2052" t="s">
        <v>11</v>
      </c>
      <c r="B2052" t="s">
        <v>37</v>
      </c>
      <c r="C2052" s="1">
        <v>46124.32671296296</v>
      </c>
      <c r="D2052" s="1">
        <v>46141.252083333333</v>
      </c>
      <c r="E2052" s="2">
        <f t="shared" si="32"/>
        <v>16.925370370372548</v>
      </c>
    </row>
    <row r="2053" spans="1:5" x14ac:dyDescent="0.25">
      <c r="A2053" t="s">
        <v>14</v>
      </c>
      <c r="B2053" t="s">
        <v>22</v>
      </c>
      <c r="C2053" s="1">
        <v>46160.434606481482</v>
      </c>
      <c r="D2053" s="1">
        <v>46211.320833333331</v>
      </c>
      <c r="E2053" s="2">
        <f t="shared" si="32"/>
        <v>50.886226851849642</v>
      </c>
    </row>
    <row r="2054" spans="1:5" x14ac:dyDescent="0.25">
      <c r="A2054" t="s">
        <v>15</v>
      </c>
      <c r="B2054" t="s">
        <v>13</v>
      </c>
      <c r="C2054" s="1">
        <v>46106.9375</v>
      </c>
      <c r="D2054" s="1">
        <v>46145.782638888893</v>
      </c>
      <c r="E2054" s="2">
        <f t="shared" si="32"/>
        <v>38.845138888893416</v>
      </c>
    </row>
    <row r="2055" spans="1:5" x14ac:dyDescent="0.25">
      <c r="A2055" t="s">
        <v>8</v>
      </c>
      <c r="B2055" t="s">
        <v>13</v>
      </c>
      <c r="C2055" s="1">
        <v>45814.734618055547</v>
      </c>
      <c r="D2055" s="1">
        <v>45846.67083333333</v>
      </c>
      <c r="E2055" s="2">
        <f t="shared" si="32"/>
        <v>31.936215277783049</v>
      </c>
    </row>
    <row r="2056" spans="1:5" x14ac:dyDescent="0.25">
      <c r="A2056" t="s">
        <v>18</v>
      </c>
      <c r="B2056" t="s">
        <v>27</v>
      </c>
      <c r="C2056" s="1">
        <v>45704.913194444453</v>
      </c>
      <c r="D2056" s="1">
        <v>45778.336805555547</v>
      </c>
      <c r="E2056" s="2">
        <f t="shared" si="32"/>
        <v>73.423611111094942</v>
      </c>
    </row>
    <row r="2057" spans="1:5" x14ac:dyDescent="0.25">
      <c r="A2057" t="s">
        <v>22</v>
      </c>
      <c r="B2057" t="s">
        <v>14</v>
      </c>
      <c r="C2057" s="1">
        <v>45809.54583333333</v>
      </c>
      <c r="D2057" s="1">
        <v>45854.8125</v>
      </c>
      <c r="E2057" s="2">
        <f t="shared" si="32"/>
        <v>45.266666666670062</v>
      </c>
    </row>
    <row r="2058" spans="1:5" x14ac:dyDescent="0.25">
      <c r="A2058" t="s">
        <v>11</v>
      </c>
      <c r="B2058" t="s">
        <v>37</v>
      </c>
      <c r="C2058" s="1">
        <v>45888.908912037034</v>
      </c>
      <c r="D2058" s="1">
        <v>45902.29583333333</v>
      </c>
      <c r="E2058" s="2">
        <f t="shared" si="32"/>
        <v>13.38692129629635</v>
      </c>
    </row>
    <row r="2059" spans="1:5" x14ac:dyDescent="0.25">
      <c r="A2059" t="s">
        <v>11</v>
      </c>
      <c r="B2059" t="s">
        <v>21</v>
      </c>
      <c r="C2059" s="1">
        <v>45758.929166666669</v>
      </c>
      <c r="D2059" s="1">
        <v>45771.04583333333</v>
      </c>
      <c r="E2059" s="2">
        <f t="shared" si="32"/>
        <v>12.116666666661331</v>
      </c>
    </row>
    <row r="2060" spans="1:5" x14ac:dyDescent="0.25">
      <c r="A2060" t="s">
        <v>34</v>
      </c>
      <c r="B2060" t="s">
        <v>13</v>
      </c>
      <c r="C2060" s="1">
        <v>45992.475694444453</v>
      </c>
      <c r="D2060" s="1">
        <v>46024.011111111111</v>
      </c>
      <c r="E2060" s="2">
        <f t="shared" si="32"/>
        <v>31.535416666658421</v>
      </c>
    </row>
    <row r="2061" spans="1:5" x14ac:dyDescent="0.25">
      <c r="A2061" t="s">
        <v>15</v>
      </c>
      <c r="B2061" t="s">
        <v>38</v>
      </c>
      <c r="C2061" s="1">
        <v>46123.006377314807</v>
      </c>
      <c r="D2061" s="1">
        <v>46167.224999999999</v>
      </c>
      <c r="E2061" s="2">
        <f t="shared" si="32"/>
        <v>44.218622685191804</v>
      </c>
    </row>
    <row r="2062" spans="1:5" x14ac:dyDescent="0.25">
      <c r="A2062" t="s">
        <v>15</v>
      </c>
      <c r="B2062" t="s">
        <v>18</v>
      </c>
      <c r="C2062" s="1">
        <v>46157.243194444447</v>
      </c>
      <c r="D2062" s="1">
        <v>46210.369444444441</v>
      </c>
      <c r="E2062" s="2">
        <f t="shared" si="32"/>
        <v>53.126249999993888</v>
      </c>
    </row>
    <row r="2063" spans="1:5" x14ac:dyDescent="0.25">
      <c r="A2063" t="s">
        <v>8</v>
      </c>
      <c r="B2063" t="s">
        <v>13</v>
      </c>
      <c r="C2063" s="1">
        <v>45894.388888888891</v>
      </c>
      <c r="D2063" s="1">
        <v>45916.362500000003</v>
      </c>
      <c r="E2063" s="2">
        <f t="shared" si="32"/>
        <v>21.973611111112405</v>
      </c>
    </row>
    <row r="2064" spans="1:5" x14ac:dyDescent="0.25">
      <c r="A2064" t="s">
        <v>34</v>
      </c>
      <c r="B2064" t="s">
        <v>13</v>
      </c>
      <c r="C2064" s="1">
        <v>46086.439583333333</v>
      </c>
      <c r="D2064" s="1">
        <v>46122.525000000001</v>
      </c>
      <c r="E2064" s="2">
        <f t="shared" si="32"/>
        <v>36.085416666668607</v>
      </c>
    </row>
    <row r="2065" spans="1:5" x14ac:dyDescent="0.25">
      <c r="A2065" t="s">
        <v>22</v>
      </c>
      <c r="B2065" t="s">
        <v>14</v>
      </c>
      <c r="C2065" s="1">
        <v>45809.553287037037</v>
      </c>
      <c r="D2065" s="1">
        <v>45854.8125</v>
      </c>
      <c r="E2065" s="2">
        <f t="shared" si="32"/>
        <v>45.25921296296292</v>
      </c>
    </row>
    <row r="2066" spans="1:5" x14ac:dyDescent="0.25">
      <c r="A2066" t="s">
        <v>12</v>
      </c>
      <c r="B2066" t="s">
        <v>13</v>
      </c>
      <c r="C2066" s="1">
        <v>46152.293379629627</v>
      </c>
      <c r="D2066" s="1">
        <v>46202.015277777777</v>
      </c>
      <c r="E2066" s="2">
        <f t="shared" si="32"/>
        <v>49.721898148149194</v>
      </c>
    </row>
    <row r="2067" spans="1:5" x14ac:dyDescent="0.25">
      <c r="A2067" t="s">
        <v>42</v>
      </c>
      <c r="B2067" t="s">
        <v>19</v>
      </c>
      <c r="C2067" s="1">
        <v>45954.767604166656</v>
      </c>
      <c r="D2067" s="1">
        <v>46001.208333333343</v>
      </c>
      <c r="E2067" s="2">
        <f t="shared" si="32"/>
        <v>46.440729166686651</v>
      </c>
    </row>
    <row r="2068" spans="1:5" x14ac:dyDescent="0.25">
      <c r="A2068" t="s">
        <v>34</v>
      </c>
      <c r="B2068" t="s">
        <v>13</v>
      </c>
      <c r="C2068" s="1">
        <v>46092.71597222222</v>
      </c>
      <c r="D2068" s="1">
        <v>46132.469444444447</v>
      </c>
      <c r="E2068" s="2">
        <f t="shared" si="32"/>
        <v>39.753472222226264</v>
      </c>
    </row>
    <row r="2069" spans="1:5" x14ac:dyDescent="0.25">
      <c r="A2069" t="s">
        <v>13</v>
      </c>
      <c r="B2069" t="s">
        <v>8</v>
      </c>
      <c r="C2069" s="1">
        <v>46159.385000000002</v>
      </c>
      <c r="D2069" s="1">
        <v>46183.118750000001</v>
      </c>
      <c r="E2069" s="2">
        <f t="shared" si="32"/>
        <v>23.733749999999418</v>
      </c>
    </row>
    <row r="2070" spans="1:5" x14ac:dyDescent="0.25">
      <c r="A2070" t="s">
        <v>11</v>
      </c>
      <c r="B2070" t="s">
        <v>21</v>
      </c>
      <c r="C2070" s="1">
        <v>45955.069444444453</v>
      </c>
      <c r="D2070" s="1">
        <v>45965.720833333333</v>
      </c>
      <c r="E2070" s="2">
        <f t="shared" si="32"/>
        <v>10.651388888880319</v>
      </c>
    </row>
    <row r="2071" spans="1:5" x14ac:dyDescent="0.25">
      <c r="A2071" t="s">
        <v>34</v>
      </c>
      <c r="B2071" t="s">
        <v>13</v>
      </c>
      <c r="C2071" s="1">
        <v>46034.327314814807</v>
      </c>
      <c r="D2071" s="1">
        <v>46060.929166666669</v>
      </c>
      <c r="E2071" s="2">
        <f t="shared" si="32"/>
        <v>26.601851851861284</v>
      </c>
    </row>
    <row r="2072" spans="1:5" x14ac:dyDescent="0.25">
      <c r="A2072" t="s">
        <v>22</v>
      </c>
      <c r="B2072" t="s">
        <v>19</v>
      </c>
      <c r="C2072" s="1">
        <v>45679.163194444453</v>
      </c>
      <c r="D2072" s="1">
        <v>45755.558333333327</v>
      </c>
      <c r="E2072" s="2">
        <f t="shared" si="32"/>
        <v>76.395138888874499</v>
      </c>
    </row>
    <row r="2073" spans="1:5" x14ac:dyDescent="0.25">
      <c r="A2073" t="s">
        <v>15</v>
      </c>
      <c r="B2073" t="s">
        <v>38</v>
      </c>
      <c r="C2073" s="1">
        <v>46183.125694444447</v>
      </c>
      <c r="D2073" s="1">
        <v>46240.75277777778</v>
      </c>
      <c r="E2073" s="2">
        <f t="shared" si="32"/>
        <v>57.627083333332848</v>
      </c>
    </row>
    <row r="2074" spans="1:5" x14ac:dyDescent="0.25">
      <c r="A2074" t="s">
        <v>34</v>
      </c>
      <c r="B2074" t="s">
        <v>13</v>
      </c>
      <c r="C2074" s="1">
        <v>46153.245787037027</v>
      </c>
      <c r="D2074" s="1">
        <v>46179.444444444453</v>
      </c>
      <c r="E2074" s="2">
        <f t="shared" si="32"/>
        <v>26.198657407425344</v>
      </c>
    </row>
    <row r="2075" spans="1:5" x14ac:dyDescent="0.25">
      <c r="A2075" t="s">
        <v>11</v>
      </c>
      <c r="B2075" t="s">
        <v>21</v>
      </c>
      <c r="C2075" s="1">
        <v>46178.29791666667</v>
      </c>
      <c r="D2075" s="1">
        <v>46190.208333333343</v>
      </c>
      <c r="E2075" s="2">
        <f t="shared" si="32"/>
        <v>11.910416666672972</v>
      </c>
    </row>
    <row r="2076" spans="1:5" x14ac:dyDescent="0.25">
      <c r="A2076" t="s">
        <v>22</v>
      </c>
      <c r="B2076" t="s">
        <v>53</v>
      </c>
      <c r="C2076" s="1">
        <v>45665.796157407407</v>
      </c>
      <c r="D2076" s="1">
        <v>45734.253425925926</v>
      </c>
      <c r="E2076" s="2">
        <f t="shared" si="32"/>
        <v>68.457268518519413</v>
      </c>
    </row>
    <row r="2077" spans="1:5" x14ac:dyDescent="0.25">
      <c r="A2077" t="s">
        <v>15</v>
      </c>
      <c r="B2077" t="s">
        <v>13</v>
      </c>
      <c r="C2077" s="1">
        <v>45988.254166666673</v>
      </c>
      <c r="D2077" s="1">
        <v>46025.690972222219</v>
      </c>
      <c r="E2077" s="2">
        <f t="shared" si="32"/>
        <v>37.436805555546016</v>
      </c>
    </row>
    <row r="2078" spans="1:5" x14ac:dyDescent="0.25">
      <c r="A2078" t="s">
        <v>15</v>
      </c>
      <c r="B2078" t="s">
        <v>18</v>
      </c>
      <c r="C2078" s="1">
        <v>46232.95076388889</v>
      </c>
      <c r="D2078" s="1">
        <v>46272.626388888893</v>
      </c>
      <c r="E2078" s="2">
        <f t="shared" si="32"/>
        <v>39.675625000003492</v>
      </c>
    </row>
    <row r="2079" spans="1:5" x14ac:dyDescent="0.25">
      <c r="A2079" t="s">
        <v>40</v>
      </c>
      <c r="B2079" t="s">
        <v>37</v>
      </c>
      <c r="C2079" s="1">
        <v>45876.970833333333</v>
      </c>
      <c r="D2079" s="1">
        <v>45889.158333333333</v>
      </c>
      <c r="E2079" s="2">
        <f t="shared" si="32"/>
        <v>12.1875</v>
      </c>
    </row>
    <row r="2080" spans="1:5" x14ac:dyDescent="0.25">
      <c r="A2080" t="s">
        <v>22</v>
      </c>
      <c r="B2080" t="s">
        <v>19</v>
      </c>
      <c r="C2080" s="1">
        <v>45733.453414351847</v>
      </c>
      <c r="D2080" s="1">
        <v>45815.25</v>
      </c>
      <c r="E2080" s="2">
        <f t="shared" si="32"/>
        <v>81.796585648153268</v>
      </c>
    </row>
    <row r="2081" spans="1:5" x14ac:dyDescent="0.25">
      <c r="A2081" t="s">
        <v>22</v>
      </c>
      <c r="B2081" t="s">
        <v>14</v>
      </c>
      <c r="C2081" s="1">
        <v>45775.8749537037</v>
      </c>
      <c r="D2081" s="1">
        <v>45822.563888888893</v>
      </c>
      <c r="E2081" s="2">
        <f t="shared" si="32"/>
        <v>46.688935185193259</v>
      </c>
    </row>
    <row r="2082" spans="1:5" x14ac:dyDescent="0.25">
      <c r="A2082" t="s">
        <v>10</v>
      </c>
      <c r="B2082" t="s">
        <v>11</v>
      </c>
      <c r="C2082" s="1">
        <v>45934.120833333327</v>
      </c>
      <c r="D2082" s="1">
        <v>45966.32916666667</v>
      </c>
      <c r="E2082" s="2">
        <f t="shared" si="32"/>
        <v>32.208333333343035</v>
      </c>
    </row>
    <row r="2083" spans="1:5" x14ac:dyDescent="0.25">
      <c r="A2083" t="s">
        <v>15</v>
      </c>
      <c r="B2083" t="s">
        <v>13</v>
      </c>
      <c r="C2083" s="1">
        <v>46114.436111111107</v>
      </c>
      <c r="D2083" s="1">
        <v>46152.242361111108</v>
      </c>
      <c r="E2083" s="2">
        <f t="shared" si="32"/>
        <v>37.806250000001455</v>
      </c>
    </row>
    <row r="2084" spans="1:5" x14ac:dyDescent="0.25">
      <c r="A2084" t="s">
        <v>18</v>
      </c>
      <c r="B2084" t="s">
        <v>27</v>
      </c>
      <c r="C2084" s="1">
        <v>45704.913194444453</v>
      </c>
      <c r="D2084" s="1">
        <v>45778.336805555547</v>
      </c>
      <c r="E2084" s="2">
        <f t="shared" si="32"/>
        <v>73.423611111094942</v>
      </c>
    </row>
    <row r="2085" spans="1:5" x14ac:dyDescent="0.25">
      <c r="A2085" t="s">
        <v>14</v>
      </c>
      <c r="B2085" t="s">
        <v>22</v>
      </c>
      <c r="C2085" s="1">
        <v>46174.519328703696</v>
      </c>
      <c r="D2085" s="1">
        <v>46231.024305555547</v>
      </c>
      <c r="E2085" s="2">
        <f t="shared" si="32"/>
        <v>56.504976851851097</v>
      </c>
    </row>
    <row r="2086" spans="1:5" x14ac:dyDescent="0.25">
      <c r="A2086" t="s">
        <v>13</v>
      </c>
      <c r="B2086" t="s">
        <v>8</v>
      </c>
      <c r="C2086" s="1">
        <v>46222.043749999997</v>
      </c>
      <c r="D2086" s="1">
        <v>46244.741076388891</v>
      </c>
      <c r="E2086" s="2">
        <f t="shared" si="32"/>
        <v>22.697326388893998</v>
      </c>
    </row>
    <row r="2087" spans="1:5" x14ac:dyDescent="0.25">
      <c r="A2087" t="s">
        <v>13</v>
      </c>
      <c r="B2087" t="s">
        <v>8</v>
      </c>
      <c r="C2087" s="1">
        <v>46151.791666666657</v>
      </c>
      <c r="D2087" s="1">
        <v>46172.038194444453</v>
      </c>
      <c r="E2087" s="2">
        <f t="shared" si="32"/>
        <v>20.246527777795563</v>
      </c>
    </row>
    <row r="2088" spans="1:5" x14ac:dyDescent="0.25">
      <c r="A2088" t="s">
        <v>22</v>
      </c>
      <c r="B2088" t="s">
        <v>14</v>
      </c>
      <c r="C2088" s="1">
        <v>45922.182395833333</v>
      </c>
      <c r="D2088" s="1">
        <v>45966.55</v>
      </c>
      <c r="E2088" s="2">
        <f t="shared" si="32"/>
        <v>44.36760416666948</v>
      </c>
    </row>
    <row r="2089" spans="1:5" x14ac:dyDescent="0.25">
      <c r="A2089" t="s">
        <v>15</v>
      </c>
      <c r="B2089" t="s">
        <v>38</v>
      </c>
      <c r="C2089" s="1">
        <v>46171.495474537027</v>
      </c>
      <c r="D2089" s="1">
        <v>46215.740277777782</v>
      </c>
      <c r="E2089" s="2">
        <f t="shared" si="32"/>
        <v>44.244803240755573</v>
      </c>
    </row>
    <row r="2090" spans="1:5" x14ac:dyDescent="0.25">
      <c r="A2090" t="s">
        <v>15</v>
      </c>
      <c r="B2090" t="s">
        <v>38</v>
      </c>
      <c r="C2090" s="1">
        <v>46218.020833333343</v>
      </c>
      <c r="D2090" s="1">
        <v>46263.936111111107</v>
      </c>
      <c r="E2090" s="2">
        <f t="shared" si="32"/>
        <v>45.915277777763549</v>
      </c>
    </row>
    <row r="2091" spans="1:5" x14ac:dyDescent="0.25">
      <c r="A2091" t="s">
        <v>11</v>
      </c>
      <c r="B2091" t="s">
        <v>19</v>
      </c>
      <c r="C2091" s="1">
        <v>45661.040289351848</v>
      </c>
      <c r="D2091" s="1">
        <v>45752.64166666667</v>
      </c>
      <c r="E2091" s="2">
        <f t="shared" si="32"/>
        <v>91.601377314822457</v>
      </c>
    </row>
    <row r="2092" spans="1:5" x14ac:dyDescent="0.25">
      <c r="A2092" t="s">
        <v>22</v>
      </c>
      <c r="B2092" t="s">
        <v>19</v>
      </c>
      <c r="C2092" s="1">
        <v>45688.381249999999</v>
      </c>
      <c r="D2092" s="1">
        <v>45755.558333333327</v>
      </c>
      <c r="E2092" s="2">
        <f t="shared" si="32"/>
        <v>67.177083333328483</v>
      </c>
    </row>
    <row r="2093" spans="1:5" x14ac:dyDescent="0.25">
      <c r="A2093" t="s">
        <v>46</v>
      </c>
      <c r="B2093" t="s">
        <v>11</v>
      </c>
      <c r="C2093" s="1">
        <v>45809.776886574073</v>
      </c>
      <c r="D2093" s="1">
        <v>45822.258333333331</v>
      </c>
      <c r="E2093" s="2">
        <f t="shared" si="32"/>
        <v>12.481446759258688</v>
      </c>
    </row>
    <row r="2094" spans="1:5" x14ac:dyDescent="0.25">
      <c r="A2094" t="s">
        <v>15</v>
      </c>
      <c r="B2094" t="s">
        <v>13</v>
      </c>
      <c r="C2094" s="1">
        <v>45995.92083333333</v>
      </c>
      <c r="D2094" s="1">
        <v>46032.978472222218</v>
      </c>
      <c r="E2094" s="2">
        <f t="shared" si="32"/>
        <v>37.057638888887595</v>
      </c>
    </row>
    <row r="2095" spans="1:5" x14ac:dyDescent="0.25">
      <c r="A2095" t="s">
        <v>34</v>
      </c>
      <c r="B2095" t="s">
        <v>13</v>
      </c>
      <c r="C2095" s="1">
        <v>46034.324999999997</v>
      </c>
      <c r="D2095" s="1">
        <v>46060.929166666669</v>
      </c>
      <c r="E2095" s="2">
        <f t="shared" si="32"/>
        <v>26.604166666671517</v>
      </c>
    </row>
    <row r="2096" spans="1:5" x14ac:dyDescent="0.25">
      <c r="A2096" t="s">
        <v>22</v>
      </c>
      <c r="B2096" t="s">
        <v>19</v>
      </c>
      <c r="C2096" s="1">
        <v>45719.043969907398</v>
      </c>
      <c r="D2096" s="1">
        <v>45794</v>
      </c>
      <c r="E2096" s="2">
        <f t="shared" si="32"/>
        <v>74.956030092602305</v>
      </c>
    </row>
    <row r="2097" spans="1:5" x14ac:dyDescent="0.25">
      <c r="A2097" t="s">
        <v>15</v>
      </c>
      <c r="B2097" t="s">
        <v>18</v>
      </c>
      <c r="C2097" s="1">
        <v>46210.229861111111</v>
      </c>
      <c r="D2097" s="1">
        <v>46246.305555555547</v>
      </c>
      <c r="E2097" s="2">
        <f t="shared" si="32"/>
        <v>36.075694444436522</v>
      </c>
    </row>
    <row r="2098" spans="1:5" x14ac:dyDescent="0.25">
      <c r="A2098" t="s">
        <v>27</v>
      </c>
      <c r="B2098" t="s">
        <v>18</v>
      </c>
      <c r="C2098" s="1">
        <v>45976.416666666657</v>
      </c>
      <c r="D2098" s="1">
        <v>46031.791666666657</v>
      </c>
      <c r="E2098" s="2">
        <f t="shared" si="32"/>
        <v>55.375</v>
      </c>
    </row>
    <row r="2099" spans="1:5" x14ac:dyDescent="0.25">
      <c r="A2099" t="s">
        <v>15</v>
      </c>
      <c r="B2099" t="s">
        <v>13</v>
      </c>
      <c r="C2099" s="1">
        <v>46241.356944444437</v>
      </c>
      <c r="D2099" s="1">
        <v>46278.374305555553</v>
      </c>
      <c r="E2099" s="2">
        <f t="shared" si="32"/>
        <v>37.01736111111677</v>
      </c>
    </row>
    <row r="2100" spans="1:5" x14ac:dyDescent="0.25">
      <c r="A2100" t="s">
        <v>15</v>
      </c>
      <c r="B2100" t="s">
        <v>18</v>
      </c>
      <c r="C2100" s="1">
        <v>45933.670138888891</v>
      </c>
      <c r="D2100" s="1">
        <v>45983.708333333343</v>
      </c>
      <c r="E2100" s="2">
        <f t="shared" si="32"/>
        <v>50.038194444452529</v>
      </c>
    </row>
    <row r="2101" spans="1:5" x14ac:dyDescent="0.25">
      <c r="A2101" t="s">
        <v>9</v>
      </c>
      <c r="B2101" t="s">
        <v>8</v>
      </c>
      <c r="C2101" s="1">
        <v>46062.116666666669</v>
      </c>
      <c r="D2101" s="1">
        <v>46112.529166666667</v>
      </c>
      <c r="E2101" s="2">
        <f t="shared" si="32"/>
        <v>50.412499999998545</v>
      </c>
    </row>
    <row r="2102" spans="1:5" x14ac:dyDescent="0.25">
      <c r="A2102" t="s">
        <v>8</v>
      </c>
      <c r="B2102" t="s">
        <v>18</v>
      </c>
      <c r="C2102" s="1">
        <v>46157.003472222219</v>
      </c>
      <c r="D2102" s="1">
        <v>46195.804166666669</v>
      </c>
      <c r="E2102" s="2">
        <f t="shared" si="32"/>
        <v>38.800694444449618</v>
      </c>
    </row>
    <row r="2103" spans="1:5" x14ac:dyDescent="0.25">
      <c r="A2103" t="s">
        <v>7</v>
      </c>
      <c r="B2103" t="s">
        <v>8</v>
      </c>
      <c r="C2103" s="1">
        <v>45891.654166666667</v>
      </c>
      <c r="D2103" s="1">
        <v>45938.662499999999</v>
      </c>
      <c r="E2103" s="2">
        <f t="shared" si="32"/>
        <v>47.008333333331393</v>
      </c>
    </row>
    <row r="2104" spans="1:5" x14ac:dyDescent="0.25">
      <c r="A2104" t="s">
        <v>7</v>
      </c>
      <c r="B2104" t="s">
        <v>11</v>
      </c>
      <c r="C2104" s="1">
        <v>46042.912499999999</v>
      </c>
      <c r="D2104" s="1">
        <v>46112.7</v>
      </c>
      <c r="E2104" s="2">
        <f t="shared" si="32"/>
        <v>69.787499999998545</v>
      </c>
    </row>
    <row r="2105" spans="1:5" x14ac:dyDescent="0.25">
      <c r="A2105" t="s">
        <v>22</v>
      </c>
      <c r="B2105" t="s">
        <v>52</v>
      </c>
      <c r="C2105" s="1">
        <v>46179.6875</v>
      </c>
      <c r="D2105" s="1">
        <v>46231.833333333343</v>
      </c>
      <c r="E2105" s="2">
        <f t="shared" si="32"/>
        <v>52.145833333343035</v>
      </c>
    </row>
    <row r="2106" spans="1:5" x14ac:dyDescent="0.25">
      <c r="A2106" t="s">
        <v>7</v>
      </c>
      <c r="B2106" t="s">
        <v>8</v>
      </c>
      <c r="C2106" s="1">
        <v>45843.85</v>
      </c>
      <c r="D2106" s="1">
        <v>45910.25</v>
      </c>
      <c r="E2106" s="2">
        <f t="shared" si="32"/>
        <v>66.400000000001455</v>
      </c>
    </row>
    <row r="2107" spans="1:5" x14ac:dyDescent="0.25">
      <c r="A2107" t="s">
        <v>8</v>
      </c>
      <c r="B2107" t="s">
        <v>7</v>
      </c>
      <c r="C2107" s="1">
        <v>45959.195833333331</v>
      </c>
      <c r="D2107" s="1">
        <v>46016.57916666667</v>
      </c>
      <c r="E2107" s="2">
        <f t="shared" si="32"/>
        <v>57.383333333338669</v>
      </c>
    </row>
    <row r="2108" spans="1:5" x14ac:dyDescent="0.25">
      <c r="A2108" t="s">
        <v>22</v>
      </c>
      <c r="B2108" t="s">
        <v>19</v>
      </c>
      <c r="C2108" s="1">
        <v>45705.035416666673</v>
      </c>
      <c r="D2108" s="1">
        <v>45773.758333333331</v>
      </c>
      <c r="E2108" s="2">
        <f t="shared" si="32"/>
        <v>68.722916666658421</v>
      </c>
    </row>
    <row r="2109" spans="1:5" x14ac:dyDescent="0.25">
      <c r="A2109" t="s">
        <v>11</v>
      </c>
      <c r="B2109" t="s">
        <v>21</v>
      </c>
      <c r="C2109" s="1">
        <v>45723.250694444447</v>
      </c>
      <c r="D2109" s="1">
        <v>45737.39166666667</v>
      </c>
      <c r="E2109" s="2">
        <f t="shared" si="32"/>
        <v>14.140972222223354</v>
      </c>
    </row>
    <row r="2110" spans="1:5" x14ac:dyDescent="0.25">
      <c r="A2110" t="s">
        <v>15</v>
      </c>
      <c r="B2110" t="s">
        <v>6</v>
      </c>
      <c r="C2110" s="1">
        <v>45703</v>
      </c>
      <c r="D2110" s="1">
        <v>45765.916666666657</v>
      </c>
      <c r="E2110" s="2">
        <f t="shared" si="32"/>
        <v>62.916666666656965</v>
      </c>
    </row>
    <row r="2111" spans="1:5" x14ac:dyDescent="0.25">
      <c r="A2111" t="s">
        <v>7</v>
      </c>
      <c r="B2111" t="s">
        <v>8</v>
      </c>
      <c r="C2111" s="1">
        <v>45911.604166666657</v>
      </c>
      <c r="D2111" s="1">
        <v>45948.104166666657</v>
      </c>
      <c r="E2111" s="2">
        <f t="shared" si="32"/>
        <v>36.5</v>
      </c>
    </row>
    <row r="2112" spans="1:5" x14ac:dyDescent="0.25">
      <c r="A2112" t="s">
        <v>12</v>
      </c>
      <c r="B2112" t="s">
        <v>18</v>
      </c>
      <c r="C2112" s="1">
        <v>46036.183333333327</v>
      </c>
      <c r="D2112" s="1">
        <v>46087.666666666657</v>
      </c>
      <c r="E2112" s="2">
        <f t="shared" si="32"/>
        <v>51.483333333329938</v>
      </c>
    </row>
    <row r="2113" spans="1:5" x14ac:dyDescent="0.25">
      <c r="A2113" t="s">
        <v>15</v>
      </c>
      <c r="B2113" t="s">
        <v>16</v>
      </c>
      <c r="C2113" s="1">
        <v>45985.875</v>
      </c>
      <c r="D2113" s="1">
        <v>46001.875</v>
      </c>
      <c r="E2113" s="2">
        <f t="shared" si="32"/>
        <v>16</v>
      </c>
    </row>
    <row r="2114" spans="1:5" x14ac:dyDescent="0.25">
      <c r="A2114" t="s">
        <v>9</v>
      </c>
      <c r="B2114" t="s">
        <v>11</v>
      </c>
      <c r="C2114" s="1">
        <v>45719.585416666669</v>
      </c>
      <c r="D2114" s="1">
        <v>45804.662499999999</v>
      </c>
      <c r="E2114" s="2">
        <f t="shared" ref="E2114:E2177" si="33">D2114-C2114</f>
        <v>85.077083333329938</v>
      </c>
    </row>
    <row r="2115" spans="1:5" x14ac:dyDescent="0.25">
      <c r="A2115" t="s">
        <v>27</v>
      </c>
      <c r="B2115" t="s">
        <v>8</v>
      </c>
      <c r="C2115" s="1">
        <v>45748.5625</v>
      </c>
      <c r="D2115" s="1">
        <v>45809.359027777777</v>
      </c>
      <c r="E2115" s="2">
        <f t="shared" si="33"/>
        <v>60.796527777776646</v>
      </c>
    </row>
    <row r="2116" spans="1:5" x14ac:dyDescent="0.25">
      <c r="A2116" t="s">
        <v>34</v>
      </c>
      <c r="B2116" t="s">
        <v>8</v>
      </c>
      <c r="C2116" s="1">
        <v>46132.408333333333</v>
      </c>
      <c r="D2116" s="1">
        <v>46163.479166666657</v>
      </c>
      <c r="E2116" s="2">
        <f t="shared" si="33"/>
        <v>31.070833333324117</v>
      </c>
    </row>
    <row r="2117" spans="1:5" x14ac:dyDescent="0.25">
      <c r="A2117" t="s">
        <v>15</v>
      </c>
      <c r="B2117" t="s">
        <v>18</v>
      </c>
      <c r="C2117" s="1">
        <v>46157.243194444447</v>
      </c>
      <c r="D2117" s="1">
        <v>46210.369444444441</v>
      </c>
      <c r="E2117" s="2">
        <f t="shared" si="33"/>
        <v>53.126249999993888</v>
      </c>
    </row>
    <row r="2118" spans="1:5" x14ac:dyDescent="0.25">
      <c r="A2118" t="s">
        <v>27</v>
      </c>
      <c r="B2118" t="s">
        <v>8</v>
      </c>
      <c r="C2118" s="1">
        <v>46187.342361111107</v>
      </c>
      <c r="D2118" s="1">
        <v>46249.770833333343</v>
      </c>
      <c r="E2118" s="2">
        <f t="shared" si="33"/>
        <v>62.428472222236451</v>
      </c>
    </row>
    <row r="2119" spans="1:5" x14ac:dyDescent="0.25">
      <c r="A2119" t="s">
        <v>27</v>
      </c>
      <c r="B2119" t="s">
        <v>8</v>
      </c>
      <c r="C2119" s="1">
        <v>46221.931250000001</v>
      </c>
      <c r="D2119" s="1">
        <v>46282.213194444441</v>
      </c>
      <c r="E2119" s="2">
        <f t="shared" si="33"/>
        <v>60.281944444439432</v>
      </c>
    </row>
    <row r="2120" spans="1:5" x14ac:dyDescent="0.25">
      <c r="A2120" t="s">
        <v>15</v>
      </c>
      <c r="B2120" t="s">
        <v>13</v>
      </c>
      <c r="C2120" s="1">
        <v>45805.066666666673</v>
      </c>
      <c r="D2120" s="1">
        <v>45843.511805555558</v>
      </c>
      <c r="E2120" s="2">
        <f t="shared" si="33"/>
        <v>38.445138888884685</v>
      </c>
    </row>
    <row r="2121" spans="1:5" x14ac:dyDescent="0.25">
      <c r="A2121" t="s">
        <v>7</v>
      </c>
      <c r="B2121" t="s">
        <v>13</v>
      </c>
      <c r="C2121" s="1">
        <v>46210.163194444453</v>
      </c>
      <c r="D2121" s="1">
        <v>46243.918055555558</v>
      </c>
      <c r="E2121" s="2">
        <f t="shared" si="33"/>
        <v>33.754861111105129</v>
      </c>
    </row>
    <row r="2122" spans="1:5" x14ac:dyDescent="0.25">
      <c r="A2122" t="s">
        <v>8</v>
      </c>
      <c r="B2122" t="s">
        <v>13</v>
      </c>
      <c r="C2122" s="1">
        <v>46019.675000000003</v>
      </c>
      <c r="D2122" s="1">
        <v>46048.083333333343</v>
      </c>
      <c r="E2122" s="2">
        <f t="shared" si="33"/>
        <v>28.408333333340124</v>
      </c>
    </row>
    <row r="2123" spans="1:5" x14ac:dyDescent="0.25">
      <c r="A2123" t="s">
        <v>15</v>
      </c>
      <c r="B2123" t="s">
        <v>13</v>
      </c>
      <c r="C2123" s="1">
        <v>46148.248611111107</v>
      </c>
      <c r="D2123" s="1">
        <v>46187.042361111111</v>
      </c>
      <c r="E2123" s="2">
        <f t="shared" si="33"/>
        <v>38.793750000004366</v>
      </c>
    </row>
    <row r="2124" spans="1:5" x14ac:dyDescent="0.25">
      <c r="A2124" t="s">
        <v>22</v>
      </c>
      <c r="B2124" t="s">
        <v>14</v>
      </c>
      <c r="C2124" s="1">
        <v>45852.147175925929</v>
      </c>
      <c r="D2124" s="1">
        <v>45896.779166666667</v>
      </c>
      <c r="E2124" s="2">
        <f t="shared" si="33"/>
        <v>44.63199074073782</v>
      </c>
    </row>
    <row r="2125" spans="1:5" x14ac:dyDescent="0.25">
      <c r="A2125" t="s">
        <v>22</v>
      </c>
      <c r="B2125" t="s">
        <v>14</v>
      </c>
      <c r="C2125" s="1">
        <v>46141.989583333343</v>
      </c>
      <c r="D2125" s="1">
        <v>46198.788888888892</v>
      </c>
      <c r="E2125" s="2">
        <f t="shared" si="33"/>
        <v>56.799305555548926</v>
      </c>
    </row>
    <row r="2126" spans="1:5" x14ac:dyDescent="0.25">
      <c r="A2126" t="s">
        <v>34</v>
      </c>
      <c r="B2126" t="s">
        <v>13</v>
      </c>
      <c r="C2126" s="1">
        <v>45992.475694444453</v>
      </c>
      <c r="D2126" s="1">
        <v>46024.011111111111</v>
      </c>
      <c r="E2126" s="2">
        <f t="shared" si="33"/>
        <v>31.535416666658421</v>
      </c>
    </row>
    <row r="2127" spans="1:5" x14ac:dyDescent="0.25">
      <c r="A2127" t="s">
        <v>7</v>
      </c>
      <c r="B2127" t="s">
        <v>8</v>
      </c>
      <c r="C2127" s="1">
        <v>45822.8</v>
      </c>
      <c r="D2127" s="1">
        <v>45875.612500000003</v>
      </c>
      <c r="E2127" s="2">
        <f t="shared" si="33"/>
        <v>52.8125</v>
      </c>
    </row>
    <row r="2128" spans="1:5" x14ac:dyDescent="0.25">
      <c r="A2128" t="s">
        <v>40</v>
      </c>
      <c r="B2128" t="s">
        <v>37</v>
      </c>
      <c r="C2128" s="1">
        <v>45974.5625</v>
      </c>
      <c r="D2128" s="1">
        <v>45992.474999999999</v>
      </c>
      <c r="E2128" s="2">
        <f t="shared" si="33"/>
        <v>17.912499999998545</v>
      </c>
    </row>
    <row r="2129" spans="1:5" x14ac:dyDescent="0.25">
      <c r="A2129" t="s">
        <v>7</v>
      </c>
      <c r="B2129" t="s">
        <v>11</v>
      </c>
      <c r="C2129" s="1">
        <v>45896.14166666667</v>
      </c>
      <c r="D2129" s="1">
        <v>45971.879166666673</v>
      </c>
      <c r="E2129" s="2">
        <f t="shared" si="33"/>
        <v>75.73750000000291</v>
      </c>
    </row>
    <row r="2130" spans="1:5" x14ac:dyDescent="0.25">
      <c r="A2130" t="s">
        <v>15</v>
      </c>
      <c r="B2130" t="s">
        <v>38</v>
      </c>
      <c r="C2130" s="1">
        <v>46136.787268518521</v>
      </c>
      <c r="D2130" s="1">
        <v>46183.841666666667</v>
      </c>
      <c r="E2130" s="2">
        <f t="shared" si="33"/>
        <v>47.054398148145992</v>
      </c>
    </row>
    <row r="2131" spans="1:5" x14ac:dyDescent="0.25">
      <c r="A2131" t="s">
        <v>34</v>
      </c>
      <c r="B2131" t="s">
        <v>13</v>
      </c>
      <c r="C2131" s="1">
        <v>45992.475694444453</v>
      </c>
      <c r="D2131" s="1">
        <v>46024.011111111111</v>
      </c>
      <c r="E2131" s="2">
        <f t="shared" si="33"/>
        <v>31.535416666658421</v>
      </c>
    </row>
    <row r="2132" spans="1:5" x14ac:dyDescent="0.25">
      <c r="A2132" t="s">
        <v>11</v>
      </c>
      <c r="B2132" t="s">
        <v>37</v>
      </c>
      <c r="C2132" s="1">
        <v>46032.837500000001</v>
      </c>
      <c r="D2132" s="1">
        <v>46047.605555555558</v>
      </c>
      <c r="E2132" s="2">
        <f t="shared" si="33"/>
        <v>14.768055555556202</v>
      </c>
    </row>
    <row r="2133" spans="1:5" x14ac:dyDescent="0.25">
      <c r="A2133" t="s">
        <v>10</v>
      </c>
      <c r="B2133" t="s">
        <v>25</v>
      </c>
      <c r="C2133" s="1">
        <v>45791.128333333327</v>
      </c>
      <c r="D2133" s="1">
        <v>45817.912499999999</v>
      </c>
      <c r="E2133" s="2">
        <f t="shared" si="33"/>
        <v>26.784166666671808</v>
      </c>
    </row>
    <row r="2134" spans="1:5" x14ac:dyDescent="0.25">
      <c r="A2134" t="s">
        <v>15</v>
      </c>
      <c r="B2134" t="s">
        <v>13</v>
      </c>
      <c r="C2134" s="1">
        <v>45902.189791666657</v>
      </c>
      <c r="D2134" s="1">
        <v>45942.058333333327</v>
      </c>
      <c r="E2134" s="2">
        <f t="shared" si="33"/>
        <v>39.868541666670353</v>
      </c>
    </row>
    <row r="2135" spans="1:5" x14ac:dyDescent="0.25">
      <c r="A2135" t="s">
        <v>15</v>
      </c>
      <c r="B2135" t="s">
        <v>13</v>
      </c>
      <c r="C2135" s="1">
        <v>45954.487500000003</v>
      </c>
      <c r="D2135" s="1">
        <v>45991.0625</v>
      </c>
      <c r="E2135" s="2">
        <f t="shared" si="33"/>
        <v>36.57499999999709</v>
      </c>
    </row>
    <row r="2136" spans="1:5" x14ac:dyDescent="0.25">
      <c r="A2136" t="s">
        <v>15</v>
      </c>
      <c r="B2136" t="s">
        <v>13</v>
      </c>
      <c r="C2136" s="1">
        <v>45896.65</v>
      </c>
      <c r="D2136" s="1">
        <v>45935.045138888891</v>
      </c>
      <c r="E2136" s="2">
        <f t="shared" si="33"/>
        <v>38.395138888889051</v>
      </c>
    </row>
    <row r="2137" spans="1:5" x14ac:dyDescent="0.25">
      <c r="A2137" t="s">
        <v>11</v>
      </c>
      <c r="B2137" t="s">
        <v>19</v>
      </c>
      <c r="C2137" s="1">
        <v>45666.151828703703</v>
      </c>
      <c r="D2137" s="1">
        <v>45709.966666666667</v>
      </c>
      <c r="E2137" s="2">
        <f t="shared" si="33"/>
        <v>43.814837962963793</v>
      </c>
    </row>
    <row r="2138" spans="1:5" x14ac:dyDescent="0.25">
      <c r="A2138" t="s">
        <v>22</v>
      </c>
      <c r="B2138" t="s">
        <v>19</v>
      </c>
      <c r="C2138" s="1">
        <v>45965.344560185193</v>
      </c>
      <c r="D2138" s="1">
        <v>46015.497349537043</v>
      </c>
      <c r="E2138" s="2">
        <f t="shared" si="33"/>
        <v>50.152789351850515</v>
      </c>
    </row>
    <row r="2139" spans="1:5" x14ac:dyDescent="0.25">
      <c r="A2139" t="s">
        <v>15</v>
      </c>
      <c r="B2139" t="s">
        <v>19</v>
      </c>
      <c r="C2139" s="1">
        <v>46096.20008101852</v>
      </c>
      <c r="D2139" s="1">
        <v>46131.978136574071</v>
      </c>
      <c r="E2139" s="2">
        <f t="shared" si="33"/>
        <v>35.778055555550964</v>
      </c>
    </row>
    <row r="2140" spans="1:5" x14ac:dyDescent="0.25">
      <c r="A2140" t="s">
        <v>22</v>
      </c>
      <c r="B2140" t="s">
        <v>19</v>
      </c>
      <c r="C2140" s="1">
        <v>45768.991863425923</v>
      </c>
      <c r="D2140" s="1">
        <v>45835.866666666669</v>
      </c>
      <c r="E2140" s="2">
        <f t="shared" si="33"/>
        <v>66.874803240745678</v>
      </c>
    </row>
    <row r="2141" spans="1:5" x14ac:dyDescent="0.25">
      <c r="A2141" t="s">
        <v>22</v>
      </c>
      <c r="B2141" t="s">
        <v>36</v>
      </c>
      <c r="C2141" s="1">
        <v>45733.453414351847</v>
      </c>
      <c r="D2141" s="1">
        <v>45782.952372685177</v>
      </c>
      <c r="E2141" s="2">
        <f t="shared" si="33"/>
        <v>49.498958333329938</v>
      </c>
    </row>
    <row r="2142" spans="1:5" x14ac:dyDescent="0.25">
      <c r="A2142" t="s">
        <v>61</v>
      </c>
      <c r="B2142" t="s">
        <v>13</v>
      </c>
      <c r="C2142" s="1">
        <v>45971.212500000001</v>
      </c>
      <c r="D2142" s="1">
        <v>46022.405555555553</v>
      </c>
      <c r="E2142" s="2">
        <f t="shared" si="33"/>
        <v>51.193055555551837</v>
      </c>
    </row>
    <row r="2143" spans="1:5" x14ac:dyDescent="0.25">
      <c r="A2143" t="s">
        <v>61</v>
      </c>
      <c r="B2143" t="s">
        <v>13</v>
      </c>
      <c r="C2143" s="1">
        <v>45971.212500000001</v>
      </c>
      <c r="D2143" s="1">
        <v>46022.405555555553</v>
      </c>
      <c r="E2143" s="2">
        <f t="shared" si="33"/>
        <v>51.193055555551837</v>
      </c>
    </row>
    <row r="2144" spans="1:5" x14ac:dyDescent="0.25">
      <c r="A2144" t="s">
        <v>5</v>
      </c>
      <c r="B2144" t="s">
        <v>8</v>
      </c>
      <c r="C2144" s="1">
        <v>45959.331250000003</v>
      </c>
      <c r="D2144" s="1">
        <v>45993.345833333333</v>
      </c>
      <c r="E2144" s="2">
        <f t="shared" si="33"/>
        <v>34.014583333329938</v>
      </c>
    </row>
    <row r="2145" spans="1:5" x14ac:dyDescent="0.25">
      <c r="A2145" t="s">
        <v>7</v>
      </c>
      <c r="B2145" t="s">
        <v>8</v>
      </c>
      <c r="C2145" s="1">
        <v>45800.645833333343</v>
      </c>
      <c r="D2145" s="1">
        <v>45839.3125</v>
      </c>
      <c r="E2145" s="2">
        <f t="shared" si="33"/>
        <v>38.666666666656965</v>
      </c>
    </row>
    <row r="2146" spans="1:5" x14ac:dyDescent="0.25">
      <c r="A2146" t="s">
        <v>7</v>
      </c>
      <c r="B2146" t="s">
        <v>8</v>
      </c>
      <c r="C2146" s="1">
        <v>45903.083333333343</v>
      </c>
      <c r="D2146" s="1">
        <v>45938.662499999999</v>
      </c>
      <c r="E2146" s="2">
        <f t="shared" si="33"/>
        <v>35.57916666665551</v>
      </c>
    </row>
    <row r="2147" spans="1:5" x14ac:dyDescent="0.25">
      <c r="A2147" t="s">
        <v>7</v>
      </c>
      <c r="B2147" t="s">
        <v>8</v>
      </c>
      <c r="C2147" s="1">
        <v>45940.345833333333</v>
      </c>
      <c r="D2147" s="1">
        <v>45989.166666666657</v>
      </c>
      <c r="E2147" s="2">
        <f t="shared" si="33"/>
        <v>48.820833333324117</v>
      </c>
    </row>
    <row r="2148" spans="1:5" x14ac:dyDescent="0.25">
      <c r="A2148" t="s">
        <v>15</v>
      </c>
      <c r="B2148" t="s">
        <v>13</v>
      </c>
      <c r="C2148" s="1">
        <v>46000.75</v>
      </c>
      <c r="D2148" s="1">
        <v>46040.625</v>
      </c>
      <c r="E2148" s="2">
        <f t="shared" si="33"/>
        <v>39.875</v>
      </c>
    </row>
    <row r="2149" spans="1:5" x14ac:dyDescent="0.25">
      <c r="A2149" t="s">
        <v>7</v>
      </c>
      <c r="B2149" t="s">
        <v>8</v>
      </c>
      <c r="C2149" s="1">
        <v>45891.150694444441</v>
      </c>
      <c r="D2149" s="1">
        <v>45938.662499999999</v>
      </c>
      <c r="E2149" s="2">
        <f t="shared" si="33"/>
        <v>47.511805555557657</v>
      </c>
    </row>
    <row r="2150" spans="1:5" x14ac:dyDescent="0.25">
      <c r="A2150" t="s">
        <v>7</v>
      </c>
      <c r="B2150" t="s">
        <v>8</v>
      </c>
      <c r="C2150" s="1">
        <v>45777.64166666667</v>
      </c>
      <c r="D2150" s="1">
        <v>45818.433333333327</v>
      </c>
      <c r="E2150" s="2">
        <f t="shared" si="33"/>
        <v>40.791666666656965</v>
      </c>
    </row>
    <row r="2151" spans="1:5" x14ac:dyDescent="0.25">
      <c r="A2151" t="s">
        <v>7</v>
      </c>
      <c r="B2151" t="s">
        <v>8</v>
      </c>
      <c r="C2151" s="1">
        <v>45792.854166666657</v>
      </c>
      <c r="D2151" s="1">
        <v>45839.3125</v>
      </c>
      <c r="E2151" s="2">
        <f t="shared" si="33"/>
        <v>46.458333333343035</v>
      </c>
    </row>
    <row r="2152" spans="1:5" x14ac:dyDescent="0.25">
      <c r="A2152" t="s">
        <v>26</v>
      </c>
      <c r="B2152" t="s">
        <v>21</v>
      </c>
      <c r="C2152" s="1">
        <v>46232.533333333333</v>
      </c>
      <c r="D2152" s="1">
        <v>46282.279166666667</v>
      </c>
      <c r="E2152" s="2">
        <f t="shared" si="33"/>
        <v>49.745833333334303</v>
      </c>
    </row>
    <row r="2153" spans="1:5" x14ac:dyDescent="0.25">
      <c r="A2153" t="s">
        <v>5</v>
      </c>
      <c r="B2153" t="s">
        <v>8</v>
      </c>
      <c r="C2153" s="1">
        <v>45958.999305555553</v>
      </c>
      <c r="D2153" s="1">
        <v>45993.345833333333</v>
      </c>
      <c r="E2153" s="2">
        <f t="shared" si="33"/>
        <v>34.346527777779556</v>
      </c>
    </row>
    <row r="2154" spans="1:5" x14ac:dyDescent="0.25">
      <c r="A2154" t="s">
        <v>15</v>
      </c>
      <c r="B2154" t="s">
        <v>6</v>
      </c>
      <c r="C2154" s="1">
        <v>46049.262499999997</v>
      </c>
      <c r="D2154" s="1">
        <v>46126.666666666657</v>
      </c>
      <c r="E2154" s="2">
        <f t="shared" si="33"/>
        <v>77.404166666659876</v>
      </c>
    </row>
    <row r="2155" spans="1:5" x14ac:dyDescent="0.25">
      <c r="A2155" t="s">
        <v>7</v>
      </c>
      <c r="B2155" t="s">
        <v>11</v>
      </c>
      <c r="C2155" s="1">
        <v>46056.737500000003</v>
      </c>
      <c r="D2155" s="1">
        <v>46133.220833333333</v>
      </c>
      <c r="E2155" s="2">
        <f t="shared" si="33"/>
        <v>76.483333333329938</v>
      </c>
    </row>
    <row r="2156" spans="1:5" x14ac:dyDescent="0.25">
      <c r="A2156" t="s">
        <v>12</v>
      </c>
      <c r="B2156" t="s">
        <v>13</v>
      </c>
      <c r="C2156" s="1">
        <v>45692.675000000003</v>
      </c>
      <c r="D2156" s="1">
        <v>45732.752083333333</v>
      </c>
      <c r="E2156" s="2">
        <f t="shared" si="33"/>
        <v>40.077083333329938</v>
      </c>
    </row>
    <row r="2157" spans="1:5" x14ac:dyDescent="0.25">
      <c r="A2157" t="s">
        <v>7</v>
      </c>
      <c r="B2157" t="s">
        <v>8</v>
      </c>
      <c r="C2157" s="1">
        <v>45822.8</v>
      </c>
      <c r="D2157" s="1">
        <v>45875.612500000003</v>
      </c>
      <c r="E2157" s="2">
        <f t="shared" si="33"/>
        <v>52.8125</v>
      </c>
    </row>
    <row r="2158" spans="1:5" x14ac:dyDescent="0.25">
      <c r="A2158" t="s">
        <v>12</v>
      </c>
      <c r="B2158" t="s">
        <v>13</v>
      </c>
      <c r="C2158" s="1">
        <v>46132.84375</v>
      </c>
      <c r="D2158" s="1">
        <v>46178.856944444437</v>
      </c>
      <c r="E2158" s="2">
        <f t="shared" si="33"/>
        <v>46.013194444436522</v>
      </c>
    </row>
    <row r="2159" spans="1:5" x14ac:dyDescent="0.25">
      <c r="A2159" t="s">
        <v>7</v>
      </c>
      <c r="B2159" t="s">
        <v>8</v>
      </c>
      <c r="C2159" s="1">
        <v>45891.654166666667</v>
      </c>
      <c r="D2159" s="1">
        <v>45938.662499999999</v>
      </c>
      <c r="E2159" s="2">
        <f t="shared" si="33"/>
        <v>47.008333333331393</v>
      </c>
    </row>
    <row r="2160" spans="1:5" x14ac:dyDescent="0.25">
      <c r="A2160" t="s">
        <v>7</v>
      </c>
      <c r="B2160" t="s">
        <v>11</v>
      </c>
      <c r="C2160" s="1">
        <v>46056.163194444453</v>
      </c>
      <c r="D2160" s="1">
        <v>46133.220833333333</v>
      </c>
      <c r="E2160" s="2">
        <f t="shared" si="33"/>
        <v>77.057638888880319</v>
      </c>
    </row>
    <row r="2161" spans="1:5" x14ac:dyDescent="0.25">
      <c r="A2161" t="s">
        <v>10</v>
      </c>
      <c r="B2161" t="s">
        <v>11</v>
      </c>
      <c r="C2161" s="1">
        <v>45675.009027777778</v>
      </c>
      <c r="D2161" s="1">
        <v>45706.679166666669</v>
      </c>
      <c r="E2161" s="2">
        <f t="shared" si="33"/>
        <v>31.670138888890506</v>
      </c>
    </row>
    <row r="2162" spans="1:5" x14ac:dyDescent="0.25">
      <c r="A2162" t="s">
        <v>7</v>
      </c>
      <c r="B2162" t="s">
        <v>8</v>
      </c>
      <c r="C2162" s="1">
        <v>45847.875</v>
      </c>
      <c r="D2162" s="1">
        <v>45910.291666666657</v>
      </c>
      <c r="E2162" s="2">
        <f t="shared" si="33"/>
        <v>62.416666666656965</v>
      </c>
    </row>
    <row r="2163" spans="1:5" x14ac:dyDescent="0.25">
      <c r="A2163" t="s">
        <v>16</v>
      </c>
      <c r="B2163" t="s">
        <v>6</v>
      </c>
      <c r="C2163" s="1">
        <v>45714.612500000003</v>
      </c>
      <c r="D2163" s="1">
        <v>45789.354166666657</v>
      </c>
      <c r="E2163" s="2">
        <f t="shared" si="33"/>
        <v>74.741666666654055</v>
      </c>
    </row>
    <row r="2164" spans="1:5" x14ac:dyDescent="0.25">
      <c r="A2164" t="s">
        <v>7</v>
      </c>
      <c r="B2164" t="s">
        <v>8</v>
      </c>
      <c r="C2164" s="1">
        <v>45847.879166666673</v>
      </c>
      <c r="D2164" s="1">
        <v>45910.25</v>
      </c>
      <c r="E2164" s="2">
        <f t="shared" si="33"/>
        <v>62.370833333327028</v>
      </c>
    </row>
    <row r="2165" spans="1:5" x14ac:dyDescent="0.25">
      <c r="A2165" t="s">
        <v>18</v>
      </c>
      <c r="B2165" t="s">
        <v>27</v>
      </c>
      <c r="C2165" s="1">
        <v>45907.779166666667</v>
      </c>
      <c r="D2165" s="1">
        <v>45985.42083333333</v>
      </c>
      <c r="E2165" s="2">
        <f t="shared" si="33"/>
        <v>77.641666666662786</v>
      </c>
    </row>
    <row r="2166" spans="1:5" x14ac:dyDescent="0.25">
      <c r="A2166" t="s">
        <v>5</v>
      </c>
      <c r="B2166" t="s">
        <v>8</v>
      </c>
      <c r="C2166" s="1">
        <v>46101.51666666667</v>
      </c>
      <c r="D2166" s="1">
        <v>46146.737500000003</v>
      </c>
      <c r="E2166" s="2">
        <f t="shared" si="33"/>
        <v>45.220833333332848</v>
      </c>
    </row>
    <row r="2167" spans="1:5" x14ac:dyDescent="0.25">
      <c r="A2167" t="s">
        <v>40</v>
      </c>
      <c r="B2167" t="s">
        <v>37</v>
      </c>
      <c r="C2167" s="1">
        <v>45730.116666666669</v>
      </c>
      <c r="D2167" s="1">
        <v>45742.283333333333</v>
      </c>
      <c r="E2167" s="2">
        <f t="shared" si="33"/>
        <v>12.166666666664241</v>
      </c>
    </row>
    <row r="2168" spans="1:5" x14ac:dyDescent="0.25">
      <c r="A2168" t="s">
        <v>12</v>
      </c>
      <c r="B2168" t="s">
        <v>18</v>
      </c>
      <c r="C2168" s="1">
        <v>45659.754166666673</v>
      </c>
      <c r="D2168" s="1">
        <v>45714.549305555563</v>
      </c>
      <c r="E2168" s="2">
        <f t="shared" si="33"/>
        <v>54.795138888890506</v>
      </c>
    </row>
    <row r="2169" spans="1:5" x14ac:dyDescent="0.25">
      <c r="A2169" t="s">
        <v>5</v>
      </c>
      <c r="B2169" t="s">
        <v>8</v>
      </c>
      <c r="C2169" s="1">
        <v>45952.57916666667</v>
      </c>
      <c r="D2169" s="1">
        <v>45993.345833333333</v>
      </c>
      <c r="E2169" s="2">
        <f t="shared" si="33"/>
        <v>40.766666666662786</v>
      </c>
    </row>
    <row r="2170" spans="1:5" x14ac:dyDescent="0.25">
      <c r="A2170" t="s">
        <v>17</v>
      </c>
      <c r="B2170" t="s">
        <v>18</v>
      </c>
      <c r="C2170" s="1">
        <v>45672.722916666673</v>
      </c>
      <c r="D2170" s="1">
        <v>45723.833333333343</v>
      </c>
      <c r="E2170" s="2">
        <f t="shared" si="33"/>
        <v>51.110416666670062</v>
      </c>
    </row>
    <row r="2171" spans="1:5" x14ac:dyDescent="0.25">
      <c r="A2171" t="s">
        <v>12</v>
      </c>
      <c r="B2171" t="s">
        <v>18</v>
      </c>
      <c r="C2171" s="1">
        <v>46056.25277777778</v>
      </c>
      <c r="D2171" s="1">
        <v>46103.675694444442</v>
      </c>
      <c r="E2171" s="2">
        <f t="shared" si="33"/>
        <v>47.422916666662786</v>
      </c>
    </row>
    <row r="2172" spans="1:5" x14ac:dyDescent="0.25">
      <c r="A2172" t="s">
        <v>15</v>
      </c>
      <c r="B2172" t="s">
        <v>13</v>
      </c>
      <c r="C2172" s="1">
        <v>45959.658333333333</v>
      </c>
      <c r="D2172" s="1">
        <v>45998.316666666673</v>
      </c>
      <c r="E2172" s="2">
        <f t="shared" si="33"/>
        <v>38.658333333340124</v>
      </c>
    </row>
    <row r="2173" spans="1:5" x14ac:dyDescent="0.25">
      <c r="A2173" t="s">
        <v>11</v>
      </c>
      <c r="B2173" t="s">
        <v>37</v>
      </c>
      <c r="C2173" s="1">
        <v>45701.231064814812</v>
      </c>
      <c r="D2173" s="1">
        <v>45721.32916666667</v>
      </c>
      <c r="E2173" s="2">
        <f t="shared" si="33"/>
        <v>20.098101851857791</v>
      </c>
    </row>
    <row r="2174" spans="1:5" x14ac:dyDescent="0.25">
      <c r="A2174" t="s">
        <v>12</v>
      </c>
      <c r="B2174" t="s">
        <v>13</v>
      </c>
      <c r="C2174" s="1">
        <v>46110.625</v>
      </c>
      <c r="D2174" s="1">
        <v>46166.750694444447</v>
      </c>
      <c r="E2174" s="2">
        <f t="shared" si="33"/>
        <v>56.125694444446708</v>
      </c>
    </row>
    <row r="2175" spans="1:5" x14ac:dyDescent="0.25">
      <c r="A2175" t="s">
        <v>12</v>
      </c>
      <c r="B2175" t="s">
        <v>18</v>
      </c>
      <c r="C2175" s="1">
        <v>45715.003472222219</v>
      </c>
      <c r="D2175" s="1">
        <v>45770.936805555553</v>
      </c>
      <c r="E2175" s="2">
        <f t="shared" si="33"/>
        <v>55.933333333334303</v>
      </c>
    </row>
    <row r="2176" spans="1:5" x14ac:dyDescent="0.25">
      <c r="A2176" t="s">
        <v>12</v>
      </c>
      <c r="B2176" t="s">
        <v>13</v>
      </c>
      <c r="C2176" s="1">
        <v>45871.95</v>
      </c>
      <c r="D2176" s="1">
        <v>45921.675000000003</v>
      </c>
      <c r="E2176" s="2">
        <f t="shared" si="33"/>
        <v>49.725000000005821</v>
      </c>
    </row>
    <row r="2177" spans="1:5" x14ac:dyDescent="0.25">
      <c r="A2177" t="s">
        <v>5</v>
      </c>
      <c r="B2177" t="s">
        <v>8</v>
      </c>
      <c r="C2177" s="1">
        <v>46101.51666666667</v>
      </c>
      <c r="D2177" s="1">
        <v>46146.737500000003</v>
      </c>
      <c r="E2177" s="2">
        <f t="shared" si="33"/>
        <v>45.220833333332848</v>
      </c>
    </row>
    <row r="2178" spans="1:5" x14ac:dyDescent="0.25">
      <c r="A2178" t="s">
        <v>15</v>
      </c>
      <c r="B2178" t="s">
        <v>18</v>
      </c>
      <c r="C2178" s="1">
        <v>45706.199305555558</v>
      </c>
      <c r="D2178" s="1">
        <v>45757.104166666657</v>
      </c>
      <c r="E2178" s="2">
        <f t="shared" ref="E2178:E2241" si="34">D2178-C2178</f>
        <v>50.904861111099308</v>
      </c>
    </row>
    <row r="2179" spans="1:5" x14ac:dyDescent="0.25">
      <c r="A2179" t="s">
        <v>7</v>
      </c>
      <c r="B2179" t="s">
        <v>8</v>
      </c>
      <c r="C2179" s="1">
        <v>45920.587500000001</v>
      </c>
      <c r="D2179" s="1">
        <v>45965.662499999999</v>
      </c>
      <c r="E2179" s="2">
        <f t="shared" si="34"/>
        <v>45.07499999999709</v>
      </c>
    </row>
    <row r="2180" spans="1:5" x14ac:dyDescent="0.25">
      <c r="A2180" t="s">
        <v>7</v>
      </c>
      <c r="B2180" t="s">
        <v>8</v>
      </c>
      <c r="C2180" s="1">
        <v>45882.166666666657</v>
      </c>
      <c r="D2180" s="1">
        <v>45938.662499999999</v>
      </c>
      <c r="E2180" s="2">
        <f t="shared" si="34"/>
        <v>56.495833333341579</v>
      </c>
    </row>
    <row r="2181" spans="1:5" x14ac:dyDescent="0.25">
      <c r="A2181" t="s">
        <v>17</v>
      </c>
      <c r="B2181" t="s">
        <v>18</v>
      </c>
      <c r="C2181" s="1">
        <v>45777.75</v>
      </c>
      <c r="D2181" s="1">
        <v>45832.666666666657</v>
      </c>
      <c r="E2181" s="2">
        <f t="shared" si="34"/>
        <v>54.916666666656965</v>
      </c>
    </row>
    <row r="2182" spans="1:5" x14ac:dyDescent="0.25">
      <c r="A2182" t="s">
        <v>12</v>
      </c>
      <c r="B2182" t="s">
        <v>13</v>
      </c>
      <c r="C2182" s="1">
        <v>45764.756944444453</v>
      </c>
      <c r="D2182" s="1">
        <v>45811.083333333343</v>
      </c>
      <c r="E2182" s="2">
        <f t="shared" si="34"/>
        <v>46.326388888890506</v>
      </c>
    </row>
    <row r="2183" spans="1:5" x14ac:dyDescent="0.25">
      <c r="A2183" t="s">
        <v>13</v>
      </c>
      <c r="B2183" t="s">
        <v>8</v>
      </c>
      <c r="C2183" s="1">
        <v>45842.881944444453</v>
      </c>
      <c r="D2183" s="1">
        <v>45872.79791666667</v>
      </c>
      <c r="E2183" s="2">
        <f t="shared" si="34"/>
        <v>29.915972222217533</v>
      </c>
    </row>
    <row r="2184" spans="1:5" x14ac:dyDescent="0.25">
      <c r="A2184" t="s">
        <v>9</v>
      </c>
      <c r="B2184" t="s">
        <v>8</v>
      </c>
      <c r="C2184" s="1">
        <v>45791.5</v>
      </c>
      <c r="D2184" s="1">
        <v>45833.520833333343</v>
      </c>
      <c r="E2184" s="2">
        <f t="shared" si="34"/>
        <v>42.020833333343035</v>
      </c>
    </row>
    <row r="2185" spans="1:5" x14ac:dyDescent="0.25">
      <c r="A2185" t="s">
        <v>22</v>
      </c>
      <c r="B2185" t="s">
        <v>19</v>
      </c>
      <c r="C2185" s="1">
        <v>45908.334918981483</v>
      </c>
      <c r="D2185" s="1">
        <v>45961.661469907413</v>
      </c>
      <c r="E2185" s="2">
        <f t="shared" si="34"/>
        <v>53.326550925929041</v>
      </c>
    </row>
    <row r="2186" spans="1:5" x14ac:dyDescent="0.25">
      <c r="A2186" t="s">
        <v>5</v>
      </c>
      <c r="B2186" t="s">
        <v>8</v>
      </c>
      <c r="C2186" s="1">
        <v>46113.60833333333</v>
      </c>
      <c r="D2186" s="1">
        <v>46155.262499999997</v>
      </c>
      <c r="E2186" s="2">
        <f t="shared" si="34"/>
        <v>41.654166666667152</v>
      </c>
    </row>
    <row r="2187" spans="1:5" x14ac:dyDescent="0.25">
      <c r="A2187" t="s">
        <v>28</v>
      </c>
      <c r="B2187" t="s">
        <v>30</v>
      </c>
      <c r="C2187" s="1">
        <v>45877.856944444437</v>
      </c>
      <c r="D2187" s="1">
        <v>45933.333333333343</v>
      </c>
      <c r="E2187" s="2">
        <f t="shared" si="34"/>
        <v>55.476388888906513</v>
      </c>
    </row>
    <row r="2188" spans="1:5" x14ac:dyDescent="0.25">
      <c r="A2188" t="s">
        <v>8</v>
      </c>
      <c r="B2188" t="s">
        <v>27</v>
      </c>
      <c r="C2188" s="1">
        <v>45953.440972222219</v>
      </c>
      <c r="D2188" s="1">
        <v>45995.965277777781</v>
      </c>
      <c r="E2188" s="2">
        <f t="shared" si="34"/>
        <v>42.524305555562023</v>
      </c>
    </row>
    <row r="2189" spans="1:5" x14ac:dyDescent="0.25">
      <c r="A2189" t="s">
        <v>8</v>
      </c>
      <c r="B2189" t="s">
        <v>27</v>
      </c>
      <c r="C2189" s="1">
        <v>45939.04583333333</v>
      </c>
      <c r="D2189" s="1">
        <v>45979.347222222219</v>
      </c>
      <c r="E2189" s="2">
        <f t="shared" si="34"/>
        <v>40.301388888889051</v>
      </c>
    </row>
    <row r="2190" spans="1:5" x14ac:dyDescent="0.25">
      <c r="A2190" t="s">
        <v>15</v>
      </c>
      <c r="B2190" t="s">
        <v>19</v>
      </c>
      <c r="C2190" s="1">
        <v>45817.509652777779</v>
      </c>
      <c r="D2190" s="1">
        <v>45857.891412037039</v>
      </c>
      <c r="E2190" s="2">
        <f t="shared" si="34"/>
        <v>40.381759259260434</v>
      </c>
    </row>
    <row r="2191" spans="1:5" x14ac:dyDescent="0.25">
      <c r="A2191" t="s">
        <v>15</v>
      </c>
      <c r="B2191" t="s">
        <v>20</v>
      </c>
      <c r="C2191" s="1">
        <v>46232.020833333343</v>
      </c>
      <c r="D2191" s="1">
        <v>46276.762499999997</v>
      </c>
      <c r="E2191" s="2">
        <f t="shared" si="34"/>
        <v>44.741666666654055</v>
      </c>
    </row>
    <row r="2192" spans="1:5" x14ac:dyDescent="0.25">
      <c r="A2192" t="s">
        <v>34</v>
      </c>
      <c r="B2192" t="s">
        <v>13</v>
      </c>
      <c r="C2192" s="1">
        <v>45970.10833333333</v>
      </c>
      <c r="D2192" s="1">
        <v>45995.737500000003</v>
      </c>
      <c r="E2192" s="2">
        <f t="shared" si="34"/>
        <v>25.629166666672972</v>
      </c>
    </row>
    <row r="2193" spans="1:5" x14ac:dyDescent="0.25">
      <c r="A2193" t="s">
        <v>11</v>
      </c>
      <c r="B2193" t="s">
        <v>37</v>
      </c>
      <c r="C2193" s="1">
        <v>45749.81527777778</v>
      </c>
      <c r="D2193" s="1">
        <v>45762.925000000003</v>
      </c>
      <c r="E2193" s="2">
        <f t="shared" si="34"/>
        <v>13.109722222223354</v>
      </c>
    </row>
    <row r="2194" spans="1:5" x14ac:dyDescent="0.25">
      <c r="A2194" t="s">
        <v>16</v>
      </c>
      <c r="B2194" t="s">
        <v>13</v>
      </c>
      <c r="C2194" s="1">
        <v>45933.991666666669</v>
      </c>
      <c r="D2194" s="1">
        <v>45978.833333333343</v>
      </c>
      <c r="E2194" s="2">
        <f t="shared" si="34"/>
        <v>44.841666666674428</v>
      </c>
    </row>
    <row r="2195" spans="1:5" x14ac:dyDescent="0.25">
      <c r="A2195" t="s">
        <v>7</v>
      </c>
      <c r="B2195" t="s">
        <v>8</v>
      </c>
      <c r="C2195" s="1">
        <v>45800.645833333343</v>
      </c>
      <c r="D2195" s="1">
        <v>45839.3125</v>
      </c>
      <c r="E2195" s="2">
        <f t="shared" si="34"/>
        <v>38.666666666656965</v>
      </c>
    </row>
    <row r="2196" spans="1:5" x14ac:dyDescent="0.25">
      <c r="A2196" t="s">
        <v>5</v>
      </c>
      <c r="B2196" t="s">
        <v>8</v>
      </c>
      <c r="C2196" s="1">
        <v>46088.612500000003</v>
      </c>
      <c r="D2196" s="1">
        <v>46141.354166666657</v>
      </c>
      <c r="E2196" s="2">
        <f t="shared" si="34"/>
        <v>52.741666666654055</v>
      </c>
    </row>
    <row r="2197" spans="1:5" x14ac:dyDescent="0.25">
      <c r="A2197" t="s">
        <v>5</v>
      </c>
      <c r="B2197" t="s">
        <v>8</v>
      </c>
      <c r="C2197" s="1">
        <v>46049.5</v>
      </c>
      <c r="D2197" s="1">
        <v>46091.345833333333</v>
      </c>
      <c r="E2197" s="2">
        <f t="shared" si="34"/>
        <v>41.845833333332848</v>
      </c>
    </row>
    <row r="2198" spans="1:5" x14ac:dyDescent="0.25">
      <c r="A2198" t="s">
        <v>7</v>
      </c>
      <c r="B2198" t="s">
        <v>8</v>
      </c>
      <c r="C2198" s="1">
        <v>45847.879166666673</v>
      </c>
      <c r="D2198" s="1">
        <v>45910.25</v>
      </c>
      <c r="E2198" s="2">
        <f t="shared" si="34"/>
        <v>62.370833333327028</v>
      </c>
    </row>
    <row r="2199" spans="1:5" x14ac:dyDescent="0.25">
      <c r="A2199" t="s">
        <v>11</v>
      </c>
      <c r="B2199" t="s">
        <v>37</v>
      </c>
      <c r="C2199" s="1">
        <v>45888.908912037034</v>
      </c>
      <c r="D2199" s="1">
        <v>45902.29583333333</v>
      </c>
      <c r="E2199" s="2">
        <f t="shared" si="34"/>
        <v>13.38692129629635</v>
      </c>
    </row>
    <row r="2200" spans="1:5" x14ac:dyDescent="0.25">
      <c r="A2200" t="s">
        <v>22</v>
      </c>
      <c r="B2200" t="s">
        <v>14</v>
      </c>
      <c r="C2200" s="1">
        <v>45844.233738425923</v>
      </c>
      <c r="D2200" s="1">
        <v>45889.818055555559</v>
      </c>
      <c r="E2200" s="2">
        <f t="shared" si="34"/>
        <v>45.584317129636474</v>
      </c>
    </row>
    <row r="2201" spans="1:5" x14ac:dyDescent="0.25">
      <c r="A2201" t="s">
        <v>34</v>
      </c>
      <c r="B2201" t="s">
        <v>13</v>
      </c>
      <c r="C2201" s="1">
        <v>45985.14166666667</v>
      </c>
      <c r="D2201" s="1">
        <v>46009.745833333327</v>
      </c>
      <c r="E2201" s="2">
        <f t="shared" si="34"/>
        <v>24.604166666656965</v>
      </c>
    </row>
    <row r="2202" spans="1:5" x14ac:dyDescent="0.25">
      <c r="A2202" t="s">
        <v>11</v>
      </c>
      <c r="B2202" t="s">
        <v>37</v>
      </c>
      <c r="C2202" s="1">
        <v>46110.554166666669</v>
      </c>
      <c r="D2202" s="1">
        <v>46127.342361111107</v>
      </c>
      <c r="E2202" s="2">
        <f t="shared" si="34"/>
        <v>16.788194444437977</v>
      </c>
    </row>
    <row r="2203" spans="1:5" x14ac:dyDescent="0.25">
      <c r="A2203" t="s">
        <v>34</v>
      </c>
      <c r="B2203" t="s">
        <v>13</v>
      </c>
      <c r="C2203" s="1">
        <v>45998.1</v>
      </c>
      <c r="D2203" s="1">
        <v>46030.548611111109</v>
      </c>
      <c r="E2203" s="2">
        <f t="shared" si="34"/>
        <v>32.448611111110949</v>
      </c>
    </row>
    <row r="2204" spans="1:5" x14ac:dyDescent="0.25">
      <c r="A2204" t="s">
        <v>14</v>
      </c>
      <c r="B2204" t="s">
        <v>11</v>
      </c>
      <c r="C2204" s="1">
        <v>45683.375</v>
      </c>
      <c r="D2204" s="1">
        <v>45735.212500000001</v>
      </c>
      <c r="E2204" s="2">
        <f t="shared" si="34"/>
        <v>51.837500000001455</v>
      </c>
    </row>
    <row r="2205" spans="1:5" x14ac:dyDescent="0.25">
      <c r="A2205" t="s">
        <v>16</v>
      </c>
      <c r="B2205" t="s">
        <v>8</v>
      </c>
      <c r="C2205" s="1">
        <v>45687.745833333327</v>
      </c>
      <c r="D2205" s="1">
        <v>45729.704861111109</v>
      </c>
      <c r="E2205" s="2">
        <f t="shared" si="34"/>
        <v>41.959027777782467</v>
      </c>
    </row>
    <row r="2206" spans="1:5" x14ac:dyDescent="0.25">
      <c r="A2206" t="s">
        <v>22</v>
      </c>
      <c r="B2206" t="s">
        <v>19</v>
      </c>
      <c r="C2206" s="1">
        <v>45754.168738425928</v>
      </c>
      <c r="D2206" s="1">
        <v>45816.841666666667</v>
      </c>
      <c r="E2206" s="2">
        <f t="shared" si="34"/>
        <v>62.672928240739566</v>
      </c>
    </row>
    <row r="2207" spans="1:5" x14ac:dyDescent="0.25">
      <c r="A2207" t="s">
        <v>10</v>
      </c>
      <c r="B2207" t="s">
        <v>11</v>
      </c>
      <c r="C2207" s="1">
        <v>45843.467569444438</v>
      </c>
      <c r="D2207" s="1">
        <v>45874.970833333333</v>
      </c>
      <c r="E2207" s="2">
        <f t="shared" si="34"/>
        <v>31.503263888895162</v>
      </c>
    </row>
    <row r="2208" spans="1:5" x14ac:dyDescent="0.25">
      <c r="A2208" t="s">
        <v>14</v>
      </c>
      <c r="B2208" t="s">
        <v>22</v>
      </c>
      <c r="C2208" s="1">
        <v>46167.522048611107</v>
      </c>
      <c r="D2208" s="1">
        <v>46223.777083333327</v>
      </c>
      <c r="E2208" s="2">
        <f t="shared" si="34"/>
        <v>56.255034722220444</v>
      </c>
    </row>
    <row r="2209" spans="1:5" x14ac:dyDescent="0.25">
      <c r="A2209" t="s">
        <v>18</v>
      </c>
      <c r="B2209" t="s">
        <v>27</v>
      </c>
      <c r="C2209" s="1">
        <v>45704.913194444453</v>
      </c>
      <c r="D2209" s="1">
        <v>45778.336805555547</v>
      </c>
      <c r="E2209" s="2">
        <f t="shared" si="34"/>
        <v>73.423611111094942</v>
      </c>
    </row>
    <row r="2210" spans="1:5" x14ac:dyDescent="0.25">
      <c r="A2210" t="s">
        <v>22</v>
      </c>
      <c r="B2210" t="s">
        <v>14</v>
      </c>
      <c r="C2210" s="1">
        <v>45733.027777777781</v>
      </c>
      <c r="D2210" s="1">
        <v>45778.17083333333</v>
      </c>
      <c r="E2210" s="2">
        <f t="shared" si="34"/>
        <v>45.143055555548926</v>
      </c>
    </row>
    <row r="2211" spans="1:5" x14ac:dyDescent="0.25">
      <c r="A2211" t="s">
        <v>5</v>
      </c>
      <c r="B2211" t="s">
        <v>8</v>
      </c>
      <c r="C2211" s="1">
        <v>46101.51666666667</v>
      </c>
      <c r="D2211" s="1">
        <v>46146.737500000003</v>
      </c>
      <c r="E2211" s="2">
        <f t="shared" si="34"/>
        <v>45.220833333332848</v>
      </c>
    </row>
    <row r="2212" spans="1:5" x14ac:dyDescent="0.25">
      <c r="A2212" t="s">
        <v>7</v>
      </c>
      <c r="B2212" t="s">
        <v>11</v>
      </c>
      <c r="C2212" s="1">
        <v>45800.645833333343</v>
      </c>
      <c r="D2212" s="1">
        <v>45880.270833333343</v>
      </c>
      <c r="E2212" s="2">
        <f t="shared" si="34"/>
        <v>79.625</v>
      </c>
    </row>
    <row r="2213" spans="1:5" x14ac:dyDescent="0.25">
      <c r="A2213" t="s">
        <v>5</v>
      </c>
      <c r="B2213" t="s">
        <v>8</v>
      </c>
      <c r="C2213" s="1">
        <v>46049.5</v>
      </c>
      <c r="D2213" s="1">
        <v>46091.345833333333</v>
      </c>
      <c r="E2213" s="2">
        <f t="shared" si="34"/>
        <v>41.845833333332848</v>
      </c>
    </row>
    <row r="2214" spans="1:5" x14ac:dyDescent="0.25">
      <c r="A2214" t="s">
        <v>12</v>
      </c>
      <c r="B2214" t="s">
        <v>13</v>
      </c>
      <c r="C2214" s="1">
        <v>45915.885416666657</v>
      </c>
      <c r="D2214" s="1">
        <v>45968.697222222218</v>
      </c>
      <c r="E2214" s="2">
        <f t="shared" si="34"/>
        <v>52.811805555560568</v>
      </c>
    </row>
    <row r="2215" spans="1:5" x14ac:dyDescent="0.25">
      <c r="A2215" t="s">
        <v>7</v>
      </c>
      <c r="B2215" t="s">
        <v>11</v>
      </c>
      <c r="C2215" s="1">
        <v>45836.792361111111</v>
      </c>
      <c r="D2215" s="1">
        <v>45909.995833333327</v>
      </c>
      <c r="E2215" s="2">
        <f t="shared" si="34"/>
        <v>73.203472222216078</v>
      </c>
    </row>
    <row r="2216" spans="1:5" x14ac:dyDescent="0.25">
      <c r="A2216" t="s">
        <v>7</v>
      </c>
      <c r="B2216" t="s">
        <v>8</v>
      </c>
      <c r="C2216" s="1">
        <v>45777.64166666667</v>
      </c>
      <c r="D2216" s="1">
        <v>45818.433333333327</v>
      </c>
      <c r="E2216" s="2">
        <f t="shared" si="34"/>
        <v>40.791666666656965</v>
      </c>
    </row>
    <row r="2217" spans="1:5" x14ac:dyDescent="0.25">
      <c r="A2217" t="s">
        <v>40</v>
      </c>
      <c r="B2217" t="s">
        <v>37</v>
      </c>
      <c r="C2217" s="1">
        <v>46057.6875</v>
      </c>
      <c r="D2217" s="1">
        <v>46071.635416666657</v>
      </c>
      <c r="E2217" s="2">
        <f t="shared" si="34"/>
        <v>13.947916666656965</v>
      </c>
    </row>
    <row r="2218" spans="1:5" x14ac:dyDescent="0.25">
      <c r="A2218" t="s">
        <v>7</v>
      </c>
      <c r="B2218" t="s">
        <v>20</v>
      </c>
      <c r="C2218" s="1">
        <v>45824.904988425929</v>
      </c>
      <c r="D2218" s="1">
        <v>45889.129166666673</v>
      </c>
      <c r="E2218" s="2">
        <f t="shared" si="34"/>
        <v>64.22417824074364</v>
      </c>
    </row>
    <row r="2219" spans="1:5" x14ac:dyDescent="0.25">
      <c r="A2219" t="s">
        <v>15</v>
      </c>
      <c r="B2219" t="s">
        <v>38</v>
      </c>
      <c r="C2219" s="1">
        <v>46171.477083333331</v>
      </c>
      <c r="D2219" s="1">
        <v>46215.740277777782</v>
      </c>
      <c r="E2219" s="2">
        <f t="shared" si="34"/>
        <v>44.263194444451074</v>
      </c>
    </row>
    <row r="2220" spans="1:5" x14ac:dyDescent="0.25">
      <c r="A2220" t="s">
        <v>41</v>
      </c>
      <c r="B2220" t="s">
        <v>8</v>
      </c>
      <c r="C2220" s="1">
        <v>46193.822916666657</v>
      </c>
      <c r="D2220" s="1">
        <v>46233.649305555547</v>
      </c>
      <c r="E2220" s="2">
        <f t="shared" si="34"/>
        <v>39.826388888890506</v>
      </c>
    </row>
    <row r="2221" spans="1:5" x14ac:dyDescent="0.25">
      <c r="A2221" t="s">
        <v>41</v>
      </c>
      <c r="B2221" t="s">
        <v>8</v>
      </c>
      <c r="C2221" s="1">
        <v>46187.908333333333</v>
      </c>
      <c r="D2221" s="1">
        <v>46225.791666666657</v>
      </c>
      <c r="E2221" s="2">
        <f t="shared" si="34"/>
        <v>37.883333333324117</v>
      </c>
    </row>
    <row r="2222" spans="1:5" x14ac:dyDescent="0.25">
      <c r="A2222" t="s">
        <v>41</v>
      </c>
      <c r="B2222" t="s">
        <v>8</v>
      </c>
      <c r="C2222" s="1">
        <v>46193.822916666657</v>
      </c>
      <c r="D2222" s="1">
        <v>46233.649305555547</v>
      </c>
      <c r="E2222" s="2">
        <f t="shared" si="34"/>
        <v>39.826388888890506</v>
      </c>
    </row>
    <row r="2223" spans="1:5" x14ac:dyDescent="0.25">
      <c r="A2223" t="s">
        <v>41</v>
      </c>
      <c r="B2223" t="s">
        <v>8</v>
      </c>
      <c r="C2223" s="1">
        <v>46193.822916666657</v>
      </c>
      <c r="D2223" s="1">
        <v>46233.649305555547</v>
      </c>
      <c r="E2223" s="2">
        <f t="shared" si="34"/>
        <v>39.826388888890506</v>
      </c>
    </row>
    <row r="2224" spans="1:5" x14ac:dyDescent="0.25">
      <c r="A2224" t="s">
        <v>41</v>
      </c>
      <c r="B2224" t="s">
        <v>8</v>
      </c>
      <c r="C2224" s="1">
        <v>46163.695138888892</v>
      </c>
      <c r="D2224" s="1">
        <v>46203.938194444447</v>
      </c>
      <c r="E2224" s="2">
        <f t="shared" si="34"/>
        <v>40.243055555554747</v>
      </c>
    </row>
    <row r="2225" spans="1:5" x14ac:dyDescent="0.25">
      <c r="A2225" t="s">
        <v>41</v>
      </c>
      <c r="B2225" t="s">
        <v>11</v>
      </c>
      <c r="C2225" s="1">
        <v>46147.180555555547</v>
      </c>
      <c r="D2225" s="1">
        <v>46222.313888888893</v>
      </c>
      <c r="E2225" s="2">
        <f t="shared" si="34"/>
        <v>75.133333333345945</v>
      </c>
    </row>
    <row r="2226" spans="1:5" x14ac:dyDescent="0.25">
      <c r="A2226" t="s">
        <v>22</v>
      </c>
      <c r="B2226" t="s">
        <v>14</v>
      </c>
      <c r="C2226" s="1">
        <v>46114.819444444453</v>
      </c>
      <c r="D2226" s="1">
        <v>46190.75277777778</v>
      </c>
      <c r="E2226" s="2">
        <f t="shared" si="34"/>
        <v>75.933333333327028</v>
      </c>
    </row>
    <row r="2227" spans="1:5" x14ac:dyDescent="0.25">
      <c r="A2227" t="s">
        <v>10</v>
      </c>
      <c r="B2227" t="s">
        <v>11</v>
      </c>
      <c r="C2227" s="1">
        <v>45998.5</v>
      </c>
      <c r="D2227" s="1">
        <v>46028.988888888889</v>
      </c>
      <c r="E2227" s="2">
        <f t="shared" si="34"/>
        <v>30.488888888889051</v>
      </c>
    </row>
    <row r="2228" spans="1:5" x14ac:dyDescent="0.25">
      <c r="A2228" t="s">
        <v>15</v>
      </c>
      <c r="B2228" t="s">
        <v>38</v>
      </c>
      <c r="C2228" s="1">
        <v>46232.95076388889</v>
      </c>
      <c r="D2228" s="1">
        <v>46279.838194444441</v>
      </c>
      <c r="E2228" s="2">
        <f t="shared" si="34"/>
        <v>46.887430555550964</v>
      </c>
    </row>
    <row r="2229" spans="1:5" x14ac:dyDescent="0.25">
      <c r="A2229" t="s">
        <v>22</v>
      </c>
      <c r="B2229" t="s">
        <v>19</v>
      </c>
      <c r="C2229" s="1">
        <v>45705.035416666673</v>
      </c>
      <c r="D2229" s="1">
        <v>45773.758333333331</v>
      </c>
      <c r="E2229" s="2">
        <f t="shared" si="34"/>
        <v>68.722916666658421</v>
      </c>
    </row>
    <row r="2230" spans="1:5" x14ac:dyDescent="0.25">
      <c r="A2230" t="s">
        <v>7</v>
      </c>
      <c r="B2230" t="s">
        <v>20</v>
      </c>
      <c r="C2230" s="1">
        <v>45833.069837962961</v>
      </c>
      <c r="D2230" s="1">
        <v>45889.129166666673</v>
      </c>
      <c r="E2230" s="2">
        <f t="shared" si="34"/>
        <v>56.059328703711799</v>
      </c>
    </row>
    <row r="2231" spans="1:5" x14ac:dyDescent="0.25">
      <c r="A2231" t="s">
        <v>9</v>
      </c>
      <c r="B2231" t="s">
        <v>8</v>
      </c>
      <c r="C2231" s="1">
        <v>46034.708333333343</v>
      </c>
      <c r="D2231" s="1">
        <v>46073.45416666667</v>
      </c>
      <c r="E2231" s="2">
        <f t="shared" si="34"/>
        <v>38.745833333327028</v>
      </c>
    </row>
    <row r="2232" spans="1:5" x14ac:dyDescent="0.25">
      <c r="A2232" t="s">
        <v>5</v>
      </c>
      <c r="B2232" t="s">
        <v>8</v>
      </c>
      <c r="C2232" s="1">
        <v>46115.291666666657</v>
      </c>
      <c r="D2232" s="1">
        <v>46188.845833333333</v>
      </c>
      <c r="E2232" s="2">
        <f t="shared" si="34"/>
        <v>73.554166666675883</v>
      </c>
    </row>
    <row r="2233" spans="1:5" x14ac:dyDescent="0.25">
      <c r="A2233" t="s">
        <v>7</v>
      </c>
      <c r="B2233" t="s">
        <v>11</v>
      </c>
      <c r="C2233" s="1">
        <v>46086.82916666667</v>
      </c>
      <c r="D2233" s="1">
        <v>46161.837500000001</v>
      </c>
      <c r="E2233" s="2">
        <f t="shared" si="34"/>
        <v>75.008333333331393</v>
      </c>
    </row>
    <row r="2234" spans="1:5" x14ac:dyDescent="0.25">
      <c r="A2234" t="s">
        <v>7</v>
      </c>
      <c r="B2234" t="s">
        <v>8</v>
      </c>
      <c r="C2234" s="1">
        <v>45800.645833333343</v>
      </c>
      <c r="D2234" s="1">
        <v>45839.3125</v>
      </c>
      <c r="E2234" s="2">
        <f t="shared" si="34"/>
        <v>38.666666666656965</v>
      </c>
    </row>
    <row r="2235" spans="1:5" x14ac:dyDescent="0.25">
      <c r="A2235" t="s">
        <v>7</v>
      </c>
      <c r="B2235" t="s">
        <v>8</v>
      </c>
      <c r="C2235" s="1">
        <v>45940.345833333333</v>
      </c>
      <c r="D2235" s="1">
        <v>45989.166666666657</v>
      </c>
      <c r="E2235" s="2">
        <f t="shared" si="34"/>
        <v>48.820833333324117</v>
      </c>
    </row>
    <row r="2236" spans="1:5" x14ac:dyDescent="0.25">
      <c r="A2236" t="s">
        <v>28</v>
      </c>
      <c r="B2236" t="s">
        <v>30</v>
      </c>
      <c r="C2236" s="1">
        <v>45871.220138888893</v>
      </c>
      <c r="D2236" s="1">
        <v>45926.7</v>
      </c>
      <c r="E2236" s="2">
        <f t="shared" si="34"/>
        <v>55.479861111103673</v>
      </c>
    </row>
    <row r="2237" spans="1:5" x14ac:dyDescent="0.25">
      <c r="A2237" t="s">
        <v>5</v>
      </c>
      <c r="B2237" t="s">
        <v>8</v>
      </c>
      <c r="C2237" s="1">
        <v>46236.188888888893</v>
      </c>
      <c r="D2237" s="1">
        <v>46278.113888888889</v>
      </c>
      <c r="E2237" s="2">
        <f t="shared" si="34"/>
        <v>41.924999999995634</v>
      </c>
    </row>
    <row r="2238" spans="1:5" x14ac:dyDescent="0.25">
      <c r="A2238" t="s">
        <v>41</v>
      </c>
      <c r="B2238" t="s">
        <v>8</v>
      </c>
      <c r="C2238" s="1">
        <v>46165.728472222218</v>
      </c>
      <c r="D2238" s="1">
        <v>46203.938194444447</v>
      </c>
      <c r="E2238" s="2">
        <f t="shared" si="34"/>
        <v>38.209722222229175</v>
      </c>
    </row>
    <row r="2239" spans="1:5" x14ac:dyDescent="0.25">
      <c r="A2239" t="s">
        <v>41</v>
      </c>
      <c r="B2239" t="s">
        <v>8</v>
      </c>
      <c r="C2239" s="1">
        <v>46193.822916666657</v>
      </c>
      <c r="D2239" s="1">
        <v>46233.649305555547</v>
      </c>
      <c r="E2239" s="2">
        <f t="shared" si="34"/>
        <v>39.826388888890506</v>
      </c>
    </row>
    <row r="2240" spans="1:5" x14ac:dyDescent="0.25">
      <c r="A2240" t="s">
        <v>22</v>
      </c>
      <c r="B2240" t="s">
        <v>51</v>
      </c>
      <c r="C2240" s="1">
        <v>45687.416666666657</v>
      </c>
      <c r="D2240" s="1">
        <v>45759.482638888891</v>
      </c>
      <c r="E2240" s="2">
        <f t="shared" si="34"/>
        <v>72.06597222223354</v>
      </c>
    </row>
    <row r="2241" spans="1:5" x14ac:dyDescent="0.25">
      <c r="A2241" t="s">
        <v>41</v>
      </c>
      <c r="B2241" t="s">
        <v>8</v>
      </c>
      <c r="C2241" s="1">
        <v>46201.175694444442</v>
      </c>
      <c r="D2241" s="1">
        <v>46237.043749999997</v>
      </c>
      <c r="E2241" s="2">
        <f t="shared" si="34"/>
        <v>35.868055555554747</v>
      </c>
    </row>
    <row r="2242" spans="1:5" x14ac:dyDescent="0.25">
      <c r="A2242" t="s">
        <v>22</v>
      </c>
      <c r="B2242" t="s">
        <v>14</v>
      </c>
      <c r="C2242" s="1">
        <v>45666.694444444453</v>
      </c>
      <c r="D2242" s="1">
        <v>45736.569444444453</v>
      </c>
      <c r="E2242" s="2">
        <f t="shared" ref="E2242:E2305" si="35">D2242-C2242</f>
        <v>69.875</v>
      </c>
    </row>
    <row r="2243" spans="1:5" x14ac:dyDescent="0.25">
      <c r="A2243" t="s">
        <v>12</v>
      </c>
      <c r="B2243" t="s">
        <v>18</v>
      </c>
      <c r="C2243" s="1">
        <v>45782.196527777778</v>
      </c>
      <c r="D2243" s="1">
        <v>45847.017361111109</v>
      </c>
      <c r="E2243" s="2">
        <f t="shared" si="35"/>
        <v>64.820833333331393</v>
      </c>
    </row>
    <row r="2244" spans="1:5" x14ac:dyDescent="0.25">
      <c r="A2244" t="s">
        <v>15</v>
      </c>
      <c r="B2244" t="s">
        <v>18</v>
      </c>
      <c r="C2244" s="1">
        <v>45967.545138888891</v>
      </c>
      <c r="D2244" s="1">
        <v>46014.96597222222</v>
      </c>
      <c r="E2244" s="2">
        <f t="shared" si="35"/>
        <v>47.420833333329938</v>
      </c>
    </row>
    <row r="2245" spans="1:5" x14ac:dyDescent="0.25">
      <c r="A2245" t="s">
        <v>10</v>
      </c>
      <c r="B2245" t="s">
        <v>8</v>
      </c>
      <c r="C2245" s="1">
        <v>45727</v>
      </c>
      <c r="D2245" s="1">
        <v>45747.395833333343</v>
      </c>
      <c r="E2245" s="2">
        <f t="shared" si="35"/>
        <v>20.395833333343035</v>
      </c>
    </row>
    <row r="2246" spans="1:5" x14ac:dyDescent="0.25">
      <c r="A2246" t="s">
        <v>34</v>
      </c>
      <c r="B2246" t="s">
        <v>8</v>
      </c>
      <c r="C2246" s="1">
        <v>46089.916666666657</v>
      </c>
      <c r="D2246" s="1">
        <v>46122.645833333343</v>
      </c>
      <c r="E2246" s="2">
        <f t="shared" si="35"/>
        <v>32.729166666686069</v>
      </c>
    </row>
    <row r="2247" spans="1:5" x14ac:dyDescent="0.25">
      <c r="A2247" t="s">
        <v>11</v>
      </c>
      <c r="B2247" t="s">
        <v>37</v>
      </c>
      <c r="C2247" s="1">
        <v>45907.253472222219</v>
      </c>
      <c r="D2247" s="1">
        <v>45924.195833333331</v>
      </c>
      <c r="E2247" s="2">
        <f t="shared" si="35"/>
        <v>16.942361111112405</v>
      </c>
    </row>
    <row r="2248" spans="1:5" x14ac:dyDescent="0.25">
      <c r="A2248" t="s">
        <v>35</v>
      </c>
      <c r="B2248" t="s">
        <v>13</v>
      </c>
      <c r="C2248" s="1">
        <v>46127.95</v>
      </c>
      <c r="D2248" s="1">
        <v>46174.445833333331</v>
      </c>
      <c r="E2248" s="2">
        <f t="shared" si="35"/>
        <v>46.495833333334303</v>
      </c>
    </row>
    <row r="2249" spans="1:5" x14ac:dyDescent="0.25">
      <c r="A2249" t="s">
        <v>28</v>
      </c>
      <c r="B2249" t="s">
        <v>18</v>
      </c>
      <c r="C2249" s="1">
        <v>45890.753472222219</v>
      </c>
      <c r="D2249" s="1">
        <v>45970</v>
      </c>
      <c r="E2249" s="2">
        <f t="shared" si="35"/>
        <v>79.246527777781012</v>
      </c>
    </row>
    <row r="2250" spans="1:5" x14ac:dyDescent="0.25">
      <c r="A2250" t="s">
        <v>5</v>
      </c>
      <c r="B2250" t="s">
        <v>56</v>
      </c>
      <c r="C2250" s="1">
        <v>46093.616666666669</v>
      </c>
      <c r="D2250" s="1">
        <v>46125.1875</v>
      </c>
      <c r="E2250" s="2">
        <f t="shared" si="35"/>
        <v>31.570833333331393</v>
      </c>
    </row>
    <row r="2251" spans="1:5" x14ac:dyDescent="0.25">
      <c r="A2251" t="s">
        <v>7</v>
      </c>
      <c r="B2251" t="s">
        <v>8</v>
      </c>
      <c r="C2251" s="1">
        <v>45875.462500000001</v>
      </c>
      <c r="D2251" s="1">
        <v>45920.2</v>
      </c>
      <c r="E2251" s="2">
        <f t="shared" si="35"/>
        <v>44.737499999995634</v>
      </c>
    </row>
    <row r="2252" spans="1:5" x14ac:dyDescent="0.25">
      <c r="A2252" t="s">
        <v>6</v>
      </c>
      <c r="B2252" t="s">
        <v>8</v>
      </c>
      <c r="C2252" s="1">
        <v>45833.5</v>
      </c>
      <c r="D2252" s="1">
        <v>45876.867361111108</v>
      </c>
      <c r="E2252" s="2">
        <f t="shared" si="35"/>
        <v>43.367361111108039</v>
      </c>
    </row>
    <row r="2253" spans="1:5" x14ac:dyDescent="0.25">
      <c r="A2253" t="s">
        <v>5</v>
      </c>
      <c r="B2253" t="s">
        <v>8</v>
      </c>
      <c r="C2253" s="1">
        <v>46078.916666666657</v>
      </c>
      <c r="D2253" s="1">
        <v>46113.395833333343</v>
      </c>
      <c r="E2253" s="2">
        <f t="shared" si="35"/>
        <v>34.479166666686069</v>
      </c>
    </row>
    <row r="2254" spans="1:5" x14ac:dyDescent="0.25">
      <c r="A2254" t="s">
        <v>7</v>
      </c>
      <c r="B2254" t="s">
        <v>8</v>
      </c>
      <c r="C2254" s="1">
        <v>45785.595833333333</v>
      </c>
      <c r="D2254" s="1">
        <v>45818.433333333327</v>
      </c>
      <c r="E2254" s="2">
        <f t="shared" si="35"/>
        <v>32.837499999994179</v>
      </c>
    </row>
    <row r="2255" spans="1:5" x14ac:dyDescent="0.25">
      <c r="A2255" t="s">
        <v>5</v>
      </c>
      <c r="B2255" t="s">
        <v>8</v>
      </c>
      <c r="C2255" s="1">
        <v>46065.004166666673</v>
      </c>
      <c r="D2255" s="1">
        <v>46099.525000000001</v>
      </c>
      <c r="E2255" s="2">
        <f t="shared" si="35"/>
        <v>34.520833333328483</v>
      </c>
    </row>
    <row r="2256" spans="1:5" x14ac:dyDescent="0.25">
      <c r="A2256" t="s">
        <v>5</v>
      </c>
      <c r="B2256" t="s">
        <v>8</v>
      </c>
      <c r="C2256" s="1">
        <v>46038.558333333327</v>
      </c>
      <c r="D2256" s="1">
        <v>46073.45416666667</v>
      </c>
      <c r="E2256" s="2">
        <f t="shared" si="35"/>
        <v>34.895833333343035</v>
      </c>
    </row>
    <row r="2257" spans="1:5" x14ac:dyDescent="0.25">
      <c r="A2257" t="s">
        <v>15</v>
      </c>
      <c r="B2257" t="s">
        <v>6</v>
      </c>
      <c r="C2257" s="1">
        <v>46041.025000000001</v>
      </c>
      <c r="D2257" s="1">
        <v>46104.8125</v>
      </c>
      <c r="E2257" s="2">
        <f t="shared" si="35"/>
        <v>63.787499999998545</v>
      </c>
    </row>
    <row r="2258" spans="1:5" x14ac:dyDescent="0.25">
      <c r="A2258" t="s">
        <v>11</v>
      </c>
      <c r="B2258" t="s">
        <v>37</v>
      </c>
      <c r="C2258" s="1">
        <v>46088.862500000003</v>
      </c>
      <c r="D2258" s="1">
        <v>46101.335416666669</v>
      </c>
      <c r="E2258" s="2">
        <f t="shared" si="35"/>
        <v>12.472916666665697</v>
      </c>
    </row>
    <row r="2259" spans="1:5" x14ac:dyDescent="0.25">
      <c r="A2259" t="s">
        <v>8</v>
      </c>
      <c r="B2259" t="s">
        <v>6</v>
      </c>
      <c r="C2259" s="1">
        <v>45979.114583333343</v>
      </c>
      <c r="D2259" s="1">
        <v>46046.510416666657</v>
      </c>
      <c r="E2259" s="2">
        <f t="shared" si="35"/>
        <v>67.395833333313931</v>
      </c>
    </row>
    <row r="2260" spans="1:5" x14ac:dyDescent="0.25">
      <c r="A2260" t="s">
        <v>16</v>
      </c>
      <c r="B2260" t="s">
        <v>11</v>
      </c>
      <c r="C2260" s="1">
        <v>46177.07708333333</v>
      </c>
      <c r="D2260" s="1">
        <v>46246.513888888891</v>
      </c>
      <c r="E2260" s="2">
        <f t="shared" si="35"/>
        <v>69.436805555560568</v>
      </c>
    </row>
    <row r="2261" spans="1:5" x14ac:dyDescent="0.25">
      <c r="A2261" t="s">
        <v>15</v>
      </c>
      <c r="B2261" t="s">
        <v>6</v>
      </c>
      <c r="C2261" s="1">
        <v>46101.55</v>
      </c>
      <c r="D2261" s="1">
        <v>46161.55</v>
      </c>
      <c r="E2261" s="2">
        <f t="shared" si="35"/>
        <v>60</v>
      </c>
    </row>
    <row r="2262" spans="1:5" x14ac:dyDescent="0.25">
      <c r="A2262" t="s">
        <v>5</v>
      </c>
      <c r="B2262" t="s">
        <v>8</v>
      </c>
      <c r="C2262" s="1">
        <v>46065.004166666673</v>
      </c>
      <c r="D2262" s="1">
        <v>46099.525000000001</v>
      </c>
      <c r="E2262" s="2">
        <f t="shared" si="35"/>
        <v>34.520833333328483</v>
      </c>
    </row>
    <row r="2263" spans="1:5" x14ac:dyDescent="0.25">
      <c r="A2263" t="s">
        <v>7</v>
      </c>
      <c r="B2263" t="s">
        <v>8</v>
      </c>
      <c r="C2263" s="1">
        <v>45834.537499999999</v>
      </c>
      <c r="D2263" s="1">
        <v>45885.783333333333</v>
      </c>
      <c r="E2263" s="2">
        <f t="shared" si="35"/>
        <v>51.245833333334303</v>
      </c>
    </row>
    <row r="2264" spans="1:5" x14ac:dyDescent="0.25">
      <c r="A2264" t="s">
        <v>7</v>
      </c>
      <c r="B2264" t="s">
        <v>8</v>
      </c>
      <c r="C2264" s="1">
        <v>45940.345833333333</v>
      </c>
      <c r="D2264" s="1">
        <v>45989.166666666657</v>
      </c>
      <c r="E2264" s="2">
        <f t="shared" si="35"/>
        <v>48.820833333324117</v>
      </c>
    </row>
    <row r="2265" spans="1:5" x14ac:dyDescent="0.25">
      <c r="A2265" t="s">
        <v>7</v>
      </c>
      <c r="B2265" t="s">
        <v>8</v>
      </c>
      <c r="C2265" s="1">
        <v>45822.8</v>
      </c>
      <c r="D2265" s="1">
        <v>45875.612500000003</v>
      </c>
      <c r="E2265" s="2">
        <f t="shared" si="35"/>
        <v>52.8125</v>
      </c>
    </row>
    <row r="2266" spans="1:5" x14ac:dyDescent="0.25">
      <c r="A2266" t="s">
        <v>5</v>
      </c>
      <c r="B2266" t="s">
        <v>8</v>
      </c>
      <c r="C2266" s="1">
        <v>46088.612500000003</v>
      </c>
      <c r="D2266" s="1">
        <v>46141.354166666657</v>
      </c>
      <c r="E2266" s="2">
        <f t="shared" si="35"/>
        <v>52.741666666654055</v>
      </c>
    </row>
    <row r="2267" spans="1:5" x14ac:dyDescent="0.25">
      <c r="A2267" t="s">
        <v>22</v>
      </c>
      <c r="B2267" t="s">
        <v>14</v>
      </c>
      <c r="C2267" s="1">
        <v>45748.209074074082</v>
      </c>
      <c r="D2267" s="1">
        <v>45791.824999999997</v>
      </c>
      <c r="E2267" s="2">
        <f t="shared" si="35"/>
        <v>43.61592592591478</v>
      </c>
    </row>
    <row r="2268" spans="1:5" x14ac:dyDescent="0.25">
      <c r="A2268" t="s">
        <v>7</v>
      </c>
      <c r="B2268" t="s">
        <v>13</v>
      </c>
      <c r="C2268" s="1">
        <v>46203.318506944437</v>
      </c>
      <c r="D2268" s="1">
        <v>46258.652777777781</v>
      </c>
      <c r="E2268" s="2">
        <f t="shared" si="35"/>
        <v>55.334270833343908</v>
      </c>
    </row>
    <row r="2269" spans="1:5" x14ac:dyDescent="0.25">
      <c r="A2269" t="s">
        <v>22</v>
      </c>
      <c r="B2269" t="s">
        <v>6</v>
      </c>
      <c r="C2269" s="1">
        <v>45696.828634259262</v>
      </c>
      <c r="D2269" s="1">
        <v>45761.794247685182</v>
      </c>
      <c r="E2269" s="2">
        <f t="shared" si="35"/>
        <v>64.96561342592031</v>
      </c>
    </row>
    <row r="2270" spans="1:5" x14ac:dyDescent="0.25">
      <c r="A2270" t="s">
        <v>7</v>
      </c>
      <c r="B2270" t="s">
        <v>13</v>
      </c>
      <c r="C2270" s="1">
        <v>46244.965115740742</v>
      </c>
      <c r="D2270" s="1">
        <v>46279.498263888891</v>
      </c>
      <c r="E2270" s="2">
        <f t="shared" si="35"/>
        <v>34.53314814814803</v>
      </c>
    </row>
    <row r="2271" spans="1:5" x14ac:dyDescent="0.25">
      <c r="A2271" t="s">
        <v>5</v>
      </c>
      <c r="B2271" t="s">
        <v>8</v>
      </c>
      <c r="C2271" s="1">
        <v>46049.5</v>
      </c>
      <c r="D2271" s="1">
        <v>46091.345833333333</v>
      </c>
      <c r="E2271" s="2">
        <f t="shared" si="35"/>
        <v>41.845833333332848</v>
      </c>
    </row>
    <row r="2272" spans="1:5" x14ac:dyDescent="0.25">
      <c r="A2272" t="s">
        <v>5</v>
      </c>
      <c r="B2272" t="s">
        <v>8</v>
      </c>
      <c r="C2272" s="1">
        <v>46065.004166666673</v>
      </c>
      <c r="D2272" s="1">
        <v>46099.525000000001</v>
      </c>
      <c r="E2272" s="2">
        <f t="shared" si="35"/>
        <v>34.520833333328483</v>
      </c>
    </row>
    <row r="2273" spans="1:5" x14ac:dyDescent="0.25">
      <c r="A2273" t="s">
        <v>22</v>
      </c>
      <c r="B2273" t="s">
        <v>19</v>
      </c>
      <c r="C2273" s="1">
        <v>45947.324699074074</v>
      </c>
      <c r="D2273" s="1">
        <v>45994.358368055553</v>
      </c>
      <c r="E2273" s="2">
        <f t="shared" si="35"/>
        <v>47.033668981479423</v>
      </c>
    </row>
    <row r="2274" spans="1:5" x14ac:dyDescent="0.25">
      <c r="A2274" t="s">
        <v>27</v>
      </c>
      <c r="B2274" t="s">
        <v>20</v>
      </c>
      <c r="C2274" s="1">
        <v>45690.995833333327</v>
      </c>
      <c r="D2274" s="1">
        <v>45763</v>
      </c>
      <c r="E2274" s="2">
        <f t="shared" si="35"/>
        <v>72.004166666672972</v>
      </c>
    </row>
    <row r="2275" spans="1:5" x14ac:dyDescent="0.25">
      <c r="A2275" t="s">
        <v>14</v>
      </c>
      <c r="B2275" t="s">
        <v>22</v>
      </c>
      <c r="C2275" s="1">
        <v>45995.375</v>
      </c>
      <c r="D2275" s="1">
        <v>46051.416666666657</v>
      </c>
      <c r="E2275" s="2">
        <f t="shared" si="35"/>
        <v>56.041666666656965</v>
      </c>
    </row>
    <row r="2276" spans="1:5" x14ac:dyDescent="0.25">
      <c r="A2276" t="s">
        <v>22</v>
      </c>
      <c r="B2276" t="s">
        <v>19</v>
      </c>
      <c r="C2276" s="1">
        <v>45754.168738425928</v>
      </c>
      <c r="D2276" s="1">
        <v>45816.841666666667</v>
      </c>
      <c r="E2276" s="2">
        <f t="shared" si="35"/>
        <v>62.672928240739566</v>
      </c>
    </row>
    <row r="2277" spans="1:5" x14ac:dyDescent="0.25">
      <c r="A2277" t="s">
        <v>15</v>
      </c>
      <c r="B2277" t="s">
        <v>6</v>
      </c>
      <c r="C2277" s="1">
        <v>46136.5</v>
      </c>
      <c r="D2277" s="1">
        <v>46195.237500000003</v>
      </c>
      <c r="E2277" s="2">
        <f t="shared" si="35"/>
        <v>58.73750000000291</v>
      </c>
    </row>
    <row r="2278" spans="1:5" x14ac:dyDescent="0.25">
      <c r="A2278" t="s">
        <v>22</v>
      </c>
      <c r="B2278" t="s">
        <v>14</v>
      </c>
      <c r="C2278" s="1">
        <v>45712.171527777777</v>
      </c>
      <c r="D2278" s="1">
        <v>45756.854166666657</v>
      </c>
      <c r="E2278" s="2">
        <f t="shared" si="35"/>
        <v>44.682638888880319</v>
      </c>
    </row>
    <row r="2279" spans="1:5" x14ac:dyDescent="0.25">
      <c r="A2279" t="s">
        <v>22</v>
      </c>
      <c r="B2279" t="s">
        <v>14</v>
      </c>
      <c r="C2279" s="1">
        <v>45775.8749537037</v>
      </c>
      <c r="D2279" s="1">
        <v>45822.563888888893</v>
      </c>
      <c r="E2279" s="2">
        <f t="shared" si="35"/>
        <v>46.688935185193259</v>
      </c>
    </row>
    <row r="2280" spans="1:5" x14ac:dyDescent="0.25">
      <c r="A2280" t="s">
        <v>7</v>
      </c>
      <c r="B2280" t="s">
        <v>11</v>
      </c>
      <c r="C2280" s="1">
        <v>45828.291666666657</v>
      </c>
      <c r="D2280" s="1">
        <v>45909.995833333327</v>
      </c>
      <c r="E2280" s="2">
        <f t="shared" si="35"/>
        <v>81.704166666670062</v>
      </c>
    </row>
    <row r="2281" spans="1:5" x14ac:dyDescent="0.25">
      <c r="A2281" t="s">
        <v>5</v>
      </c>
      <c r="B2281" t="s">
        <v>8</v>
      </c>
      <c r="C2281" s="1">
        <v>46113.60833333333</v>
      </c>
      <c r="D2281" s="1">
        <v>46155.262499999997</v>
      </c>
      <c r="E2281" s="2">
        <f t="shared" si="35"/>
        <v>41.654166666667152</v>
      </c>
    </row>
    <row r="2282" spans="1:5" x14ac:dyDescent="0.25">
      <c r="A2282" t="s">
        <v>5</v>
      </c>
      <c r="B2282" t="s">
        <v>8</v>
      </c>
      <c r="C2282" s="1">
        <v>46035.520833333343</v>
      </c>
      <c r="D2282" s="1">
        <v>46073.45416666667</v>
      </c>
      <c r="E2282" s="2">
        <f t="shared" si="35"/>
        <v>37.933333333327028</v>
      </c>
    </row>
    <row r="2283" spans="1:5" x14ac:dyDescent="0.25">
      <c r="A2283" t="s">
        <v>7</v>
      </c>
      <c r="B2283" t="s">
        <v>8</v>
      </c>
      <c r="C2283" s="1">
        <v>45792.854166666657</v>
      </c>
      <c r="D2283" s="1">
        <v>45839.333333333343</v>
      </c>
      <c r="E2283" s="2">
        <f t="shared" si="35"/>
        <v>46.479166666686069</v>
      </c>
    </row>
    <row r="2284" spans="1:5" x14ac:dyDescent="0.25">
      <c r="A2284" t="s">
        <v>5</v>
      </c>
      <c r="B2284" t="s">
        <v>8</v>
      </c>
      <c r="C2284" s="1">
        <v>45945.658333333333</v>
      </c>
      <c r="D2284" s="1">
        <v>45993.345833333333</v>
      </c>
      <c r="E2284" s="2">
        <f t="shared" si="35"/>
        <v>47.6875</v>
      </c>
    </row>
    <row r="2285" spans="1:5" x14ac:dyDescent="0.25">
      <c r="A2285" t="s">
        <v>18</v>
      </c>
      <c r="B2285" t="s">
        <v>27</v>
      </c>
      <c r="C2285" s="1">
        <v>45791.520833333343</v>
      </c>
      <c r="D2285" s="1">
        <v>45857.347222222219</v>
      </c>
      <c r="E2285" s="2">
        <f t="shared" si="35"/>
        <v>65.826388888875954</v>
      </c>
    </row>
    <row r="2286" spans="1:5" x14ac:dyDescent="0.25">
      <c r="A2286" t="s">
        <v>22</v>
      </c>
      <c r="B2286" t="s">
        <v>6</v>
      </c>
      <c r="C2286" s="1">
        <v>45768.991863425923</v>
      </c>
      <c r="D2286" s="1">
        <v>45832.004166666673</v>
      </c>
      <c r="E2286" s="2">
        <f t="shared" si="35"/>
        <v>63.012303240750043</v>
      </c>
    </row>
    <row r="2287" spans="1:5" x14ac:dyDescent="0.25">
      <c r="A2287" t="s">
        <v>5</v>
      </c>
      <c r="B2287" t="s">
        <v>6</v>
      </c>
      <c r="C2287" s="1">
        <v>46137.216666666667</v>
      </c>
      <c r="D2287" s="1">
        <v>46206.854166666657</v>
      </c>
      <c r="E2287" s="2">
        <f t="shared" si="35"/>
        <v>69.637499999989814</v>
      </c>
    </row>
    <row r="2288" spans="1:5" x14ac:dyDescent="0.25">
      <c r="A2288" t="s">
        <v>5</v>
      </c>
      <c r="B2288" t="s">
        <v>8</v>
      </c>
      <c r="C2288" s="1">
        <v>45982.8</v>
      </c>
      <c r="D2288" s="1">
        <v>46017.370833333327</v>
      </c>
      <c r="E2288" s="2">
        <f t="shared" si="35"/>
        <v>34.570833333324117</v>
      </c>
    </row>
    <row r="2289" spans="1:5" x14ac:dyDescent="0.25">
      <c r="A2289" t="s">
        <v>5</v>
      </c>
      <c r="B2289" t="s">
        <v>8</v>
      </c>
      <c r="C2289" s="1">
        <v>46243.275000000001</v>
      </c>
      <c r="D2289" s="1">
        <v>46282.215277777781</v>
      </c>
      <c r="E2289" s="2">
        <f t="shared" si="35"/>
        <v>38.940277777779556</v>
      </c>
    </row>
    <row r="2290" spans="1:5" x14ac:dyDescent="0.25">
      <c r="A2290" t="s">
        <v>7</v>
      </c>
      <c r="B2290" t="s">
        <v>8</v>
      </c>
      <c r="C2290" s="1">
        <v>45785.595833333333</v>
      </c>
      <c r="D2290" s="1">
        <v>45818.433333333327</v>
      </c>
      <c r="E2290" s="2">
        <f t="shared" si="35"/>
        <v>32.837499999994179</v>
      </c>
    </row>
    <row r="2291" spans="1:5" x14ac:dyDescent="0.25">
      <c r="A2291" t="s">
        <v>5</v>
      </c>
      <c r="B2291" t="s">
        <v>6</v>
      </c>
      <c r="C2291" s="1">
        <v>46065.004166666673</v>
      </c>
      <c r="D2291" s="1">
        <v>46122.51666666667</v>
      </c>
      <c r="E2291" s="2">
        <f t="shared" si="35"/>
        <v>57.51249999999709</v>
      </c>
    </row>
    <row r="2292" spans="1:5" x14ac:dyDescent="0.25">
      <c r="A2292" t="s">
        <v>7</v>
      </c>
      <c r="B2292" t="s">
        <v>8</v>
      </c>
      <c r="C2292" s="1">
        <v>45843.85</v>
      </c>
      <c r="D2292" s="1">
        <v>45910.25</v>
      </c>
      <c r="E2292" s="2">
        <f t="shared" si="35"/>
        <v>66.400000000001455</v>
      </c>
    </row>
    <row r="2293" spans="1:5" x14ac:dyDescent="0.25">
      <c r="A2293" t="s">
        <v>7</v>
      </c>
      <c r="B2293" t="s">
        <v>11</v>
      </c>
      <c r="C2293" s="1">
        <v>46050.741666666669</v>
      </c>
      <c r="D2293" s="1">
        <v>46133.220833333333</v>
      </c>
      <c r="E2293" s="2">
        <f t="shared" si="35"/>
        <v>82.479166666664241</v>
      </c>
    </row>
    <row r="2294" spans="1:5" x14ac:dyDescent="0.25">
      <c r="A2294" t="s">
        <v>5</v>
      </c>
      <c r="B2294" t="s">
        <v>8</v>
      </c>
      <c r="C2294" s="1">
        <v>45982.8</v>
      </c>
      <c r="D2294" s="1">
        <v>46017.370833333327</v>
      </c>
      <c r="E2294" s="2">
        <f t="shared" si="35"/>
        <v>34.570833333324117</v>
      </c>
    </row>
    <row r="2295" spans="1:5" x14ac:dyDescent="0.25">
      <c r="A2295" t="s">
        <v>5</v>
      </c>
      <c r="B2295" t="s">
        <v>8</v>
      </c>
      <c r="C2295" s="1">
        <v>46243.275000000001</v>
      </c>
      <c r="D2295" s="1">
        <v>46282.215277777781</v>
      </c>
      <c r="E2295" s="2">
        <f t="shared" si="35"/>
        <v>38.940277777779556</v>
      </c>
    </row>
    <row r="2296" spans="1:5" x14ac:dyDescent="0.25">
      <c r="A2296" t="s">
        <v>15</v>
      </c>
      <c r="B2296" t="s">
        <v>18</v>
      </c>
      <c r="C2296" s="1">
        <v>45967.545138888891</v>
      </c>
      <c r="D2296" s="1">
        <v>46014.96597222222</v>
      </c>
      <c r="E2296" s="2">
        <f t="shared" si="35"/>
        <v>47.420833333329938</v>
      </c>
    </row>
    <row r="2297" spans="1:5" x14ac:dyDescent="0.25">
      <c r="A2297" t="s">
        <v>41</v>
      </c>
      <c r="B2297" t="s">
        <v>8</v>
      </c>
      <c r="C2297" s="1">
        <v>46217.678472222222</v>
      </c>
      <c r="D2297" s="1">
        <v>46267.742361111108</v>
      </c>
      <c r="E2297" s="2">
        <f t="shared" si="35"/>
        <v>50.06388888888614</v>
      </c>
    </row>
    <row r="2298" spans="1:5" x14ac:dyDescent="0.25">
      <c r="A2298" t="s">
        <v>41</v>
      </c>
      <c r="B2298" t="s">
        <v>8</v>
      </c>
      <c r="C2298" s="1">
        <v>46187.908333333333</v>
      </c>
      <c r="D2298" s="1">
        <v>46225.5</v>
      </c>
      <c r="E2298" s="2">
        <f t="shared" si="35"/>
        <v>37.591666666667152</v>
      </c>
    </row>
    <row r="2299" spans="1:5" x14ac:dyDescent="0.25">
      <c r="A2299" t="s">
        <v>41</v>
      </c>
      <c r="B2299" t="s">
        <v>8</v>
      </c>
      <c r="C2299" s="1">
        <v>46226.589583333327</v>
      </c>
      <c r="D2299" s="1">
        <v>46267.742361111108</v>
      </c>
      <c r="E2299" s="2">
        <f t="shared" si="35"/>
        <v>41.152777777781012</v>
      </c>
    </row>
    <row r="2300" spans="1:5" x14ac:dyDescent="0.25">
      <c r="A2300" t="s">
        <v>7</v>
      </c>
      <c r="B2300" t="s">
        <v>8</v>
      </c>
      <c r="C2300" s="1">
        <v>45882.166666666657</v>
      </c>
      <c r="D2300" s="1">
        <v>45938.662499999999</v>
      </c>
      <c r="E2300" s="2">
        <f t="shared" si="35"/>
        <v>56.495833333341579</v>
      </c>
    </row>
    <row r="2301" spans="1:5" x14ac:dyDescent="0.25">
      <c r="A2301" t="s">
        <v>7</v>
      </c>
      <c r="B2301" t="s">
        <v>8</v>
      </c>
      <c r="C2301" s="1">
        <v>45891.654166666667</v>
      </c>
      <c r="D2301" s="1">
        <v>45938.662499999999</v>
      </c>
      <c r="E2301" s="2">
        <f t="shared" si="35"/>
        <v>47.008333333331393</v>
      </c>
    </row>
    <row r="2302" spans="1:5" x14ac:dyDescent="0.25">
      <c r="A2302" t="s">
        <v>5</v>
      </c>
      <c r="B2302" t="s">
        <v>8</v>
      </c>
      <c r="C2302" s="1">
        <v>46088.612500000003</v>
      </c>
      <c r="D2302" s="1">
        <v>46141.354166666657</v>
      </c>
      <c r="E2302" s="2">
        <f t="shared" si="35"/>
        <v>52.741666666654055</v>
      </c>
    </row>
    <row r="2303" spans="1:5" x14ac:dyDescent="0.25">
      <c r="A2303" t="s">
        <v>5</v>
      </c>
      <c r="B2303" t="s">
        <v>8</v>
      </c>
      <c r="C2303" s="1">
        <v>46065.004166666673</v>
      </c>
      <c r="D2303" s="1">
        <v>46099.525000000001</v>
      </c>
      <c r="E2303" s="2">
        <f t="shared" si="35"/>
        <v>34.520833333328483</v>
      </c>
    </row>
    <row r="2304" spans="1:5" x14ac:dyDescent="0.25">
      <c r="A2304" t="s">
        <v>5</v>
      </c>
      <c r="B2304" t="s">
        <v>8</v>
      </c>
      <c r="C2304" s="1">
        <v>45982.8</v>
      </c>
      <c r="D2304" s="1">
        <v>46017.370833333327</v>
      </c>
      <c r="E2304" s="2">
        <f t="shared" si="35"/>
        <v>34.570833333324117</v>
      </c>
    </row>
    <row r="2305" spans="1:5" x14ac:dyDescent="0.25">
      <c r="A2305" t="s">
        <v>7</v>
      </c>
      <c r="B2305" t="s">
        <v>8</v>
      </c>
      <c r="C2305" s="1">
        <v>45792.854166666657</v>
      </c>
      <c r="D2305" s="1">
        <v>45839.3125</v>
      </c>
      <c r="E2305" s="2">
        <f t="shared" si="35"/>
        <v>46.458333333343035</v>
      </c>
    </row>
    <row r="2306" spans="1:5" x14ac:dyDescent="0.25">
      <c r="A2306" t="s">
        <v>9</v>
      </c>
      <c r="B2306" t="s">
        <v>8</v>
      </c>
      <c r="C2306" s="1">
        <v>46096.020833333343</v>
      </c>
      <c r="D2306" s="1">
        <v>46133.916666666657</v>
      </c>
      <c r="E2306" s="2">
        <f t="shared" ref="E2306:E2369" si="36">D2306-C2306</f>
        <v>37.895833333313931</v>
      </c>
    </row>
    <row r="2307" spans="1:5" x14ac:dyDescent="0.25">
      <c r="A2307" t="s">
        <v>48</v>
      </c>
      <c r="B2307" t="s">
        <v>12</v>
      </c>
      <c r="C2307" s="1">
        <v>45814.84375</v>
      </c>
      <c r="D2307" s="1">
        <v>45879.541666666657</v>
      </c>
      <c r="E2307" s="2">
        <f t="shared" si="36"/>
        <v>64.697916666656965</v>
      </c>
    </row>
    <row r="2308" spans="1:5" x14ac:dyDescent="0.25">
      <c r="A2308" t="s">
        <v>22</v>
      </c>
      <c r="B2308" t="s">
        <v>52</v>
      </c>
      <c r="C2308" s="1">
        <v>46168.120833333327</v>
      </c>
      <c r="D2308" s="1">
        <v>46217.004166666673</v>
      </c>
      <c r="E2308" s="2">
        <f t="shared" si="36"/>
        <v>48.883333333345945</v>
      </c>
    </row>
    <row r="2309" spans="1:5" x14ac:dyDescent="0.25">
      <c r="A2309" t="s">
        <v>7</v>
      </c>
      <c r="B2309" t="s">
        <v>8</v>
      </c>
      <c r="C2309" s="1">
        <v>45800.645833333343</v>
      </c>
      <c r="D2309" s="1">
        <v>45839.3125</v>
      </c>
      <c r="E2309" s="2">
        <f t="shared" si="36"/>
        <v>38.666666666656965</v>
      </c>
    </row>
    <row r="2310" spans="1:5" x14ac:dyDescent="0.25">
      <c r="A2310" t="s">
        <v>35</v>
      </c>
      <c r="B2310" t="s">
        <v>13</v>
      </c>
      <c r="C2310" s="1">
        <v>46157.470833333333</v>
      </c>
      <c r="D2310" s="1">
        <v>46198.9375</v>
      </c>
      <c r="E2310" s="2">
        <f t="shared" si="36"/>
        <v>41.466666666667152</v>
      </c>
    </row>
    <row r="2311" spans="1:5" x14ac:dyDescent="0.25">
      <c r="A2311" t="s">
        <v>7</v>
      </c>
      <c r="B2311" t="s">
        <v>8</v>
      </c>
      <c r="C2311" s="1">
        <v>45911.604166666657</v>
      </c>
      <c r="D2311" s="1">
        <v>45948.104166666657</v>
      </c>
      <c r="E2311" s="2">
        <f t="shared" si="36"/>
        <v>36.5</v>
      </c>
    </row>
    <row r="2312" spans="1:5" x14ac:dyDescent="0.25">
      <c r="A2312" t="s">
        <v>15</v>
      </c>
      <c r="B2312" t="s">
        <v>6</v>
      </c>
      <c r="C2312" s="1">
        <v>45915.208333333343</v>
      </c>
      <c r="D2312" s="1">
        <v>45986.033333333333</v>
      </c>
      <c r="E2312" s="2">
        <f t="shared" si="36"/>
        <v>70.824999999989814</v>
      </c>
    </row>
    <row r="2313" spans="1:5" x14ac:dyDescent="0.25">
      <c r="A2313" t="s">
        <v>7</v>
      </c>
      <c r="B2313" t="s">
        <v>8</v>
      </c>
      <c r="C2313" s="1">
        <v>45891.654166666667</v>
      </c>
      <c r="D2313" s="1">
        <v>45938.662499999999</v>
      </c>
      <c r="E2313" s="2">
        <f t="shared" si="36"/>
        <v>47.008333333331393</v>
      </c>
    </row>
    <row r="2314" spans="1:5" x14ac:dyDescent="0.25">
      <c r="A2314" t="s">
        <v>7</v>
      </c>
      <c r="B2314" t="s">
        <v>8</v>
      </c>
      <c r="C2314" s="1">
        <v>45940.345833333333</v>
      </c>
      <c r="D2314" s="1">
        <v>45989.166666666657</v>
      </c>
      <c r="E2314" s="2">
        <f t="shared" si="36"/>
        <v>48.820833333324117</v>
      </c>
    </row>
    <row r="2315" spans="1:5" x14ac:dyDescent="0.25">
      <c r="A2315" t="s">
        <v>5</v>
      </c>
      <c r="B2315" t="s">
        <v>8</v>
      </c>
      <c r="C2315" s="1">
        <v>46028.258333333331</v>
      </c>
      <c r="D2315" s="1">
        <v>46071.058333333327</v>
      </c>
      <c r="E2315" s="2">
        <f t="shared" si="36"/>
        <v>42.799999999995634</v>
      </c>
    </row>
    <row r="2316" spans="1:5" x14ac:dyDescent="0.25">
      <c r="A2316" t="s">
        <v>19</v>
      </c>
      <c r="B2316" t="s">
        <v>11</v>
      </c>
      <c r="C2316" s="1">
        <v>46233.987604166658</v>
      </c>
      <c r="D2316" s="1">
        <v>46282.88349537037</v>
      </c>
      <c r="E2316" s="2">
        <f t="shared" si="36"/>
        <v>48.895891203712381</v>
      </c>
    </row>
    <row r="2317" spans="1:5" x14ac:dyDescent="0.25">
      <c r="A2317" t="s">
        <v>8</v>
      </c>
      <c r="B2317" t="s">
        <v>18</v>
      </c>
      <c r="C2317" s="1">
        <v>46241.460416666669</v>
      </c>
      <c r="D2317" s="1">
        <v>46284.76666666667</v>
      </c>
      <c r="E2317" s="2">
        <f t="shared" si="36"/>
        <v>43.306250000001455</v>
      </c>
    </row>
    <row r="2318" spans="1:5" x14ac:dyDescent="0.25">
      <c r="A2318" t="s">
        <v>13</v>
      </c>
      <c r="B2318" t="s">
        <v>8</v>
      </c>
      <c r="C2318" s="1">
        <v>45814.308333333327</v>
      </c>
      <c r="D2318" s="1">
        <v>45839</v>
      </c>
      <c r="E2318" s="2">
        <f t="shared" si="36"/>
        <v>24.691666666672972</v>
      </c>
    </row>
    <row r="2319" spans="1:5" x14ac:dyDescent="0.25">
      <c r="A2319" t="s">
        <v>5</v>
      </c>
      <c r="B2319" t="s">
        <v>8</v>
      </c>
      <c r="C2319" s="1">
        <v>46072.658333333333</v>
      </c>
      <c r="D2319" s="1">
        <v>46107.929166666669</v>
      </c>
      <c r="E2319" s="2">
        <f t="shared" si="36"/>
        <v>35.270833333335759</v>
      </c>
    </row>
    <row r="2320" spans="1:5" x14ac:dyDescent="0.25">
      <c r="A2320" t="s">
        <v>28</v>
      </c>
      <c r="B2320" t="s">
        <v>18</v>
      </c>
      <c r="C2320" s="1">
        <v>45824.886111111111</v>
      </c>
      <c r="D2320" s="1">
        <v>45891</v>
      </c>
      <c r="E2320" s="2">
        <f t="shared" si="36"/>
        <v>66.113888888889051</v>
      </c>
    </row>
    <row r="2321" spans="1:5" x14ac:dyDescent="0.25">
      <c r="A2321" t="s">
        <v>8</v>
      </c>
      <c r="B2321" t="s">
        <v>13</v>
      </c>
      <c r="C2321" s="1">
        <v>45694</v>
      </c>
      <c r="D2321" s="1">
        <v>45739</v>
      </c>
      <c r="E2321" s="2">
        <f t="shared" si="36"/>
        <v>45</v>
      </c>
    </row>
    <row r="2322" spans="1:5" x14ac:dyDescent="0.25">
      <c r="A2322" t="s">
        <v>7</v>
      </c>
      <c r="B2322" t="s">
        <v>11</v>
      </c>
      <c r="C2322" s="1">
        <v>45717.411805555559</v>
      </c>
      <c r="D2322" s="1">
        <v>45783.9</v>
      </c>
      <c r="E2322" s="2">
        <f t="shared" si="36"/>
        <v>66.488194444442343</v>
      </c>
    </row>
    <row r="2323" spans="1:5" x14ac:dyDescent="0.25">
      <c r="A2323" t="s">
        <v>8</v>
      </c>
      <c r="B2323" t="s">
        <v>18</v>
      </c>
      <c r="C2323" s="1">
        <v>46162.799305555563</v>
      </c>
      <c r="D2323" s="1">
        <v>46210.020833333343</v>
      </c>
      <c r="E2323" s="2">
        <f t="shared" si="36"/>
        <v>47.221527777779556</v>
      </c>
    </row>
    <row r="2324" spans="1:5" x14ac:dyDescent="0.25">
      <c r="A2324" t="s">
        <v>8</v>
      </c>
      <c r="B2324" t="s">
        <v>18</v>
      </c>
      <c r="C2324" s="1">
        <v>46157.003472222219</v>
      </c>
      <c r="D2324" s="1">
        <v>46195.804166666669</v>
      </c>
      <c r="E2324" s="2">
        <f t="shared" si="36"/>
        <v>38.800694444449618</v>
      </c>
    </row>
    <row r="2325" spans="1:5" x14ac:dyDescent="0.25">
      <c r="A2325" t="s">
        <v>12</v>
      </c>
      <c r="B2325" t="s">
        <v>13</v>
      </c>
      <c r="C2325" s="1">
        <v>46101.967361111107</v>
      </c>
      <c r="D2325" s="1">
        <v>46144.245833333327</v>
      </c>
      <c r="E2325" s="2">
        <f t="shared" si="36"/>
        <v>42.278472222220444</v>
      </c>
    </row>
    <row r="2326" spans="1:5" x14ac:dyDescent="0.25">
      <c r="A2326" t="s">
        <v>26</v>
      </c>
      <c r="B2326" t="s">
        <v>21</v>
      </c>
      <c r="C2326" s="1">
        <v>46232.533333333333</v>
      </c>
      <c r="D2326" s="1">
        <v>46282.279166666667</v>
      </c>
      <c r="E2326" s="2">
        <f t="shared" si="36"/>
        <v>49.745833333334303</v>
      </c>
    </row>
    <row r="2327" spans="1:5" x14ac:dyDescent="0.25">
      <c r="A2327" t="s">
        <v>27</v>
      </c>
      <c r="B2327" t="s">
        <v>18</v>
      </c>
      <c r="C2327" s="1">
        <v>46017.183333333327</v>
      </c>
      <c r="D2327" s="1">
        <v>46072.118750000001</v>
      </c>
      <c r="E2327" s="2">
        <f t="shared" si="36"/>
        <v>54.935416666674428</v>
      </c>
    </row>
    <row r="2328" spans="1:5" x14ac:dyDescent="0.25">
      <c r="A2328" t="s">
        <v>27</v>
      </c>
      <c r="B2328" t="s">
        <v>20</v>
      </c>
      <c r="C2328" s="1">
        <v>45674.216666666667</v>
      </c>
      <c r="D2328" s="1">
        <v>45752.4375</v>
      </c>
      <c r="E2328" s="2">
        <f t="shared" si="36"/>
        <v>78.220833333332848</v>
      </c>
    </row>
    <row r="2329" spans="1:5" x14ac:dyDescent="0.25">
      <c r="A2329" t="s">
        <v>15</v>
      </c>
      <c r="B2329" t="s">
        <v>18</v>
      </c>
      <c r="C2329" s="1">
        <v>46004.711111111108</v>
      </c>
      <c r="D2329" s="1">
        <v>46057.911111111112</v>
      </c>
      <c r="E2329" s="2">
        <f t="shared" si="36"/>
        <v>53.200000000004366</v>
      </c>
    </row>
    <row r="2330" spans="1:5" x14ac:dyDescent="0.25">
      <c r="A2330" t="s">
        <v>15</v>
      </c>
      <c r="B2330" t="s">
        <v>13</v>
      </c>
      <c r="C2330" s="1">
        <v>45761.451388888891</v>
      </c>
      <c r="D2330" s="1">
        <v>45805.245833333327</v>
      </c>
      <c r="E2330" s="2">
        <f t="shared" si="36"/>
        <v>43.794444444436522</v>
      </c>
    </row>
    <row r="2331" spans="1:5" x14ac:dyDescent="0.25">
      <c r="A2331" t="s">
        <v>8</v>
      </c>
      <c r="B2331" t="s">
        <v>18</v>
      </c>
      <c r="C2331" s="1">
        <v>46199.770833333343</v>
      </c>
      <c r="D2331" s="1">
        <v>46241.870833333327</v>
      </c>
      <c r="E2331" s="2">
        <f t="shared" si="36"/>
        <v>42.099999999983993</v>
      </c>
    </row>
    <row r="2332" spans="1:5" x14ac:dyDescent="0.25">
      <c r="A2332" t="s">
        <v>12</v>
      </c>
      <c r="B2332" t="s">
        <v>13</v>
      </c>
      <c r="C2332" s="1">
        <v>45770.025000000001</v>
      </c>
      <c r="D2332" s="1">
        <v>45817.291666666657</v>
      </c>
      <c r="E2332" s="2">
        <f t="shared" si="36"/>
        <v>47.26666666665551</v>
      </c>
    </row>
    <row r="2333" spans="1:5" x14ac:dyDescent="0.25">
      <c r="A2333" t="s">
        <v>12</v>
      </c>
      <c r="B2333" t="s">
        <v>13</v>
      </c>
      <c r="C2333" s="1">
        <v>45662.208333333343</v>
      </c>
      <c r="D2333" s="1">
        <v>45704.333333333343</v>
      </c>
      <c r="E2333" s="2">
        <f t="shared" si="36"/>
        <v>42.125</v>
      </c>
    </row>
    <row r="2334" spans="1:5" x14ac:dyDescent="0.25">
      <c r="A2334" t="s">
        <v>6</v>
      </c>
      <c r="B2334" t="s">
        <v>8</v>
      </c>
      <c r="C2334" s="1">
        <v>45726.833333333343</v>
      </c>
      <c r="D2334" s="1">
        <v>45777</v>
      </c>
      <c r="E2334" s="2">
        <f t="shared" si="36"/>
        <v>50.166666666656965</v>
      </c>
    </row>
    <row r="2335" spans="1:5" x14ac:dyDescent="0.25">
      <c r="A2335" t="s">
        <v>22</v>
      </c>
      <c r="B2335" t="s">
        <v>51</v>
      </c>
      <c r="C2335" s="1">
        <v>46077.848611111112</v>
      </c>
      <c r="D2335" s="1">
        <v>46139.546527777777</v>
      </c>
      <c r="E2335" s="2">
        <f t="shared" si="36"/>
        <v>61.697916666664241</v>
      </c>
    </row>
    <row r="2336" spans="1:5" x14ac:dyDescent="0.25">
      <c r="A2336" t="s">
        <v>17</v>
      </c>
      <c r="B2336" t="s">
        <v>18</v>
      </c>
      <c r="C2336" s="1">
        <v>45723.875</v>
      </c>
      <c r="D2336" s="1">
        <v>45789.237500000003</v>
      </c>
      <c r="E2336" s="2">
        <f t="shared" si="36"/>
        <v>65.36250000000291</v>
      </c>
    </row>
    <row r="2337" spans="1:5" x14ac:dyDescent="0.25">
      <c r="A2337" t="s">
        <v>22</v>
      </c>
      <c r="B2337" t="s">
        <v>19</v>
      </c>
      <c r="C2337" s="1">
        <v>46069.547222222223</v>
      </c>
      <c r="D2337" s="1">
        <v>46133.517361111109</v>
      </c>
      <c r="E2337" s="2">
        <f t="shared" si="36"/>
        <v>63.97013888888614</v>
      </c>
    </row>
    <row r="2338" spans="1:5" x14ac:dyDescent="0.25">
      <c r="A2338" t="s">
        <v>22</v>
      </c>
      <c r="B2338" t="s">
        <v>19</v>
      </c>
      <c r="C2338" s="1">
        <v>46069.547222222223</v>
      </c>
      <c r="D2338" s="1">
        <v>46133.517361111109</v>
      </c>
      <c r="E2338" s="2">
        <f t="shared" si="36"/>
        <v>63.97013888888614</v>
      </c>
    </row>
    <row r="2339" spans="1:5" x14ac:dyDescent="0.25">
      <c r="A2339" t="s">
        <v>17</v>
      </c>
      <c r="B2339" t="s">
        <v>18</v>
      </c>
      <c r="C2339" s="1">
        <v>45694.875</v>
      </c>
      <c r="D2339" s="1">
        <v>45759.888194444437</v>
      </c>
      <c r="E2339" s="2">
        <f t="shared" si="36"/>
        <v>65.013194444436522</v>
      </c>
    </row>
    <row r="2340" spans="1:5" x14ac:dyDescent="0.25">
      <c r="A2340" t="s">
        <v>20</v>
      </c>
      <c r="B2340" t="s">
        <v>8</v>
      </c>
      <c r="C2340" s="1">
        <v>46198.345833333333</v>
      </c>
      <c r="D2340" s="1">
        <v>46233.001388888893</v>
      </c>
      <c r="E2340" s="2">
        <f t="shared" si="36"/>
        <v>34.655555555560568</v>
      </c>
    </row>
    <row r="2341" spans="1:5" x14ac:dyDescent="0.25">
      <c r="A2341" t="s">
        <v>27</v>
      </c>
      <c r="B2341" t="s">
        <v>20</v>
      </c>
      <c r="C2341" s="1">
        <v>45666.827777777777</v>
      </c>
      <c r="D2341" s="1">
        <v>45729.604166666657</v>
      </c>
      <c r="E2341" s="2">
        <f t="shared" si="36"/>
        <v>62.776388888880319</v>
      </c>
    </row>
    <row r="2342" spans="1:5" x14ac:dyDescent="0.25">
      <c r="A2342" t="s">
        <v>26</v>
      </c>
      <c r="B2342" t="s">
        <v>21</v>
      </c>
      <c r="C2342" s="1">
        <v>46044.041666666657</v>
      </c>
      <c r="D2342" s="1">
        <v>46092.333333333343</v>
      </c>
      <c r="E2342" s="2">
        <f t="shared" si="36"/>
        <v>48.291666666686069</v>
      </c>
    </row>
    <row r="2343" spans="1:5" x14ac:dyDescent="0.25">
      <c r="A2343" t="s">
        <v>8</v>
      </c>
      <c r="B2343" t="s">
        <v>13</v>
      </c>
      <c r="C2343" s="1">
        <v>45680.411805555559</v>
      </c>
      <c r="D2343" s="1">
        <v>45728.862500000003</v>
      </c>
      <c r="E2343" s="2">
        <f t="shared" si="36"/>
        <v>48.450694444443798</v>
      </c>
    </row>
    <row r="2344" spans="1:5" x14ac:dyDescent="0.25">
      <c r="A2344" t="s">
        <v>13</v>
      </c>
      <c r="B2344" t="s">
        <v>8</v>
      </c>
      <c r="C2344" s="1">
        <v>45814.308333333327</v>
      </c>
      <c r="D2344" s="1">
        <v>45839</v>
      </c>
      <c r="E2344" s="2">
        <f t="shared" si="36"/>
        <v>24.691666666672972</v>
      </c>
    </row>
    <row r="2345" spans="1:5" x14ac:dyDescent="0.25">
      <c r="A2345" t="s">
        <v>14</v>
      </c>
      <c r="B2345" t="s">
        <v>11</v>
      </c>
      <c r="C2345" s="1">
        <v>45714.987500000003</v>
      </c>
      <c r="D2345" s="1">
        <v>45769.607638888891</v>
      </c>
      <c r="E2345" s="2">
        <f t="shared" si="36"/>
        <v>54.620138888887595</v>
      </c>
    </row>
    <row r="2346" spans="1:5" x14ac:dyDescent="0.25">
      <c r="A2346" t="s">
        <v>20</v>
      </c>
      <c r="B2346" t="s">
        <v>8</v>
      </c>
      <c r="C2346" s="1">
        <v>45872.9375</v>
      </c>
      <c r="D2346" s="1">
        <v>45910.938888888893</v>
      </c>
      <c r="E2346" s="2">
        <f t="shared" si="36"/>
        <v>38.001388888893416</v>
      </c>
    </row>
    <row r="2347" spans="1:5" x14ac:dyDescent="0.25">
      <c r="A2347" t="s">
        <v>12</v>
      </c>
      <c r="B2347" t="s">
        <v>18</v>
      </c>
      <c r="C2347" s="1">
        <v>45947.123611111107</v>
      </c>
      <c r="D2347" s="1">
        <v>46008.915277777778</v>
      </c>
      <c r="E2347" s="2">
        <f t="shared" si="36"/>
        <v>61.791666666671517</v>
      </c>
    </row>
    <row r="2348" spans="1:5" x14ac:dyDescent="0.25">
      <c r="A2348" t="s">
        <v>22</v>
      </c>
      <c r="B2348" t="s">
        <v>19</v>
      </c>
      <c r="C2348" s="1">
        <v>45913.750393518523</v>
      </c>
      <c r="D2348" s="1">
        <v>45961.661469907413</v>
      </c>
      <c r="E2348" s="2">
        <f t="shared" si="36"/>
        <v>47.911076388889342</v>
      </c>
    </row>
    <row r="2349" spans="1:5" x14ac:dyDescent="0.25">
      <c r="A2349" t="s">
        <v>22</v>
      </c>
      <c r="B2349" t="s">
        <v>51</v>
      </c>
      <c r="C2349" s="1">
        <v>46198.158333333333</v>
      </c>
      <c r="D2349" s="1">
        <v>46255.520833333343</v>
      </c>
      <c r="E2349" s="2">
        <f t="shared" si="36"/>
        <v>57.362500000010186</v>
      </c>
    </row>
    <row r="2350" spans="1:5" x14ac:dyDescent="0.25">
      <c r="A2350" t="s">
        <v>61</v>
      </c>
      <c r="B2350" t="s">
        <v>62</v>
      </c>
      <c r="C2350" s="1">
        <v>45965.375</v>
      </c>
      <c r="D2350" s="1">
        <v>46024.729166666657</v>
      </c>
      <c r="E2350" s="2">
        <f t="shared" si="36"/>
        <v>59.354166666656965</v>
      </c>
    </row>
    <row r="2351" spans="1:5" x14ac:dyDescent="0.25">
      <c r="A2351" t="s">
        <v>42</v>
      </c>
      <c r="B2351" t="s">
        <v>19</v>
      </c>
      <c r="C2351" s="1">
        <v>45821.268796296303</v>
      </c>
      <c r="D2351" s="1">
        <v>45869.8125</v>
      </c>
      <c r="E2351" s="2">
        <f t="shared" si="36"/>
        <v>48.543703703697247</v>
      </c>
    </row>
    <row r="2352" spans="1:5" x14ac:dyDescent="0.25">
      <c r="A2352" t="s">
        <v>28</v>
      </c>
      <c r="B2352" t="s">
        <v>8</v>
      </c>
      <c r="C2352" s="1">
        <v>45862.888888888891</v>
      </c>
      <c r="D2352" s="1">
        <v>45928.208333333343</v>
      </c>
      <c r="E2352" s="2">
        <f t="shared" si="36"/>
        <v>65.319444444452529</v>
      </c>
    </row>
    <row r="2353" spans="1:5" x14ac:dyDescent="0.25">
      <c r="A2353" t="s">
        <v>34</v>
      </c>
      <c r="B2353" t="s">
        <v>13</v>
      </c>
      <c r="C2353" s="1">
        <v>45977.724999999999</v>
      </c>
      <c r="D2353" s="1">
        <v>46002.811111111107</v>
      </c>
      <c r="E2353" s="2">
        <f t="shared" si="36"/>
        <v>25.086111111108039</v>
      </c>
    </row>
    <row r="2354" spans="1:5" x14ac:dyDescent="0.25">
      <c r="A2354" t="s">
        <v>7</v>
      </c>
      <c r="B2354" t="s">
        <v>8</v>
      </c>
      <c r="C2354" s="1">
        <v>45834.143750000003</v>
      </c>
      <c r="D2354" s="1">
        <v>45885.783333333333</v>
      </c>
      <c r="E2354" s="2">
        <f t="shared" si="36"/>
        <v>51.639583333329938</v>
      </c>
    </row>
    <row r="2355" spans="1:5" x14ac:dyDescent="0.25">
      <c r="A2355" t="s">
        <v>22</v>
      </c>
      <c r="B2355" t="s">
        <v>19</v>
      </c>
      <c r="C2355" s="1">
        <v>45950.506249999999</v>
      </c>
      <c r="D2355" s="1">
        <v>46005.897222222222</v>
      </c>
      <c r="E2355" s="2">
        <f t="shared" si="36"/>
        <v>55.390972222223354</v>
      </c>
    </row>
    <row r="2356" spans="1:5" x14ac:dyDescent="0.25">
      <c r="A2356" t="s">
        <v>22</v>
      </c>
      <c r="B2356" t="s">
        <v>19</v>
      </c>
      <c r="C2356" s="1">
        <v>45838.040972222218</v>
      </c>
      <c r="D2356" s="1">
        <v>45890.80972222222</v>
      </c>
      <c r="E2356" s="2">
        <f t="shared" si="36"/>
        <v>52.76875000000291</v>
      </c>
    </row>
    <row r="2357" spans="1:5" x14ac:dyDescent="0.25">
      <c r="A2357" t="s">
        <v>15</v>
      </c>
      <c r="B2357" t="s">
        <v>6</v>
      </c>
      <c r="C2357" s="1">
        <v>46068.98333333333</v>
      </c>
      <c r="D2357" s="1">
        <v>46133.866666666669</v>
      </c>
      <c r="E2357" s="2">
        <f t="shared" si="36"/>
        <v>64.883333333338669</v>
      </c>
    </row>
    <row r="2358" spans="1:5" x14ac:dyDescent="0.25">
      <c r="A2358" t="s">
        <v>8</v>
      </c>
      <c r="B2358" t="s">
        <v>7</v>
      </c>
      <c r="C2358" s="1">
        <v>45879.145833333343</v>
      </c>
      <c r="D2358" s="1">
        <v>45908.73333333333</v>
      </c>
      <c r="E2358" s="2">
        <f t="shared" si="36"/>
        <v>29.587499999986903</v>
      </c>
    </row>
    <row r="2359" spans="1:5" x14ac:dyDescent="0.25">
      <c r="A2359" t="s">
        <v>7</v>
      </c>
      <c r="B2359" t="s">
        <v>8</v>
      </c>
      <c r="C2359" s="1">
        <v>45843.805555555547</v>
      </c>
      <c r="D2359" s="1">
        <v>45910.567361111112</v>
      </c>
      <c r="E2359" s="2">
        <f t="shared" si="36"/>
        <v>66.761805555564933</v>
      </c>
    </row>
    <row r="2360" spans="1:5" x14ac:dyDescent="0.25">
      <c r="A2360" t="s">
        <v>5</v>
      </c>
      <c r="B2360" t="s">
        <v>8</v>
      </c>
      <c r="C2360" s="1">
        <v>46065.004166666673</v>
      </c>
      <c r="D2360" s="1">
        <v>46099.525000000001</v>
      </c>
      <c r="E2360" s="2">
        <f t="shared" si="36"/>
        <v>34.520833333328483</v>
      </c>
    </row>
    <row r="2361" spans="1:5" x14ac:dyDescent="0.25">
      <c r="A2361" t="s">
        <v>7</v>
      </c>
      <c r="B2361" t="s">
        <v>8</v>
      </c>
      <c r="C2361" s="1">
        <v>45911.604166666657</v>
      </c>
      <c r="D2361" s="1">
        <v>45948.104166666657</v>
      </c>
      <c r="E2361" s="2">
        <f t="shared" si="36"/>
        <v>36.5</v>
      </c>
    </row>
    <row r="2362" spans="1:5" x14ac:dyDescent="0.25">
      <c r="A2362" t="s">
        <v>15</v>
      </c>
      <c r="B2362" t="s">
        <v>13</v>
      </c>
      <c r="C2362" s="1">
        <v>45715.904166666667</v>
      </c>
      <c r="D2362" s="1">
        <v>45758.352777777778</v>
      </c>
      <c r="E2362" s="2">
        <f t="shared" si="36"/>
        <v>42.448611111110949</v>
      </c>
    </row>
    <row r="2363" spans="1:5" x14ac:dyDescent="0.25">
      <c r="A2363" t="s">
        <v>13</v>
      </c>
      <c r="B2363" t="s">
        <v>8</v>
      </c>
      <c r="C2363" s="1">
        <v>45778.083333333343</v>
      </c>
      <c r="D2363" s="1">
        <v>45803.341666666667</v>
      </c>
      <c r="E2363" s="2">
        <f t="shared" si="36"/>
        <v>25.258333333324117</v>
      </c>
    </row>
    <row r="2364" spans="1:5" x14ac:dyDescent="0.25">
      <c r="A2364" t="s">
        <v>17</v>
      </c>
      <c r="B2364" t="s">
        <v>18</v>
      </c>
      <c r="C2364" s="1">
        <v>45672.722916666673</v>
      </c>
      <c r="D2364" s="1">
        <v>45723.833333333343</v>
      </c>
      <c r="E2364" s="2">
        <f t="shared" si="36"/>
        <v>51.110416666670062</v>
      </c>
    </row>
    <row r="2365" spans="1:5" x14ac:dyDescent="0.25">
      <c r="A2365" t="s">
        <v>60</v>
      </c>
      <c r="B2365" t="s">
        <v>13</v>
      </c>
      <c r="C2365" s="1">
        <v>45965.375</v>
      </c>
      <c r="D2365" s="1">
        <v>46015.118055555547</v>
      </c>
      <c r="E2365" s="2">
        <f t="shared" si="36"/>
        <v>49.743055555547471</v>
      </c>
    </row>
    <row r="2366" spans="1:5" x14ac:dyDescent="0.25">
      <c r="A2366" t="s">
        <v>10</v>
      </c>
      <c r="B2366" t="s">
        <v>8</v>
      </c>
      <c r="C2366" s="1">
        <v>46140.763888888891</v>
      </c>
      <c r="D2366" s="1">
        <v>46160.583333333343</v>
      </c>
      <c r="E2366" s="2">
        <f t="shared" si="36"/>
        <v>19.819444444452529</v>
      </c>
    </row>
    <row r="2367" spans="1:5" x14ac:dyDescent="0.25">
      <c r="A2367" t="s">
        <v>5</v>
      </c>
      <c r="B2367" t="s">
        <v>8</v>
      </c>
      <c r="C2367" s="1">
        <v>45745.883333333331</v>
      </c>
      <c r="D2367" s="1">
        <v>45775.742037037038</v>
      </c>
      <c r="E2367" s="2">
        <f t="shared" si="36"/>
        <v>29.858703703706851</v>
      </c>
    </row>
    <row r="2368" spans="1:5" x14ac:dyDescent="0.25">
      <c r="A2368" t="s">
        <v>5</v>
      </c>
      <c r="B2368" t="s">
        <v>8</v>
      </c>
      <c r="C2368" s="1">
        <v>46236.134722222218</v>
      </c>
      <c r="D2368" s="1">
        <v>46258.295138888891</v>
      </c>
      <c r="E2368" s="2">
        <f t="shared" si="36"/>
        <v>22.160416666672972</v>
      </c>
    </row>
    <row r="2369" spans="1:5" x14ac:dyDescent="0.25">
      <c r="A2369" t="s">
        <v>5</v>
      </c>
      <c r="B2369" t="s">
        <v>8</v>
      </c>
      <c r="C2369" s="1">
        <v>46159.081250000003</v>
      </c>
      <c r="D2369" s="1">
        <v>46181.674976851849</v>
      </c>
      <c r="E2369" s="2">
        <f t="shared" si="36"/>
        <v>22.593726851846441</v>
      </c>
    </row>
    <row r="2370" spans="1:5" x14ac:dyDescent="0.25">
      <c r="A2370" t="s">
        <v>41</v>
      </c>
      <c r="B2370" t="s">
        <v>8</v>
      </c>
      <c r="C2370" s="1">
        <v>46217.678472222222</v>
      </c>
      <c r="D2370" s="1">
        <v>46267.742361111108</v>
      </c>
      <c r="E2370" s="2">
        <f t="shared" ref="E2370:E2433" si="37">D2370-C2370</f>
        <v>50.06388888888614</v>
      </c>
    </row>
    <row r="2371" spans="1:5" x14ac:dyDescent="0.25">
      <c r="A2371" t="s">
        <v>8</v>
      </c>
      <c r="B2371" t="s">
        <v>18</v>
      </c>
      <c r="C2371" s="1">
        <v>46101.188194444447</v>
      </c>
      <c r="D2371" s="1">
        <v>46129.805555555547</v>
      </c>
      <c r="E2371" s="2">
        <f t="shared" si="37"/>
        <v>28.617361111100763</v>
      </c>
    </row>
    <row r="2372" spans="1:5" x14ac:dyDescent="0.25">
      <c r="A2372" t="s">
        <v>28</v>
      </c>
      <c r="B2372" t="s">
        <v>12</v>
      </c>
      <c r="C2372" s="1">
        <v>45906.227777777778</v>
      </c>
      <c r="D2372" s="1">
        <v>45910.041666666657</v>
      </c>
      <c r="E2372" s="2">
        <f t="shared" si="37"/>
        <v>3.8138888888788642</v>
      </c>
    </row>
    <row r="2373" spans="1:5" x14ac:dyDescent="0.25">
      <c r="A2373" t="s">
        <v>41</v>
      </c>
      <c r="B2373" t="s">
        <v>8</v>
      </c>
      <c r="C2373" s="1">
        <v>46193.822916666657</v>
      </c>
      <c r="D2373" s="1">
        <v>46233.649305555547</v>
      </c>
      <c r="E2373" s="2">
        <f t="shared" si="37"/>
        <v>39.826388888890506</v>
      </c>
    </row>
    <row r="2374" spans="1:5" x14ac:dyDescent="0.25">
      <c r="A2374" t="s">
        <v>22</v>
      </c>
      <c r="B2374" t="s">
        <v>14</v>
      </c>
      <c r="C2374" s="1">
        <v>46059.746527777781</v>
      </c>
      <c r="D2374" s="1">
        <v>46137.253472222219</v>
      </c>
      <c r="E2374" s="2">
        <f t="shared" si="37"/>
        <v>77.506944444437977</v>
      </c>
    </row>
    <row r="2375" spans="1:5" x14ac:dyDescent="0.25">
      <c r="A2375" t="s">
        <v>28</v>
      </c>
      <c r="B2375" t="s">
        <v>13</v>
      </c>
      <c r="C2375" s="1">
        <v>46191.701388888891</v>
      </c>
      <c r="D2375" s="1">
        <v>46260.53125</v>
      </c>
      <c r="E2375" s="2">
        <f t="shared" si="37"/>
        <v>68.829861111109494</v>
      </c>
    </row>
    <row r="2376" spans="1:5" x14ac:dyDescent="0.25">
      <c r="A2376" t="s">
        <v>41</v>
      </c>
      <c r="B2376" t="s">
        <v>8</v>
      </c>
      <c r="C2376" s="1">
        <v>46226.589583333327</v>
      </c>
      <c r="D2376" s="1">
        <v>46267.742361111108</v>
      </c>
      <c r="E2376" s="2">
        <f t="shared" si="37"/>
        <v>41.152777777781012</v>
      </c>
    </row>
    <row r="2377" spans="1:5" x14ac:dyDescent="0.25">
      <c r="A2377" t="s">
        <v>15</v>
      </c>
      <c r="B2377" t="s">
        <v>18</v>
      </c>
      <c r="C2377" s="1">
        <v>45967.545138888891</v>
      </c>
      <c r="D2377" s="1">
        <v>46014.96597222222</v>
      </c>
      <c r="E2377" s="2">
        <f t="shared" si="37"/>
        <v>47.420833333329938</v>
      </c>
    </row>
    <row r="2378" spans="1:5" x14ac:dyDescent="0.25">
      <c r="A2378" t="s">
        <v>41</v>
      </c>
      <c r="B2378" t="s">
        <v>8</v>
      </c>
      <c r="C2378" s="1">
        <v>46165.728472222218</v>
      </c>
      <c r="D2378" s="1">
        <v>46203.938194444447</v>
      </c>
      <c r="E2378" s="2">
        <f t="shared" si="37"/>
        <v>38.209722222229175</v>
      </c>
    </row>
    <row r="2379" spans="1:5" x14ac:dyDescent="0.25">
      <c r="A2379" t="s">
        <v>12</v>
      </c>
      <c r="B2379" t="s">
        <v>13</v>
      </c>
      <c r="C2379" s="1">
        <v>46228.707638888889</v>
      </c>
      <c r="D2379" s="1">
        <v>46279.725694444453</v>
      </c>
      <c r="E2379" s="2">
        <f t="shared" si="37"/>
        <v>51.018055555563478</v>
      </c>
    </row>
    <row r="2380" spans="1:5" x14ac:dyDescent="0.25">
      <c r="A2380" t="s">
        <v>41</v>
      </c>
      <c r="B2380" t="s">
        <v>8</v>
      </c>
      <c r="C2380" s="1">
        <v>46226.589583333327</v>
      </c>
      <c r="D2380" s="1">
        <v>46267.742361111108</v>
      </c>
      <c r="E2380" s="2">
        <f t="shared" si="37"/>
        <v>41.152777777781012</v>
      </c>
    </row>
    <row r="2381" spans="1:5" x14ac:dyDescent="0.25">
      <c r="A2381" t="s">
        <v>9</v>
      </c>
      <c r="B2381" t="s">
        <v>8</v>
      </c>
      <c r="C2381" s="1">
        <v>46231.36041666667</v>
      </c>
      <c r="D2381" s="1">
        <v>46278.113888888889</v>
      </c>
      <c r="E2381" s="2">
        <f t="shared" si="37"/>
        <v>46.753472222218988</v>
      </c>
    </row>
    <row r="2382" spans="1:5" x14ac:dyDescent="0.25">
      <c r="A2382" t="s">
        <v>9</v>
      </c>
      <c r="B2382" t="s">
        <v>11</v>
      </c>
      <c r="C2382" s="1">
        <v>46151.388888888891</v>
      </c>
      <c r="D2382" s="1">
        <v>46241.282638888893</v>
      </c>
      <c r="E2382" s="2">
        <f t="shared" si="37"/>
        <v>89.89375000000291</v>
      </c>
    </row>
    <row r="2383" spans="1:5" x14ac:dyDescent="0.25">
      <c r="A2383" t="s">
        <v>20</v>
      </c>
      <c r="B2383" t="s">
        <v>8</v>
      </c>
      <c r="C2383" s="1">
        <v>46025.862500000003</v>
      </c>
      <c r="D2383" s="1">
        <v>46064.25</v>
      </c>
      <c r="E2383" s="2">
        <f t="shared" si="37"/>
        <v>38.38749999999709</v>
      </c>
    </row>
    <row r="2384" spans="1:5" x14ac:dyDescent="0.25">
      <c r="A2384" t="s">
        <v>34</v>
      </c>
      <c r="B2384" t="s">
        <v>21</v>
      </c>
      <c r="C2384" s="1">
        <v>46202.375</v>
      </c>
      <c r="D2384" s="1">
        <v>46213.81527777778</v>
      </c>
      <c r="E2384" s="2">
        <f t="shared" si="37"/>
        <v>11.440277777779556</v>
      </c>
    </row>
    <row r="2385" spans="1:5" x14ac:dyDescent="0.25">
      <c r="A2385" t="s">
        <v>22</v>
      </c>
      <c r="B2385" t="s">
        <v>19</v>
      </c>
      <c r="C2385" s="1">
        <v>46173.790972222218</v>
      </c>
      <c r="D2385" s="1">
        <v>46228.611805555563</v>
      </c>
      <c r="E2385" s="2">
        <f t="shared" si="37"/>
        <v>54.820833333345945</v>
      </c>
    </row>
    <row r="2386" spans="1:5" x14ac:dyDescent="0.25">
      <c r="A2386" t="s">
        <v>22</v>
      </c>
      <c r="B2386" t="s">
        <v>51</v>
      </c>
      <c r="C2386" s="1">
        <v>46062.515277777777</v>
      </c>
      <c r="D2386" s="1">
        <v>46117.309027777781</v>
      </c>
      <c r="E2386" s="2">
        <f t="shared" si="37"/>
        <v>54.793750000004366</v>
      </c>
    </row>
    <row r="2387" spans="1:5" x14ac:dyDescent="0.25">
      <c r="A2387" t="s">
        <v>22</v>
      </c>
      <c r="B2387" t="s">
        <v>19</v>
      </c>
      <c r="C2387" s="1">
        <v>45978.134722222218</v>
      </c>
      <c r="D2387" s="1">
        <v>46031.813888888893</v>
      </c>
      <c r="E2387" s="2">
        <f t="shared" si="37"/>
        <v>53.679166666675883</v>
      </c>
    </row>
    <row r="2388" spans="1:5" x14ac:dyDescent="0.25">
      <c r="A2388" t="s">
        <v>15</v>
      </c>
      <c r="B2388" t="s">
        <v>18</v>
      </c>
      <c r="C2388" s="1">
        <v>46226.007013888891</v>
      </c>
      <c r="D2388" s="1">
        <v>46269.724999999999</v>
      </c>
      <c r="E2388" s="2">
        <f t="shared" si="37"/>
        <v>43.717986111107166</v>
      </c>
    </row>
    <row r="2389" spans="1:5" x14ac:dyDescent="0.25">
      <c r="A2389" t="s">
        <v>22</v>
      </c>
      <c r="B2389" t="s">
        <v>14</v>
      </c>
      <c r="C2389" s="1">
        <v>46141.989583333343</v>
      </c>
      <c r="D2389" s="1">
        <v>46198.788888888892</v>
      </c>
      <c r="E2389" s="2">
        <f t="shared" si="37"/>
        <v>56.799305555548926</v>
      </c>
    </row>
    <row r="2390" spans="1:5" x14ac:dyDescent="0.25">
      <c r="A2390" t="s">
        <v>16</v>
      </c>
      <c r="B2390" t="s">
        <v>11</v>
      </c>
      <c r="C2390" s="1">
        <v>46167.924305555563</v>
      </c>
      <c r="D2390" s="1">
        <v>46229.322916666657</v>
      </c>
      <c r="E2390" s="2">
        <f t="shared" si="37"/>
        <v>61.398611111093487</v>
      </c>
    </row>
    <row r="2391" spans="1:5" x14ac:dyDescent="0.25">
      <c r="A2391" t="s">
        <v>15</v>
      </c>
      <c r="B2391" t="s">
        <v>18</v>
      </c>
      <c r="C2391" s="1">
        <v>46225.98541666667</v>
      </c>
      <c r="D2391" s="1">
        <v>46269.724999999999</v>
      </c>
      <c r="E2391" s="2">
        <f t="shared" si="37"/>
        <v>43.739583333328483</v>
      </c>
    </row>
    <row r="2392" spans="1:5" x14ac:dyDescent="0.25">
      <c r="A2392" t="s">
        <v>15</v>
      </c>
      <c r="B2392" t="s">
        <v>18</v>
      </c>
      <c r="C2392" s="1">
        <v>46225.98541666667</v>
      </c>
      <c r="D2392" s="1">
        <v>46269.724999999999</v>
      </c>
      <c r="E2392" s="2">
        <f t="shared" si="37"/>
        <v>43.739583333328483</v>
      </c>
    </row>
    <row r="2393" spans="1:5" x14ac:dyDescent="0.25">
      <c r="A2393" t="s">
        <v>15</v>
      </c>
      <c r="B2393" t="s">
        <v>38</v>
      </c>
      <c r="C2393" s="1">
        <v>46206.644687499997</v>
      </c>
      <c r="D2393" s="1">
        <v>46255.498611111107</v>
      </c>
      <c r="E2393" s="2">
        <f t="shared" si="37"/>
        <v>48.853923611110076</v>
      </c>
    </row>
    <row r="2394" spans="1:5" x14ac:dyDescent="0.25">
      <c r="A2394" t="s">
        <v>15</v>
      </c>
      <c r="B2394" t="s">
        <v>38</v>
      </c>
      <c r="C2394" s="1">
        <v>46206.590277777781</v>
      </c>
      <c r="D2394" s="1">
        <v>46255.498611111107</v>
      </c>
      <c r="E2394" s="2">
        <f t="shared" si="37"/>
        <v>48.908333333325572</v>
      </c>
    </row>
    <row r="2395" spans="1:5" x14ac:dyDescent="0.25">
      <c r="A2395" t="s">
        <v>15</v>
      </c>
      <c r="B2395" t="s">
        <v>38</v>
      </c>
      <c r="C2395" s="1">
        <v>46232.938194444447</v>
      </c>
      <c r="D2395" s="1">
        <v>46279.83085648148</v>
      </c>
      <c r="E2395" s="2">
        <f t="shared" si="37"/>
        <v>46.892662037033006</v>
      </c>
    </row>
    <row r="2396" spans="1:5" x14ac:dyDescent="0.25">
      <c r="A2396" t="s">
        <v>15</v>
      </c>
      <c r="B2396" t="s">
        <v>13</v>
      </c>
      <c r="C2396" s="1">
        <v>46219.958333333343</v>
      </c>
      <c r="D2396" s="1">
        <v>46257.863888888889</v>
      </c>
      <c r="E2396" s="2">
        <f t="shared" si="37"/>
        <v>37.905555555546016</v>
      </c>
    </row>
    <row r="2397" spans="1:5" x14ac:dyDescent="0.25">
      <c r="A2397" t="s">
        <v>15</v>
      </c>
      <c r="B2397" t="s">
        <v>13</v>
      </c>
      <c r="C2397" s="1">
        <v>46219.958333333343</v>
      </c>
      <c r="D2397" s="1">
        <v>46257.863888888889</v>
      </c>
      <c r="E2397" s="2">
        <f t="shared" si="37"/>
        <v>37.905555555546016</v>
      </c>
    </row>
    <row r="2398" spans="1:5" x14ac:dyDescent="0.25">
      <c r="A2398" t="s">
        <v>15</v>
      </c>
      <c r="B2398" t="s">
        <v>16</v>
      </c>
      <c r="C2398" s="1">
        <v>46122.737500000003</v>
      </c>
      <c r="D2398" s="1">
        <v>46140.666666666657</v>
      </c>
      <c r="E2398" s="2">
        <f t="shared" si="37"/>
        <v>17.929166666654055</v>
      </c>
    </row>
    <row r="2399" spans="1:5" x14ac:dyDescent="0.25">
      <c r="A2399" t="s">
        <v>15</v>
      </c>
      <c r="B2399" t="s">
        <v>16</v>
      </c>
      <c r="C2399" s="1">
        <v>46061.844444444447</v>
      </c>
      <c r="D2399" s="1">
        <v>46081.958333333343</v>
      </c>
      <c r="E2399" s="2">
        <f t="shared" si="37"/>
        <v>20.113888888896327</v>
      </c>
    </row>
    <row r="2400" spans="1:5" x14ac:dyDescent="0.25">
      <c r="A2400" t="s">
        <v>15</v>
      </c>
      <c r="B2400" t="s">
        <v>8</v>
      </c>
      <c r="C2400" s="1">
        <v>45822.490972222222</v>
      </c>
      <c r="D2400" s="1">
        <v>45873.418749999997</v>
      </c>
      <c r="E2400" s="2">
        <f t="shared" si="37"/>
        <v>50.927777777775191</v>
      </c>
    </row>
    <row r="2401" spans="1:5" x14ac:dyDescent="0.25">
      <c r="A2401" t="s">
        <v>15</v>
      </c>
      <c r="B2401" t="s">
        <v>8</v>
      </c>
      <c r="C2401" s="1">
        <v>46067.473611111112</v>
      </c>
      <c r="D2401" s="1">
        <v>46110.377083333333</v>
      </c>
      <c r="E2401" s="2">
        <f t="shared" si="37"/>
        <v>42.903472222220444</v>
      </c>
    </row>
    <row r="2402" spans="1:5" x14ac:dyDescent="0.25">
      <c r="A2402" t="s">
        <v>15</v>
      </c>
      <c r="B2402" t="s">
        <v>8</v>
      </c>
      <c r="C2402" s="1">
        <v>45659.182638888888</v>
      </c>
      <c r="D2402" s="1">
        <v>45693.05972222222</v>
      </c>
      <c r="E2402" s="2">
        <f t="shared" si="37"/>
        <v>33.877083333332848</v>
      </c>
    </row>
    <row r="2403" spans="1:5" x14ac:dyDescent="0.25">
      <c r="A2403" t="s">
        <v>15</v>
      </c>
      <c r="B2403" t="s">
        <v>16</v>
      </c>
      <c r="C2403" s="1">
        <v>46144.999305555553</v>
      </c>
      <c r="D2403" s="1">
        <v>46157.333333333343</v>
      </c>
      <c r="E2403" s="2">
        <f t="shared" si="37"/>
        <v>12.334027777789743</v>
      </c>
    </row>
    <row r="2404" spans="1:5" x14ac:dyDescent="0.25">
      <c r="A2404" t="s">
        <v>15</v>
      </c>
      <c r="B2404" t="s">
        <v>8</v>
      </c>
      <c r="C2404" s="1">
        <v>46128.64166666667</v>
      </c>
      <c r="D2404" s="1">
        <v>46175.798611111109</v>
      </c>
      <c r="E2404" s="2">
        <f t="shared" si="37"/>
        <v>47.156944444439432</v>
      </c>
    </row>
    <row r="2405" spans="1:5" x14ac:dyDescent="0.25">
      <c r="A2405" t="s">
        <v>15</v>
      </c>
      <c r="B2405" t="s">
        <v>8</v>
      </c>
      <c r="C2405" s="1">
        <v>45734.426388888889</v>
      </c>
      <c r="D2405" s="1">
        <v>45777</v>
      </c>
      <c r="E2405" s="2">
        <f t="shared" si="37"/>
        <v>42.573611111110949</v>
      </c>
    </row>
    <row r="2406" spans="1:5" x14ac:dyDescent="0.25">
      <c r="A2406" t="s">
        <v>15</v>
      </c>
      <c r="B2406" t="s">
        <v>8</v>
      </c>
      <c r="C2406" s="1">
        <v>46067.473611111112</v>
      </c>
      <c r="D2406" s="1">
        <v>46110.377083333333</v>
      </c>
      <c r="E2406" s="2">
        <f t="shared" si="37"/>
        <v>42.903472222220444</v>
      </c>
    </row>
    <row r="2407" spans="1:5" x14ac:dyDescent="0.25">
      <c r="A2407" t="s">
        <v>15</v>
      </c>
      <c r="B2407" t="s">
        <v>8</v>
      </c>
      <c r="C2407" s="1">
        <v>46031.183333333327</v>
      </c>
      <c r="D2407" s="1">
        <v>46074.836805555547</v>
      </c>
      <c r="E2407" s="2">
        <f t="shared" si="37"/>
        <v>43.653472222220444</v>
      </c>
    </row>
    <row r="2408" spans="1:5" x14ac:dyDescent="0.25">
      <c r="A2408" t="s">
        <v>15</v>
      </c>
      <c r="B2408" t="s">
        <v>8</v>
      </c>
      <c r="C2408" s="1">
        <v>45889.688888888893</v>
      </c>
      <c r="D2408" s="1">
        <v>45928.208333333343</v>
      </c>
      <c r="E2408" s="2">
        <f t="shared" si="37"/>
        <v>38.519444444449618</v>
      </c>
    </row>
    <row r="2409" spans="1:5" x14ac:dyDescent="0.25">
      <c r="A2409" t="s">
        <v>15</v>
      </c>
      <c r="B2409" t="s">
        <v>8</v>
      </c>
      <c r="C2409" s="1">
        <v>46063.395833333343</v>
      </c>
      <c r="D2409" s="1">
        <v>46102.916666666657</v>
      </c>
      <c r="E2409" s="2">
        <f t="shared" si="37"/>
        <v>39.520833333313931</v>
      </c>
    </row>
    <row r="2410" spans="1:5" x14ac:dyDescent="0.25">
      <c r="A2410" t="s">
        <v>7</v>
      </c>
      <c r="B2410" t="s">
        <v>8</v>
      </c>
      <c r="C2410" s="1">
        <v>45875.462500000001</v>
      </c>
      <c r="D2410" s="1">
        <v>45920.2</v>
      </c>
      <c r="E2410" s="2">
        <f t="shared" si="37"/>
        <v>44.737499999995634</v>
      </c>
    </row>
    <row r="2411" spans="1:5" x14ac:dyDescent="0.25">
      <c r="A2411" t="s">
        <v>7</v>
      </c>
      <c r="B2411" t="s">
        <v>8</v>
      </c>
      <c r="C2411" s="1">
        <v>45891.552777777782</v>
      </c>
      <c r="D2411" s="1">
        <v>45938.662499999999</v>
      </c>
      <c r="E2411" s="2">
        <f t="shared" si="37"/>
        <v>47.109722222216078</v>
      </c>
    </row>
    <row r="2412" spans="1:5" x14ac:dyDescent="0.25">
      <c r="A2412" t="s">
        <v>7</v>
      </c>
      <c r="B2412" t="s">
        <v>8</v>
      </c>
      <c r="C2412" s="1">
        <v>45822.8</v>
      </c>
      <c r="D2412" s="1">
        <v>45875.612500000003</v>
      </c>
      <c r="E2412" s="2">
        <f t="shared" si="37"/>
        <v>52.8125</v>
      </c>
    </row>
    <row r="2413" spans="1:5" x14ac:dyDescent="0.25">
      <c r="A2413" t="s">
        <v>7</v>
      </c>
      <c r="B2413" t="s">
        <v>8</v>
      </c>
      <c r="C2413" s="1">
        <v>45903.05</v>
      </c>
      <c r="D2413" s="1">
        <v>45938.662499999999</v>
      </c>
      <c r="E2413" s="2">
        <f t="shared" si="37"/>
        <v>35.612499999995634</v>
      </c>
    </row>
    <row r="2414" spans="1:5" x14ac:dyDescent="0.25">
      <c r="A2414" t="s">
        <v>34</v>
      </c>
      <c r="B2414" t="s">
        <v>13</v>
      </c>
      <c r="C2414" s="1">
        <v>46092.720682870371</v>
      </c>
      <c r="D2414" s="1">
        <v>46132.459201388891</v>
      </c>
      <c r="E2414" s="2">
        <f t="shared" si="37"/>
        <v>39.738518518519413</v>
      </c>
    </row>
    <row r="2415" spans="1:5" x14ac:dyDescent="0.25">
      <c r="A2415" t="s">
        <v>11</v>
      </c>
      <c r="B2415" t="s">
        <v>37</v>
      </c>
      <c r="C2415" s="1">
        <v>45907.253472222219</v>
      </c>
      <c r="D2415" s="1">
        <v>45924.195833333331</v>
      </c>
      <c r="E2415" s="2">
        <f t="shared" si="37"/>
        <v>16.942361111112405</v>
      </c>
    </row>
    <row r="2416" spans="1:5" x14ac:dyDescent="0.25">
      <c r="A2416" t="s">
        <v>7</v>
      </c>
      <c r="B2416" t="s">
        <v>8</v>
      </c>
      <c r="C2416" s="1">
        <v>45920.587500000001</v>
      </c>
      <c r="D2416" s="1">
        <v>45965.662499999999</v>
      </c>
      <c r="E2416" s="2">
        <f t="shared" si="37"/>
        <v>45.07499999999709</v>
      </c>
    </row>
    <row r="2417" spans="1:5" x14ac:dyDescent="0.25">
      <c r="A2417" t="s">
        <v>23</v>
      </c>
      <c r="B2417" t="s">
        <v>18</v>
      </c>
      <c r="C2417" s="1">
        <v>46087.270833333343</v>
      </c>
      <c r="D2417" s="1">
        <v>46131.375</v>
      </c>
      <c r="E2417" s="2">
        <f t="shared" si="37"/>
        <v>44.104166666656965</v>
      </c>
    </row>
    <row r="2418" spans="1:5" x14ac:dyDescent="0.25">
      <c r="A2418" t="s">
        <v>27</v>
      </c>
      <c r="B2418" t="s">
        <v>20</v>
      </c>
      <c r="C2418" s="1">
        <v>45666.827777777777</v>
      </c>
      <c r="D2418" s="1">
        <v>45729.604166666657</v>
      </c>
      <c r="E2418" s="2">
        <f t="shared" si="37"/>
        <v>62.776388888880319</v>
      </c>
    </row>
    <row r="2419" spans="1:5" x14ac:dyDescent="0.25">
      <c r="A2419" t="s">
        <v>34</v>
      </c>
      <c r="B2419" t="s">
        <v>13</v>
      </c>
      <c r="C2419" s="1">
        <v>46062.730555555558</v>
      </c>
      <c r="D2419" s="1">
        <v>46101.017361111109</v>
      </c>
      <c r="E2419" s="2">
        <f t="shared" si="37"/>
        <v>38.286805555551837</v>
      </c>
    </row>
    <row r="2420" spans="1:5" x14ac:dyDescent="0.25">
      <c r="A2420" t="s">
        <v>8</v>
      </c>
      <c r="B2420" t="s">
        <v>13</v>
      </c>
      <c r="C2420" s="1">
        <v>45880.894247685188</v>
      </c>
      <c r="D2420" s="1">
        <v>45903.324999999997</v>
      </c>
      <c r="E2420" s="2">
        <f t="shared" si="37"/>
        <v>22.43075231480907</v>
      </c>
    </row>
    <row r="2421" spans="1:5" x14ac:dyDescent="0.25">
      <c r="A2421" t="s">
        <v>10</v>
      </c>
      <c r="B2421" t="s">
        <v>11</v>
      </c>
      <c r="C2421" s="1">
        <v>45783.976655092592</v>
      </c>
      <c r="D2421" s="1">
        <v>45812.137499999997</v>
      </c>
      <c r="E2421" s="2">
        <f t="shared" si="37"/>
        <v>28.16084490740468</v>
      </c>
    </row>
    <row r="2422" spans="1:5" x14ac:dyDescent="0.25">
      <c r="A2422" t="s">
        <v>14</v>
      </c>
      <c r="B2422" t="s">
        <v>34</v>
      </c>
      <c r="C2422" s="1">
        <v>45714.170081018521</v>
      </c>
      <c r="D2422" s="1">
        <v>45759.845833333333</v>
      </c>
      <c r="E2422" s="2">
        <f t="shared" si="37"/>
        <v>45.675752314811689</v>
      </c>
    </row>
    <row r="2423" spans="1:5" x14ac:dyDescent="0.25">
      <c r="A2423" t="s">
        <v>22</v>
      </c>
      <c r="B2423" t="s">
        <v>14</v>
      </c>
      <c r="C2423" s="1">
        <v>45705.035416666673</v>
      </c>
      <c r="D2423" s="1">
        <v>45751.072222222218</v>
      </c>
      <c r="E2423" s="2">
        <f t="shared" si="37"/>
        <v>46.036805555544561</v>
      </c>
    </row>
    <row r="2424" spans="1:5" x14ac:dyDescent="0.25">
      <c r="A2424" t="s">
        <v>22</v>
      </c>
      <c r="B2424" t="s">
        <v>14</v>
      </c>
      <c r="C2424" s="1">
        <v>45866.008518518523</v>
      </c>
      <c r="D2424" s="1">
        <v>45911.3</v>
      </c>
      <c r="E2424" s="2">
        <f t="shared" si="37"/>
        <v>45.291481481479423</v>
      </c>
    </row>
    <row r="2425" spans="1:5" x14ac:dyDescent="0.25">
      <c r="A2425" t="s">
        <v>22</v>
      </c>
      <c r="B2425" t="s">
        <v>14</v>
      </c>
      <c r="C2425" s="1">
        <v>45838.058553240742</v>
      </c>
      <c r="D2425" s="1">
        <v>45889.818055555559</v>
      </c>
      <c r="E2425" s="2">
        <f t="shared" si="37"/>
        <v>51.759502314816928</v>
      </c>
    </row>
    <row r="2426" spans="1:5" x14ac:dyDescent="0.25">
      <c r="A2426" t="s">
        <v>22</v>
      </c>
      <c r="B2426" t="s">
        <v>53</v>
      </c>
      <c r="C2426" s="1">
        <v>45665.796157407407</v>
      </c>
      <c r="D2426" s="1">
        <v>45734.253425925926</v>
      </c>
      <c r="E2426" s="2">
        <f t="shared" si="37"/>
        <v>68.457268518519413</v>
      </c>
    </row>
    <row r="2427" spans="1:5" x14ac:dyDescent="0.25">
      <c r="A2427" t="s">
        <v>15</v>
      </c>
      <c r="B2427" t="s">
        <v>13</v>
      </c>
      <c r="C2427" s="1">
        <v>46114.436111111107</v>
      </c>
      <c r="D2427" s="1">
        <v>46152.242361111108</v>
      </c>
      <c r="E2427" s="2">
        <f t="shared" si="37"/>
        <v>37.806250000001455</v>
      </c>
    </row>
    <row r="2428" spans="1:5" x14ac:dyDescent="0.25">
      <c r="A2428" t="s">
        <v>11</v>
      </c>
      <c r="B2428" t="s">
        <v>64</v>
      </c>
      <c r="C2428" s="1">
        <v>45809.333321759259</v>
      </c>
      <c r="D2428" s="1">
        <v>45823.629166666673</v>
      </c>
      <c r="E2428" s="2">
        <f t="shared" si="37"/>
        <v>14.295844907413993</v>
      </c>
    </row>
    <row r="2429" spans="1:5" x14ac:dyDescent="0.25">
      <c r="A2429" t="s">
        <v>34</v>
      </c>
      <c r="B2429" t="s">
        <v>13</v>
      </c>
      <c r="C2429" s="1">
        <v>45985.14166666667</v>
      </c>
      <c r="D2429" s="1">
        <v>46009.745833333327</v>
      </c>
      <c r="E2429" s="2">
        <f t="shared" si="37"/>
        <v>24.604166666656965</v>
      </c>
    </row>
    <row r="2430" spans="1:5" x14ac:dyDescent="0.25">
      <c r="A2430" t="s">
        <v>22</v>
      </c>
      <c r="B2430" t="s">
        <v>14</v>
      </c>
      <c r="C2430" s="1">
        <v>45883.520833333343</v>
      </c>
      <c r="D2430" s="1">
        <v>45931.817361111112</v>
      </c>
      <c r="E2430" s="2">
        <f t="shared" si="37"/>
        <v>48.29652777776937</v>
      </c>
    </row>
    <row r="2431" spans="1:5" x14ac:dyDescent="0.25">
      <c r="A2431" t="s">
        <v>7</v>
      </c>
      <c r="B2431" t="s">
        <v>11</v>
      </c>
      <c r="C2431" s="1">
        <v>45751.836805555547</v>
      </c>
      <c r="D2431" s="1">
        <v>45840.291666666657</v>
      </c>
      <c r="E2431" s="2">
        <f t="shared" si="37"/>
        <v>88.454861111109494</v>
      </c>
    </row>
    <row r="2432" spans="1:5" x14ac:dyDescent="0.25">
      <c r="A2432" t="s">
        <v>11</v>
      </c>
      <c r="B2432" t="s">
        <v>37</v>
      </c>
      <c r="C2432" s="1">
        <v>45708.521840277783</v>
      </c>
      <c r="D2432" s="1">
        <v>45728.283333333333</v>
      </c>
      <c r="E2432" s="2">
        <f t="shared" si="37"/>
        <v>19.761493055550091</v>
      </c>
    </row>
    <row r="2433" spans="1:5" x14ac:dyDescent="0.25">
      <c r="A2433" t="s">
        <v>22</v>
      </c>
      <c r="B2433" t="s">
        <v>14</v>
      </c>
      <c r="C2433" s="1">
        <v>45918.601400462961</v>
      </c>
      <c r="D2433" s="1">
        <v>45966.55</v>
      </c>
      <c r="E2433" s="2">
        <f t="shared" si="37"/>
        <v>47.948599537041446</v>
      </c>
    </row>
    <row r="2434" spans="1:5" x14ac:dyDescent="0.25">
      <c r="A2434" t="s">
        <v>14</v>
      </c>
      <c r="B2434" t="s">
        <v>22</v>
      </c>
      <c r="C2434" s="1">
        <v>45918.616666666669</v>
      </c>
      <c r="D2434" s="1">
        <v>45983.51666666667</v>
      </c>
      <c r="E2434" s="2">
        <f t="shared" ref="E2434:E2497" si="38">D2434-C2434</f>
        <v>64.900000000001455</v>
      </c>
    </row>
    <row r="2435" spans="1:5" x14ac:dyDescent="0.25">
      <c r="A2435" t="s">
        <v>42</v>
      </c>
      <c r="B2435" t="s">
        <v>19</v>
      </c>
      <c r="C2435" s="1">
        <v>45954.767604166656</v>
      </c>
      <c r="D2435" s="1">
        <v>46001.208333333343</v>
      </c>
      <c r="E2435" s="2">
        <f t="shared" si="38"/>
        <v>46.440729166686651</v>
      </c>
    </row>
    <row r="2436" spans="1:5" x14ac:dyDescent="0.25">
      <c r="A2436" t="s">
        <v>34</v>
      </c>
      <c r="B2436" t="s">
        <v>13</v>
      </c>
      <c r="C2436" s="1">
        <v>45949.679166666669</v>
      </c>
      <c r="D2436" s="1">
        <v>45975.574999999997</v>
      </c>
      <c r="E2436" s="2">
        <f t="shared" si="38"/>
        <v>25.895833333328483</v>
      </c>
    </row>
    <row r="2437" spans="1:5" x14ac:dyDescent="0.25">
      <c r="A2437" t="s">
        <v>8</v>
      </c>
      <c r="B2437" t="s">
        <v>13</v>
      </c>
      <c r="C2437" s="1">
        <v>45852.020833333343</v>
      </c>
      <c r="D2437" s="1">
        <v>45892.79583333333</v>
      </c>
      <c r="E2437" s="2">
        <f t="shared" si="38"/>
        <v>40.774999999986903</v>
      </c>
    </row>
    <row r="2438" spans="1:5" x14ac:dyDescent="0.25">
      <c r="A2438" t="s">
        <v>22</v>
      </c>
      <c r="B2438" t="s">
        <v>14</v>
      </c>
      <c r="C2438" s="1">
        <v>45883.528611111113</v>
      </c>
      <c r="D2438" s="1">
        <v>45931.817361111112</v>
      </c>
      <c r="E2438" s="2">
        <f t="shared" si="38"/>
        <v>48.288749999999709</v>
      </c>
    </row>
    <row r="2439" spans="1:5" x14ac:dyDescent="0.25">
      <c r="A2439" t="s">
        <v>10</v>
      </c>
      <c r="B2439" t="s">
        <v>11</v>
      </c>
      <c r="C2439" s="1">
        <v>45815.037893518522</v>
      </c>
      <c r="D2439" s="1">
        <v>45840.362500000003</v>
      </c>
      <c r="E2439" s="2">
        <f t="shared" si="38"/>
        <v>25.324606481481169</v>
      </c>
    </row>
    <row r="2440" spans="1:5" x14ac:dyDescent="0.25">
      <c r="A2440" t="s">
        <v>34</v>
      </c>
      <c r="B2440" t="s">
        <v>13</v>
      </c>
      <c r="C2440" s="1">
        <v>46100.364583333343</v>
      </c>
      <c r="D2440" s="1">
        <v>46128.446527777778</v>
      </c>
      <c r="E2440" s="2">
        <f t="shared" si="38"/>
        <v>28.081944444435067</v>
      </c>
    </row>
    <row r="2441" spans="1:5" x14ac:dyDescent="0.25">
      <c r="A2441" t="s">
        <v>16</v>
      </c>
      <c r="B2441" t="s">
        <v>20</v>
      </c>
      <c r="C2441" s="1">
        <v>45703.462500000001</v>
      </c>
      <c r="D2441" s="1">
        <v>45747.083333333343</v>
      </c>
      <c r="E2441" s="2">
        <f t="shared" si="38"/>
        <v>43.620833333341579</v>
      </c>
    </row>
    <row r="2442" spans="1:5" x14ac:dyDescent="0.25">
      <c r="A2442" t="s">
        <v>22</v>
      </c>
      <c r="B2442" t="s">
        <v>14</v>
      </c>
      <c r="C2442" s="1">
        <v>45859.182685185187</v>
      </c>
      <c r="D2442" s="1">
        <v>45911.3</v>
      </c>
      <c r="E2442" s="2">
        <f t="shared" si="38"/>
        <v>52.117314814815472</v>
      </c>
    </row>
    <row r="2443" spans="1:5" x14ac:dyDescent="0.25">
      <c r="A2443" t="s">
        <v>15</v>
      </c>
      <c r="B2443" t="s">
        <v>6</v>
      </c>
      <c r="C2443" s="1">
        <v>46021.472222222219</v>
      </c>
      <c r="D2443" s="1">
        <v>46086.75</v>
      </c>
      <c r="E2443" s="2">
        <f t="shared" si="38"/>
        <v>65.277777777781012</v>
      </c>
    </row>
    <row r="2444" spans="1:5" x14ac:dyDescent="0.25">
      <c r="A2444" t="s">
        <v>14</v>
      </c>
      <c r="B2444" t="s">
        <v>22</v>
      </c>
      <c r="C2444" s="1">
        <v>45932.0625</v>
      </c>
      <c r="D2444" s="1">
        <v>46039.09097222222</v>
      </c>
      <c r="E2444" s="2">
        <f t="shared" si="38"/>
        <v>107.02847222222044</v>
      </c>
    </row>
    <row r="2445" spans="1:5" x14ac:dyDescent="0.25">
      <c r="A2445" t="s">
        <v>5</v>
      </c>
      <c r="B2445" t="s">
        <v>8</v>
      </c>
      <c r="C2445" s="1">
        <v>46011.283333333333</v>
      </c>
      <c r="D2445" s="1">
        <v>46047.712500000001</v>
      </c>
      <c r="E2445" s="2">
        <f t="shared" si="38"/>
        <v>36.429166666668607</v>
      </c>
    </row>
    <row r="2446" spans="1:5" x14ac:dyDescent="0.25">
      <c r="A2446" t="s">
        <v>16</v>
      </c>
      <c r="B2446" t="s">
        <v>13</v>
      </c>
      <c r="C2446" s="1">
        <v>45703.462500000001</v>
      </c>
      <c r="D2446" s="1">
        <v>45742.387499999997</v>
      </c>
      <c r="E2446" s="2">
        <f t="shared" si="38"/>
        <v>38.924999999995634</v>
      </c>
    </row>
    <row r="2447" spans="1:5" x14ac:dyDescent="0.25">
      <c r="A2447" t="s">
        <v>10</v>
      </c>
      <c r="B2447" t="s">
        <v>8</v>
      </c>
      <c r="C2447" s="1">
        <v>46129.761111111111</v>
      </c>
      <c r="D2447" s="1">
        <v>46146.574305555558</v>
      </c>
      <c r="E2447" s="2">
        <f t="shared" si="38"/>
        <v>16.813194444446708</v>
      </c>
    </row>
    <row r="2448" spans="1:5" x14ac:dyDescent="0.25">
      <c r="A2448" t="s">
        <v>7</v>
      </c>
      <c r="B2448" t="s">
        <v>8</v>
      </c>
      <c r="C2448" s="1">
        <v>45822.8</v>
      </c>
      <c r="D2448" s="1">
        <v>45875.612500000003</v>
      </c>
      <c r="E2448" s="2">
        <f t="shared" si="38"/>
        <v>52.8125</v>
      </c>
    </row>
    <row r="2449" spans="1:5" x14ac:dyDescent="0.25">
      <c r="A2449" t="s">
        <v>5</v>
      </c>
      <c r="B2449" t="s">
        <v>8</v>
      </c>
      <c r="C2449" s="1">
        <v>46115.291666666657</v>
      </c>
      <c r="D2449" s="1">
        <v>46188.845833333333</v>
      </c>
      <c r="E2449" s="2">
        <f t="shared" si="38"/>
        <v>73.554166666675883</v>
      </c>
    </row>
    <row r="2450" spans="1:5" x14ac:dyDescent="0.25">
      <c r="A2450" t="s">
        <v>11</v>
      </c>
      <c r="B2450" t="s">
        <v>19</v>
      </c>
      <c r="C2450" s="1">
        <v>45941.828472222223</v>
      </c>
      <c r="D2450" s="1">
        <v>45998.9</v>
      </c>
      <c r="E2450" s="2">
        <f t="shared" si="38"/>
        <v>57.071527777778101</v>
      </c>
    </row>
    <row r="2451" spans="1:5" x14ac:dyDescent="0.25">
      <c r="A2451" t="s">
        <v>7</v>
      </c>
      <c r="B2451" t="s">
        <v>6</v>
      </c>
      <c r="C2451" s="1">
        <v>46162.645833333343</v>
      </c>
      <c r="D2451" s="1">
        <v>46215.35833333333</v>
      </c>
      <c r="E2451" s="2">
        <f t="shared" si="38"/>
        <v>52.712499999986903</v>
      </c>
    </row>
    <row r="2452" spans="1:5" x14ac:dyDescent="0.25">
      <c r="A2452" t="s">
        <v>12</v>
      </c>
      <c r="B2452" t="s">
        <v>13</v>
      </c>
      <c r="C2452" s="1">
        <v>45692.675000000003</v>
      </c>
      <c r="D2452" s="1">
        <v>45732.752083333333</v>
      </c>
      <c r="E2452" s="2">
        <f t="shared" si="38"/>
        <v>40.077083333329938</v>
      </c>
    </row>
    <row r="2453" spans="1:5" x14ac:dyDescent="0.25">
      <c r="A2453" t="s">
        <v>22</v>
      </c>
      <c r="B2453" t="s">
        <v>19</v>
      </c>
      <c r="C2453" s="1">
        <v>45754.15</v>
      </c>
      <c r="D2453" s="1">
        <v>45816.841666666667</v>
      </c>
      <c r="E2453" s="2">
        <f t="shared" si="38"/>
        <v>62.691666666665697</v>
      </c>
    </row>
    <row r="2454" spans="1:5" x14ac:dyDescent="0.25">
      <c r="A2454" t="s">
        <v>11</v>
      </c>
      <c r="B2454" t="s">
        <v>37</v>
      </c>
      <c r="C2454" s="1">
        <v>45663.672048611108</v>
      </c>
      <c r="D2454" s="1">
        <v>45678.612500000003</v>
      </c>
      <c r="E2454" s="2">
        <f t="shared" si="38"/>
        <v>14.940451388894871</v>
      </c>
    </row>
    <row r="2455" spans="1:5" x14ac:dyDescent="0.25">
      <c r="A2455" t="s">
        <v>11</v>
      </c>
      <c r="B2455" t="s">
        <v>21</v>
      </c>
      <c r="C2455" s="1">
        <v>46011.020833333343</v>
      </c>
      <c r="D2455" s="1">
        <v>46021.51666666667</v>
      </c>
      <c r="E2455" s="2">
        <f t="shared" si="38"/>
        <v>10.495833333327028</v>
      </c>
    </row>
    <row r="2456" spans="1:5" x14ac:dyDescent="0.25">
      <c r="A2456" t="s">
        <v>15</v>
      </c>
      <c r="B2456" t="s">
        <v>13</v>
      </c>
      <c r="C2456" s="1">
        <v>46241.367766203701</v>
      </c>
      <c r="D2456" s="1">
        <v>46274.515081018522</v>
      </c>
      <c r="E2456" s="2">
        <f t="shared" si="38"/>
        <v>33.147314814821584</v>
      </c>
    </row>
    <row r="2457" spans="1:5" x14ac:dyDescent="0.25">
      <c r="A2457" t="s">
        <v>11</v>
      </c>
      <c r="B2457" t="s">
        <v>19</v>
      </c>
      <c r="C2457" s="1">
        <v>45666.151828703703</v>
      </c>
      <c r="D2457" s="1">
        <v>45709.966666666667</v>
      </c>
      <c r="E2457" s="2">
        <f t="shared" si="38"/>
        <v>43.814837962963793</v>
      </c>
    </row>
    <row r="2458" spans="1:5" x14ac:dyDescent="0.25">
      <c r="A2458" t="s">
        <v>5</v>
      </c>
      <c r="B2458" t="s">
        <v>8</v>
      </c>
      <c r="C2458" s="1">
        <v>46248.977083333331</v>
      </c>
      <c r="D2458" s="1">
        <v>46279.837916666656</v>
      </c>
      <c r="E2458" s="2">
        <f t="shared" si="38"/>
        <v>30.86083333332499</v>
      </c>
    </row>
    <row r="2459" spans="1:5" x14ac:dyDescent="0.25">
      <c r="A2459" t="s">
        <v>5</v>
      </c>
      <c r="B2459" t="s">
        <v>8</v>
      </c>
      <c r="C2459" s="1">
        <v>46144.320833333331</v>
      </c>
      <c r="D2459" s="1">
        <v>46174.822662037041</v>
      </c>
      <c r="E2459" s="2">
        <f t="shared" si="38"/>
        <v>30.50182870370918</v>
      </c>
    </row>
    <row r="2460" spans="1:5" x14ac:dyDescent="0.25">
      <c r="A2460" t="s">
        <v>5</v>
      </c>
      <c r="B2460" t="s">
        <v>8</v>
      </c>
      <c r="C2460" s="1">
        <v>45731.86041666667</v>
      </c>
      <c r="D2460" s="1">
        <v>45761.405555555553</v>
      </c>
      <c r="E2460" s="2">
        <f t="shared" si="38"/>
        <v>29.54513888888323</v>
      </c>
    </row>
    <row r="2461" spans="1:5" x14ac:dyDescent="0.25">
      <c r="A2461" t="s">
        <v>15</v>
      </c>
      <c r="B2461" t="s">
        <v>18</v>
      </c>
      <c r="C2461" s="1">
        <v>46226.007013888891</v>
      </c>
      <c r="D2461" s="1">
        <v>46269.724999999999</v>
      </c>
      <c r="E2461" s="2">
        <f t="shared" si="38"/>
        <v>43.717986111107166</v>
      </c>
    </row>
    <row r="2462" spans="1:5" x14ac:dyDescent="0.25">
      <c r="A2462" t="s">
        <v>41</v>
      </c>
      <c r="B2462" t="s">
        <v>8</v>
      </c>
      <c r="C2462" s="1">
        <v>46147.527777777781</v>
      </c>
      <c r="D2462" s="1">
        <v>46184.934027777781</v>
      </c>
      <c r="E2462" s="2">
        <f t="shared" si="38"/>
        <v>37.40625</v>
      </c>
    </row>
    <row r="2463" spans="1:5" x14ac:dyDescent="0.25">
      <c r="A2463" t="s">
        <v>8</v>
      </c>
      <c r="B2463" t="s">
        <v>27</v>
      </c>
      <c r="C2463" s="1">
        <v>45939.04583333333</v>
      </c>
      <c r="D2463" s="1">
        <v>45979.347222222219</v>
      </c>
      <c r="E2463" s="2">
        <f t="shared" si="38"/>
        <v>40.301388888889051</v>
      </c>
    </row>
    <row r="2464" spans="1:5" x14ac:dyDescent="0.25">
      <c r="A2464" t="s">
        <v>13</v>
      </c>
      <c r="B2464" t="s">
        <v>8</v>
      </c>
      <c r="C2464" s="1">
        <v>45734.956944444442</v>
      </c>
      <c r="D2464" s="1">
        <v>45777</v>
      </c>
      <c r="E2464" s="2">
        <f t="shared" si="38"/>
        <v>42.043055555557657</v>
      </c>
    </row>
    <row r="2465" spans="1:5" x14ac:dyDescent="0.25">
      <c r="A2465" t="s">
        <v>5</v>
      </c>
      <c r="B2465" t="s">
        <v>43</v>
      </c>
      <c r="C2465" s="1">
        <v>45890.195138888892</v>
      </c>
      <c r="D2465" s="1">
        <v>45939.913888888892</v>
      </c>
      <c r="E2465" s="2">
        <f t="shared" si="38"/>
        <v>49.71875</v>
      </c>
    </row>
    <row r="2466" spans="1:5" x14ac:dyDescent="0.25">
      <c r="A2466" t="s">
        <v>41</v>
      </c>
      <c r="B2466" t="s">
        <v>43</v>
      </c>
      <c r="C2466" s="1">
        <v>46014.258333333331</v>
      </c>
      <c r="D2466" s="1">
        <v>46073.114583333343</v>
      </c>
      <c r="E2466" s="2">
        <f t="shared" si="38"/>
        <v>58.856250000011642</v>
      </c>
    </row>
    <row r="2467" spans="1:5" x14ac:dyDescent="0.25">
      <c r="A2467" t="s">
        <v>15</v>
      </c>
      <c r="B2467" t="s">
        <v>19</v>
      </c>
      <c r="C2467" s="1">
        <v>45996.723923611113</v>
      </c>
      <c r="D2467" s="1">
        <v>46037.083726851852</v>
      </c>
      <c r="E2467" s="2">
        <f t="shared" si="38"/>
        <v>40.359803240738984</v>
      </c>
    </row>
    <row r="2468" spans="1:5" x14ac:dyDescent="0.25">
      <c r="A2468" t="s">
        <v>15</v>
      </c>
      <c r="B2468" t="s">
        <v>18</v>
      </c>
      <c r="C2468" s="1">
        <v>46004.711111111108</v>
      </c>
      <c r="D2468" s="1">
        <v>46057.911111111112</v>
      </c>
      <c r="E2468" s="2">
        <f t="shared" si="38"/>
        <v>53.200000000004366</v>
      </c>
    </row>
    <row r="2469" spans="1:5" x14ac:dyDescent="0.25">
      <c r="A2469" t="s">
        <v>17</v>
      </c>
      <c r="B2469" t="s">
        <v>18</v>
      </c>
      <c r="C2469" s="1">
        <v>45709</v>
      </c>
      <c r="D2469" s="1">
        <v>45757</v>
      </c>
      <c r="E2469" s="2">
        <f t="shared" si="38"/>
        <v>48</v>
      </c>
    </row>
    <row r="2470" spans="1:5" x14ac:dyDescent="0.25">
      <c r="A2470" t="s">
        <v>22</v>
      </c>
      <c r="B2470" t="s">
        <v>19</v>
      </c>
      <c r="C2470" s="1">
        <v>46237.129166666673</v>
      </c>
      <c r="D2470" s="1">
        <v>46285.245833333327</v>
      </c>
      <c r="E2470" s="2">
        <f t="shared" si="38"/>
        <v>48.116666666654055</v>
      </c>
    </row>
    <row r="2471" spans="1:5" x14ac:dyDescent="0.25">
      <c r="A2471" t="s">
        <v>5</v>
      </c>
      <c r="B2471" t="s">
        <v>8</v>
      </c>
      <c r="C2471" s="1">
        <v>46093.625</v>
      </c>
      <c r="D2471" s="1">
        <v>46141.354166666657</v>
      </c>
      <c r="E2471" s="2">
        <f t="shared" si="38"/>
        <v>47.729166666656965</v>
      </c>
    </row>
    <row r="2472" spans="1:5" x14ac:dyDescent="0.25">
      <c r="A2472" t="s">
        <v>5</v>
      </c>
      <c r="B2472" t="s">
        <v>47</v>
      </c>
      <c r="C2472" s="1">
        <v>46049.5</v>
      </c>
      <c r="D2472" s="1">
        <v>46079.145833333343</v>
      </c>
      <c r="E2472" s="2">
        <f t="shared" si="38"/>
        <v>29.645833333343035</v>
      </c>
    </row>
    <row r="2473" spans="1:5" x14ac:dyDescent="0.25">
      <c r="A2473" t="s">
        <v>5</v>
      </c>
      <c r="B2473" t="s">
        <v>8</v>
      </c>
      <c r="C2473" s="1">
        <v>46101.51666666667</v>
      </c>
      <c r="D2473" s="1">
        <v>46146.737500000003</v>
      </c>
      <c r="E2473" s="2">
        <f t="shared" si="38"/>
        <v>45.220833333332848</v>
      </c>
    </row>
    <row r="2474" spans="1:5" x14ac:dyDescent="0.25">
      <c r="A2474" t="s">
        <v>7</v>
      </c>
      <c r="B2474" t="s">
        <v>11</v>
      </c>
      <c r="C2474" s="1">
        <v>45981.033333333333</v>
      </c>
      <c r="D2474" s="1">
        <v>46070.337500000001</v>
      </c>
      <c r="E2474" s="2">
        <f t="shared" si="38"/>
        <v>89.304166666668607</v>
      </c>
    </row>
    <row r="2475" spans="1:5" x14ac:dyDescent="0.25">
      <c r="A2475" t="s">
        <v>7</v>
      </c>
      <c r="B2475" t="s">
        <v>8</v>
      </c>
      <c r="C2475" s="1">
        <v>45875.256249999999</v>
      </c>
      <c r="D2475" s="1">
        <v>45920.2</v>
      </c>
      <c r="E2475" s="2">
        <f t="shared" si="38"/>
        <v>44.943749999998545</v>
      </c>
    </row>
    <row r="2476" spans="1:5" x14ac:dyDescent="0.25">
      <c r="A2476" t="s">
        <v>7</v>
      </c>
      <c r="B2476" t="s">
        <v>8</v>
      </c>
      <c r="C2476" s="1">
        <v>45785.595833333333</v>
      </c>
      <c r="D2476" s="1">
        <v>45818.416666666657</v>
      </c>
      <c r="E2476" s="2">
        <f t="shared" si="38"/>
        <v>32.820833333324117</v>
      </c>
    </row>
    <row r="2477" spans="1:5" x14ac:dyDescent="0.25">
      <c r="A2477" t="s">
        <v>5</v>
      </c>
      <c r="B2477" t="s">
        <v>8</v>
      </c>
      <c r="C2477" s="1">
        <v>45995.0625</v>
      </c>
      <c r="D2477" s="1">
        <v>46028.791666666657</v>
      </c>
      <c r="E2477" s="2">
        <f t="shared" si="38"/>
        <v>33.729166666656965</v>
      </c>
    </row>
    <row r="2478" spans="1:5" x14ac:dyDescent="0.25">
      <c r="A2478" t="s">
        <v>5</v>
      </c>
      <c r="B2478" t="s">
        <v>8</v>
      </c>
      <c r="C2478" s="1">
        <v>46065.004166666673</v>
      </c>
      <c r="D2478" s="1">
        <v>46099.525000000001</v>
      </c>
      <c r="E2478" s="2">
        <f t="shared" si="38"/>
        <v>34.520833333328483</v>
      </c>
    </row>
    <row r="2479" spans="1:5" x14ac:dyDescent="0.25">
      <c r="A2479" t="s">
        <v>8</v>
      </c>
      <c r="B2479" t="s">
        <v>19</v>
      </c>
      <c r="C2479" s="1">
        <v>46141.833333333343</v>
      </c>
      <c r="D2479" s="1">
        <v>46187.854166666657</v>
      </c>
      <c r="E2479" s="2">
        <f t="shared" si="38"/>
        <v>46.020833333313931</v>
      </c>
    </row>
    <row r="2480" spans="1:5" x14ac:dyDescent="0.25">
      <c r="A2480" t="s">
        <v>12</v>
      </c>
      <c r="B2480" t="s">
        <v>8</v>
      </c>
      <c r="C2480" s="1">
        <v>46057.875</v>
      </c>
      <c r="D2480" s="1">
        <v>46102.916666666657</v>
      </c>
      <c r="E2480" s="2">
        <f t="shared" si="38"/>
        <v>45.041666666656965</v>
      </c>
    </row>
    <row r="2481" spans="1:5" x14ac:dyDescent="0.25">
      <c r="A2481" t="s">
        <v>15</v>
      </c>
      <c r="B2481" t="s">
        <v>18</v>
      </c>
      <c r="C2481" s="1">
        <v>46081.041666666657</v>
      </c>
      <c r="D2481" s="1">
        <v>46131.375</v>
      </c>
      <c r="E2481" s="2">
        <f t="shared" si="38"/>
        <v>50.333333333343035</v>
      </c>
    </row>
    <row r="2482" spans="1:5" x14ac:dyDescent="0.25">
      <c r="A2482" t="s">
        <v>27</v>
      </c>
      <c r="B2482" t="s">
        <v>20</v>
      </c>
      <c r="C2482" s="1">
        <v>45751.481249999997</v>
      </c>
      <c r="D2482" s="1">
        <v>45824.612500000003</v>
      </c>
      <c r="E2482" s="2">
        <f t="shared" si="38"/>
        <v>73.131250000005821</v>
      </c>
    </row>
    <row r="2483" spans="1:5" x14ac:dyDescent="0.25">
      <c r="A2483" t="s">
        <v>22</v>
      </c>
      <c r="B2483" t="s">
        <v>51</v>
      </c>
      <c r="C2483" s="1">
        <v>46069.547222222223</v>
      </c>
      <c r="D2483" s="1">
        <v>46129.326388888891</v>
      </c>
      <c r="E2483" s="2">
        <f t="shared" si="38"/>
        <v>59.779166666667152</v>
      </c>
    </row>
    <row r="2484" spans="1:5" x14ac:dyDescent="0.25">
      <c r="A2484" t="s">
        <v>17</v>
      </c>
      <c r="B2484" t="s">
        <v>18</v>
      </c>
      <c r="C2484" s="1">
        <v>45666</v>
      </c>
      <c r="D2484" s="1">
        <v>45719.984027777777</v>
      </c>
      <c r="E2484" s="2">
        <f t="shared" si="38"/>
        <v>53.984027777776646</v>
      </c>
    </row>
    <row r="2485" spans="1:5" x14ac:dyDescent="0.25">
      <c r="A2485" t="s">
        <v>28</v>
      </c>
      <c r="B2485" t="s">
        <v>18</v>
      </c>
      <c r="C2485" s="1">
        <v>46031.759722222218</v>
      </c>
      <c r="D2485" s="1">
        <v>46100.083333333343</v>
      </c>
      <c r="E2485" s="2">
        <f t="shared" si="38"/>
        <v>68.323611111125501</v>
      </c>
    </row>
    <row r="2486" spans="1:5" x14ac:dyDescent="0.25">
      <c r="A2486" t="s">
        <v>27</v>
      </c>
      <c r="B2486" t="s">
        <v>18</v>
      </c>
      <c r="C2486" s="1">
        <v>45845.912499999999</v>
      </c>
      <c r="D2486" s="1">
        <v>45897.833333333343</v>
      </c>
      <c r="E2486" s="2">
        <f t="shared" si="38"/>
        <v>51.92083333334449</v>
      </c>
    </row>
    <row r="2487" spans="1:5" x14ac:dyDescent="0.25">
      <c r="A2487" t="s">
        <v>8</v>
      </c>
      <c r="B2487" t="s">
        <v>18</v>
      </c>
      <c r="C2487" s="1">
        <v>46212.760416666657</v>
      </c>
      <c r="D2487" s="1">
        <v>46269.7</v>
      </c>
      <c r="E2487" s="2">
        <f t="shared" si="38"/>
        <v>56.939583333340124</v>
      </c>
    </row>
    <row r="2488" spans="1:5" x14ac:dyDescent="0.25">
      <c r="A2488" t="s">
        <v>34</v>
      </c>
      <c r="B2488" t="s">
        <v>8</v>
      </c>
      <c r="C2488" s="1">
        <v>45929.73541666667</v>
      </c>
      <c r="D2488" s="1">
        <v>45961.302777777782</v>
      </c>
      <c r="E2488" s="2">
        <f t="shared" si="38"/>
        <v>31.567361111112405</v>
      </c>
    </row>
    <row r="2489" spans="1:5" x14ac:dyDescent="0.25">
      <c r="A2489" t="s">
        <v>28</v>
      </c>
      <c r="B2489" t="s">
        <v>18</v>
      </c>
      <c r="C2489" s="1">
        <v>45852.695138888892</v>
      </c>
      <c r="D2489" s="1">
        <v>45917.230555555558</v>
      </c>
      <c r="E2489" s="2">
        <f t="shared" si="38"/>
        <v>64.535416666665697</v>
      </c>
    </row>
    <row r="2490" spans="1:5" x14ac:dyDescent="0.25">
      <c r="A2490" t="s">
        <v>6</v>
      </c>
      <c r="B2490" t="s">
        <v>8</v>
      </c>
      <c r="C2490" s="1">
        <v>45685.074999999997</v>
      </c>
      <c r="D2490" s="1">
        <v>45728.632638888892</v>
      </c>
      <c r="E2490" s="2">
        <f t="shared" si="38"/>
        <v>43.557638888894871</v>
      </c>
    </row>
    <row r="2491" spans="1:5" x14ac:dyDescent="0.25">
      <c r="A2491" t="s">
        <v>12</v>
      </c>
      <c r="B2491" t="s">
        <v>13</v>
      </c>
      <c r="C2491" s="1">
        <v>45733.666666666657</v>
      </c>
      <c r="D2491" s="1">
        <v>45777.879166666673</v>
      </c>
      <c r="E2491" s="2">
        <f t="shared" si="38"/>
        <v>44.212500000016007</v>
      </c>
    </row>
    <row r="2492" spans="1:5" x14ac:dyDescent="0.25">
      <c r="A2492" t="s">
        <v>5</v>
      </c>
      <c r="B2492" t="s">
        <v>8</v>
      </c>
      <c r="C2492" s="1">
        <v>45707.716666666667</v>
      </c>
      <c r="D2492" s="1">
        <v>45734.852777777778</v>
      </c>
      <c r="E2492" s="2">
        <f t="shared" si="38"/>
        <v>27.136111111110949</v>
      </c>
    </row>
    <row r="2493" spans="1:5" x14ac:dyDescent="0.25">
      <c r="A2493" t="s">
        <v>5</v>
      </c>
      <c r="B2493" t="s">
        <v>8</v>
      </c>
      <c r="C2493" s="1">
        <v>46236.134722222218</v>
      </c>
      <c r="D2493" s="1">
        <v>46258.286412037043</v>
      </c>
      <c r="E2493" s="2">
        <f t="shared" si="38"/>
        <v>22.151689814825659</v>
      </c>
    </row>
    <row r="2494" spans="1:5" x14ac:dyDescent="0.25">
      <c r="A2494" t="s">
        <v>5</v>
      </c>
      <c r="B2494" t="s">
        <v>8</v>
      </c>
      <c r="C2494" s="1">
        <v>45674.279166666667</v>
      </c>
      <c r="D2494" s="1">
        <v>45702.654166666667</v>
      </c>
      <c r="E2494" s="2">
        <f t="shared" si="38"/>
        <v>28.375</v>
      </c>
    </row>
    <row r="2495" spans="1:5" x14ac:dyDescent="0.25">
      <c r="A2495" t="s">
        <v>5</v>
      </c>
      <c r="B2495" t="s">
        <v>8</v>
      </c>
      <c r="C2495" s="1">
        <v>45745.952974537038</v>
      </c>
      <c r="D2495" s="1">
        <v>45775.742037037038</v>
      </c>
      <c r="E2495" s="2">
        <f t="shared" si="38"/>
        <v>29.7890625</v>
      </c>
    </row>
    <row r="2496" spans="1:5" x14ac:dyDescent="0.25">
      <c r="A2496" t="s">
        <v>5</v>
      </c>
      <c r="B2496" t="s">
        <v>8</v>
      </c>
      <c r="C2496" s="1">
        <v>45707.716666666667</v>
      </c>
      <c r="D2496" s="1">
        <v>45734.852777777778</v>
      </c>
      <c r="E2496" s="2">
        <f t="shared" si="38"/>
        <v>27.136111111110949</v>
      </c>
    </row>
    <row r="2497" spans="1:5" x14ac:dyDescent="0.25">
      <c r="A2497" t="s">
        <v>5</v>
      </c>
      <c r="B2497" t="s">
        <v>8</v>
      </c>
      <c r="C2497" s="1">
        <v>45758.429166666669</v>
      </c>
      <c r="D2497" s="1">
        <v>45789.869444444441</v>
      </c>
      <c r="E2497" s="2">
        <f t="shared" si="38"/>
        <v>31.44027777777228</v>
      </c>
    </row>
    <row r="2498" spans="1:5" x14ac:dyDescent="0.25">
      <c r="A2498" t="s">
        <v>5</v>
      </c>
      <c r="B2498" t="s">
        <v>8</v>
      </c>
      <c r="C2498" s="1">
        <v>46169.74722222222</v>
      </c>
      <c r="D2498" s="1">
        <v>46195.515729166669</v>
      </c>
      <c r="E2498" s="2">
        <f t="shared" ref="E2498:E2561" si="39">D2498-C2498</f>
        <v>25.768506944448745</v>
      </c>
    </row>
    <row r="2499" spans="1:5" x14ac:dyDescent="0.25">
      <c r="A2499" t="s">
        <v>22</v>
      </c>
      <c r="B2499" t="s">
        <v>19</v>
      </c>
      <c r="C2499" s="1">
        <v>45966.167245370372</v>
      </c>
      <c r="D2499" s="1">
        <v>46015.497349537043</v>
      </c>
      <c r="E2499" s="2">
        <f t="shared" si="39"/>
        <v>49.330104166670935</v>
      </c>
    </row>
    <row r="2500" spans="1:5" x14ac:dyDescent="0.25">
      <c r="A2500" t="s">
        <v>5</v>
      </c>
      <c r="B2500" t="s">
        <v>8</v>
      </c>
      <c r="C2500" s="1">
        <v>45715.841666666667</v>
      </c>
      <c r="D2500" s="1">
        <v>45741.816666666673</v>
      </c>
      <c r="E2500" s="2">
        <f t="shared" si="39"/>
        <v>25.975000000005821</v>
      </c>
    </row>
    <row r="2501" spans="1:5" x14ac:dyDescent="0.25">
      <c r="A2501" t="s">
        <v>5</v>
      </c>
      <c r="B2501" t="s">
        <v>8</v>
      </c>
      <c r="C2501" s="1">
        <v>45735.674305555563</v>
      </c>
      <c r="D2501" s="1">
        <v>45764.501828703702</v>
      </c>
      <c r="E2501" s="2">
        <f t="shared" si="39"/>
        <v>28.827523148138425</v>
      </c>
    </row>
    <row r="2502" spans="1:5" x14ac:dyDescent="0.25">
      <c r="A2502" t="s">
        <v>5</v>
      </c>
      <c r="B2502" t="s">
        <v>8</v>
      </c>
      <c r="C2502" s="1">
        <v>46206.119351851848</v>
      </c>
      <c r="D2502" s="1">
        <v>46230.576724537037</v>
      </c>
      <c r="E2502" s="2">
        <f t="shared" si="39"/>
        <v>24.457372685188602</v>
      </c>
    </row>
    <row r="2503" spans="1:5" x14ac:dyDescent="0.25">
      <c r="A2503" t="s">
        <v>5</v>
      </c>
      <c r="B2503" t="s">
        <v>8</v>
      </c>
      <c r="C2503" s="1">
        <v>46169.74722222222</v>
      </c>
      <c r="D2503" s="1">
        <v>46195.520138888889</v>
      </c>
      <c r="E2503" s="2">
        <f t="shared" si="39"/>
        <v>25.772916666668607</v>
      </c>
    </row>
    <row r="2504" spans="1:5" x14ac:dyDescent="0.25">
      <c r="A2504" t="s">
        <v>5</v>
      </c>
      <c r="B2504" t="s">
        <v>8</v>
      </c>
      <c r="C2504" s="1">
        <v>45750.686111111107</v>
      </c>
      <c r="D2504" s="1">
        <v>45782.671527777777</v>
      </c>
      <c r="E2504" s="2">
        <f t="shared" si="39"/>
        <v>31.985416666670062</v>
      </c>
    </row>
    <row r="2505" spans="1:5" x14ac:dyDescent="0.25">
      <c r="A2505" t="s">
        <v>46</v>
      </c>
      <c r="B2505" t="s">
        <v>11</v>
      </c>
      <c r="C2505" s="1">
        <v>46242.522916666669</v>
      </c>
      <c r="D2505" s="1">
        <v>46252.990972222222</v>
      </c>
      <c r="E2505" s="2">
        <f t="shared" si="39"/>
        <v>10.468055555553292</v>
      </c>
    </row>
    <row r="2506" spans="1:5" x14ac:dyDescent="0.25">
      <c r="A2506" t="s">
        <v>5</v>
      </c>
      <c r="B2506" t="s">
        <v>8</v>
      </c>
      <c r="C2506" s="1">
        <v>45659.054166666669</v>
      </c>
      <c r="D2506" s="1">
        <v>45685.674305555563</v>
      </c>
      <c r="E2506" s="2">
        <f t="shared" si="39"/>
        <v>26.620138888894871</v>
      </c>
    </row>
    <row r="2507" spans="1:5" x14ac:dyDescent="0.25">
      <c r="A2507" t="s">
        <v>22</v>
      </c>
      <c r="B2507" t="s">
        <v>51</v>
      </c>
      <c r="C2507" s="1">
        <v>45701.625</v>
      </c>
      <c r="D2507" s="1">
        <v>45784.277777777781</v>
      </c>
      <c r="E2507" s="2">
        <f t="shared" si="39"/>
        <v>82.652777777781012</v>
      </c>
    </row>
    <row r="2508" spans="1:5" x14ac:dyDescent="0.25">
      <c r="A2508" t="s">
        <v>22</v>
      </c>
      <c r="B2508" t="s">
        <v>14</v>
      </c>
      <c r="C2508" s="1">
        <v>46082.694444444453</v>
      </c>
      <c r="D2508" s="1">
        <v>46169.621527777781</v>
      </c>
      <c r="E2508" s="2">
        <f t="shared" si="39"/>
        <v>86.927083333328483</v>
      </c>
    </row>
    <row r="2509" spans="1:5" x14ac:dyDescent="0.25">
      <c r="A2509" t="s">
        <v>5</v>
      </c>
      <c r="B2509" t="s">
        <v>43</v>
      </c>
      <c r="C2509" s="1">
        <v>45879.918055555558</v>
      </c>
      <c r="D2509" s="1">
        <v>45932.754861111112</v>
      </c>
      <c r="E2509" s="2">
        <f t="shared" si="39"/>
        <v>52.836805555554747</v>
      </c>
    </row>
    <row r="2510" spans="1:5" x14ac:dyDescent="0.25">
      <c r="A2510" t="s">
        <v>28</v>
      </c>
      <c r="B2510" t="s">
        <v>30</v>
      </c>
      <c r="C2510" s="1">
        <v>45835.822916666657</v>
      </c>
      <c r="D2510" s="1">
        <v>45886.538194444453</v>
      </c>
      <c r="E2510" s="2">
        <f t="shared" si="39"/>
        <v>50.715277777795563</v>
      </c>
    </row>
    <row r="2511" spans="1:5" x14ac:dyDescent="0.25">
      <c r="A2511" t="s">
        <v>8</v>
      </c>
      <c r="B2511" t="s">
        <v>6</v>
      </c>
      <c r="C2511" s="1">
        <v>45979.114583333343</v>
      </c>
      <c r="D2511" s="1">
        <v>46046.510416666657</v>
      </c>
      <c r="E2511" s="2">
        <f t="shared" si="39"/>
        <v>67.395833333313931</v>
      </c>
    </row>
    <row r="2512" spans="1:5" x14ac:dyDescent="0.25">
      <c r="A2512" t="s">
        <v>9</v>
      </c>
      <c r="B2512" t="s">
        <v>11</v>
      </c>
      <c r="C2512" s="1">
        <v>46162.663194444453</v>
      </c>
      <c r="D2512" s="1">
        <v>46246.513888888891</v>
      </c>
      <c r="E2512" s="2">
        <f t="shared" si="39"/>
        <v>83.850694444437977</v>
      </c>
    </row>
    <row r="2513" spans="1:5" x14ac:dyDescent="0.25">
      <c r="A2513" t="s">
        <v>7</v>
      </c>
      <c r="B2513" t="s">
        <v>8</v>
      </c>
      <c r="C2513" s="1">
        <v>45822.359027777777</v>
      </c>
      <c r="D2513" s="1">
        <v>45875.612500000003</v>
      </c>
      <c r="E2513" s="2">
        <f t="shared" si="39"/>
        <v>53.253472222226264</v>
      </c>
    </row>
    <row r="2514" spans="1:5" x14ac:dyDescent="0.25">
      <c r="A2514" t="s">
        <v>9</v>
      </c>
      <c r="B2514" t="s">
        <v>8</v>
      </c>
      <c r="C2514" s="1">
        <v>45972.106249999997</v>
      </c>
      <c r="D2514" s="1">
        <v>46003.89166666667</v>
      </c>
      <c r="E2514" s="2">
        <f t="shared" si="39"/>
        <v>31.785416666672972</v>
      </c>
    </row>
    <row r="2515" spans="1:5" x14ac:dyDescent="0.25">
      <c r="A2515" t="s">
        <v>7</v>
      </c>
      <c r="B2515" t="s">
        <v>8</v>
      </c>
      <c r="C2515" s="1">
        <v>45931.208333333343</v>
      </c>
      <c r="D2515" s="1">
        <v>45966.508333333331</v>
      </c>
      <c r="E2515" s="2">
        <f t="shared" si="39"/>
        <v>35.299999999988358</v>
      </c>
    </row>
    <row r="2516" spans="1:5" x14ac:dyDescent="0.25">
      <c r="A2516" t="s">
        <v>15</v>
      </c>
      <c r="B2516" t="s">
        <v>13</v>
      </c>
      <c r="C2516" s="1">
        <v>46130.53402777778</v>
      </c>
      <c r="D2516" s="1">
        <v>46168.666666666657</v>
      </c>
      <c r="E2516" s="2">
        <f t="shared" si="39"/>
        <v>38.132638888877409</v>
      </c>
    </row>
    <row r="2517" spans="1:5" x14ac:dyDescent="0.25">
      <c r="A2517" t="s">
        <v>23</v>
      </c>
      <c r="B2517" t="s">
        <v>18</v>
      </c>
      <c r="C2517" s="1">
        <v>45950.375</v>
      </c>
      <c r="D2517" s="1">
        <v>46008.915277777778</v>
      </c>
      <c r="E2517" s="2">
        <f t="shared" si="39"/>
        <v>58.540277777778101</v>
      </c>
    </row>
    <row r="2518" spans="1:5" x14ac:dyDescent="0.25">
      <c r="A2518" t="s">
        <v>19</v>
      </c>
      <c r="B2518" t="s">
        <v>11</v>
      </c>
      <c r="C2518" s="1">
        <v>46116.883333333331</v>
      </c>
      <c r="D2518" s="1">
        <v>46155.36041666667</v>
      </c>
      <c r="E2518" s="2">
        <f t="shared" si="39"/>
        <v>38.477083333338669</v>
      </c>
    </row>
    <row r="2519" spans="1:5" x14ac:dyDescent="0.25">
      <c r="A2519" t="s">
        <v>7</v>
      </c>
      <c r="B2519" t="s">
        <v>11</v>
      </c>
      <c r="C2519" s="1">
        <v>45722.254861111112</v>
      </c>
      <c r="D2519" s="1">
        <v>45798.572916666657</v>
      </c>
      <c r="E2519" s="2">
        <f t="shared" si="39"/>
        <v>76.318055555544561</v>
      </c>
    </row>
    <row r="2520" spans="1:5" x14ac:dyDescent="0.25">
      <c r="A2520" t="s">
        <v>13</v>
      </c>
      <c r="B2520" t="s">
        <v>8</v>
      </c>
      <c r="C2520" s="1">
        <v>45753.333333333343</v>
      </c>
      <c r="D2520" s="1">
        <v>45777.254861111112</v>
      </c>
      <c r="E2520" s="2">
        <f t="shared" si="39"/>
        <v>23.92152777776937</v>
      </c>
    </row>
    <row r="2521" spans="1:5" x14ac:dyDescent="0.25">
      <c r="A2521" t="s">
        <v>17</v>
      </c>
      <c r="B2521" t="s">
        <v>18</v>
      </c>
      <c r="C2521" s="1">
        <v>45695.722222222219</v>
      </c>
      <c r="D2521" s="1">
        <v>45744.01458333333</v>
      </c>
      <c r="E2521" s="2">
        <f t="shared" si="39"/>
        <v>48.292361111110949</v>
      </c>
    </row>
    <row r="2522" spans="1:5" x14ac:dyDescent="0.25">
      <c r="A2522" t="s">
        <v>12</v>
      </c>
      <c r="B2522" t="s">
        <v>13</v>
      </c>
      <c r="C2522" s="1">
        <v>45911.45416666667</v>
      </c>
      <c r="D2522" s="1">
        <v>45958.50277777778</v>
      </c>
      <c r="E2522" s="2">
        <f t="shared" si="39"/>
        <v>47.048611111109494</v>
      </c>
    </row>
    <row r="2523" spans="1:5" x14ac:dyDescent="0.25">
      <c r="A2523" t="s">
        <v>19</v>
      </c>
      <c r="B2523" t="s">
        <v>8</v>
      </c>
      <c r="C2523" s="1">
        <v>45900.09375</v>
      </c>
      <c r="D2523" s="1">
        <v>45925.214583333327</v>
      </c>
      <c r="E2523" s="2">
        <f t="shared" si="39"/>
        <v>25.120833333327028</v>
      </c>
    </row>
    <row r="2524" spans="1:5" x14ac:dyDescent="0.25">
      <c r="A2524" t="s">
        <v>8</v>
      </c>
      <c r="B2524" t="s">
        <v>18</v>
      </c>
      <c r="C2524" s="1">
        <v>46122.729861111111</v>
      </c>
      <c r="D2524" s="1">
        <v>46149.688888888893</v>
      </c>
      <c r="E2524" s="2">
        <f t="shared" si="39"/>
        <v>26.959027777782467</v>
      </c>
    </row>
    <row r="2525" spans="1:5" x14ac:dyDescent="0.25">
      <c r="A2525" t="s">
        <v>22</v>
      </c>
      <c r="B2525" t="s">
        <v>19</v>
      </c>
      <c r="C2525" s="1">
        <v>46055.177777777782</v>
      </c>
      <c r="D2525" s="1">
        <v>46109.896527777782</v>
      </c>
      <c r="E2525" s="2">
        <f t="shared" si="39"/>
        <v>54.71875</v>
      </c>
    </row>
    <row r="2526" spans="1:5" x14ac:dyDescent="0.25">
      <c r="A2526" t="s">
        <v>22</v>
      </c>
      <c r="B2526" t="s">
        <v>19</v>
      </c>
      <c r="C2526" s="1">
        <v>46205.704861111109</v>
      </c>
      <c r="D2526" s="1">
        <v>46262.28125</v>
      </c>
      <c r="E2526" s="2">
        <f t="shared" si="39"/>
        <v>56.576388888890506</v>
      </c>
    </row>
    <row r="2527" spans="1:5" x14ac:dyDescent="0.25">
      <c r="A2527" t="s">
        <v>22</v>
      </c>
      <c r="B2527" t="s">
        <v>19</v>
      </c>
      <c r="C2527" s="1">
        <v>45938.77138888889</v>
      </c>
      <c r="D2527" s="1">
        <v>45986.788981481477</v>
      </c>
      <c r="E2527" s="2">
        <f t="shared" si="39"/>
        <v>48.01759259258688</v>
      </c>
    </row>
    <row r="2528" spans="1:5" x14ac:dyDescent="0.25">
      <c r="A2528" t="s">
        <v>6</v>
      </c>
      <c r="B2528" t="s">
        <v>8</v>
      </c>
      <c r="C2528" s="1">
        <v>46015.311111111107</v>
      </c>
      <c r="D2528" s="1">
        <v>46055.681250000001</v>
      </c>
      <c r="E2528" s="2">
        <f t="shared" si="39"/>
        <v>40.370138888894871</v>
      </c>
    </row>
    <row r="2529" spans="1:5" x14ac:dyDescent="0.25">
      <c r="A2529" t="s">
        <v>7</v>
      </c>
      <c r="B2529" t="s">
        <v>11</v>
      </c>
      <c r="C2529" s="1">
        <v>45822.740277777782</v>
      </c>
      <c r="D2529" s="1">
        <v>45909.995833333327</v>
      </c>
      <c r="E2529" s="2">
        <f t="shared" si="39"/>
        <v>87.255555555544561</v>
      </c>
    </row>
    <row r="2530" spans="1:5" x14ac:dyDescent="0.25">
      <c r="A2530" t="s">
        <v>22</v>
      </c>
      <c r="B2530" t="s">
        <v>19</v>
      </c>
      <c r="C2530" s="1">
        <v>46198.158333333333</v>
      </c>
      <c r="D2530" s="1">
        <v>46254.5</v>
      </c>
      <c r="E2530" s="2">
        <f t="shared" si="39"/>
        <v>56.341666666667152</v>
      </c>
    </row>
    <row r="2531" spans="1:5" x14ac:dyDescent="0.25">
      <c r="A2531" t="s">
        <v>15</v>
      </c>
      <c r="B2531" t="s">
        <v>6</v>
      </c>
      <c r="C2531" s="1">
        <v>46002.291666666657</v>
      </c>
      <c r="D2531" s="1">
        <v>46061.5625</v>
      </c>
      <c r="E2531" s="2">
        <f t="shared" si="39"/>
        <v>59.270833333343035</v>
      </c>
    </row>
    <row r="2532" spans="1:5" x14ac:dyDescent="0.25">
      <c r="A2532" t="s">
        <v>8</v>
      </c>
      <c r="B2532" t="s">
        <v>18</v>
      </c>
      <c r="C2532" s="1">
        <v>46128.911111111112</v>
      </c>
      <c r="D2532" s="1">
        <v>46157.072222222218</v>
      </c>
      <c r="E2532" s="2">
        <f t="shared" si="39"/>
        <v>28.161111111105129</v>
      </c>
    </row>
    <row r="2533" spans="1:5" x14ac:dyDescent="0.25">
      <c r="A2533" t="s">
        <v>23</v>
      </c>
      <c r="B2533" t="s">
        <v>18</v>
      </c>
      <c r="C2533" s="1">
        <v>46071.378472222219</v>
      </c>
      <c r="D2533" s="1">
        <v>46119.064583333333</v>
      </c>
      <c r="E2533" s="2">
        <f t="shared" si="39"/>
        <v>47.68611111111386</v>
      </c>
    </row>
    <row r="2534" spans="1:5" x14ac:dyDescent="0.25">
      <c r="A2534" t="s">
        <v>12</v>
      </c>
      <c r="B2534" t="s">
        <v>18</v>
      </c>
      <c r="C2534" s="1">
        <v>45994.375</v>
      </c>
      <c r="D2534" s="1">
        <v>46050.520833333343</v>
      </c>
      <c r="E2534" s="2">
        <f t="shared" si="39"/>
        <v>56.145833333343035</v>
      </c>
    </row>
    <row r="2535" spans="1:5" x14ac:dyDescent="0.25">
      <c r="A2535" t="s">
        <v>61</v>
      </c>
      <c r="B2535" t="s">
        <v>62</v>
      </c>
      <c r="C2535" s="1">
        <v>45971.212500000001</v>
      </c>
      <c r="D2535" s="1">
        <v>46028.365277777782</v>
      </c>
      <c r="E2535" s="2">
        <f t="shared" si="39"/>
        <v>57.152777777781012</v>
      </c>
    </row>
    <row r="2536" spans="1:5" x14ac:dyDescent="0.25">
      <c r="A2536" t="s">
        <v>19</v>
      </c>
      <c r="B2536" t="s">
        <v>54</v>
      </c>
      <c r="C2536" s="1">
        <v>45979.533333333333</v>
      </c>
      <c r="D2536" s="1">
        <v>46011.75</v>
      </c>
      <c r="E2536" s="2">
        <f t="shared" si="39"/>
        <v>32.216666666667152</v>
      </c>
    </row>
    <row r="2537" spans="1:5" x14ac:dyDescent="0.25">
      <c r="A2537" t="s">
        <v>11</v>
      </c>
      <c r="B2537" t="s">
        <v>37</v>
      </c>
      <c r="C2537" s="1">
        <v>45721.031712962962</v>
      </c>
      <c r="D2537" s="1">
        <v>45734.345833333333</v>
      </c>
      <c r="E2537" s="2">
        <f t="shared" si="39"/>
        <v>13.314120370370802</v>
      </c>
    </row>
    <row r="2538" spans="1:5" x14ac:dyDescent="0.25">
      <c r="A2538" t="s">
        <v>10</v>
      </c>
      <c r="B2538" t="s">
        <v>11</v>
      </c>
      <c r="C2538" s="1">
        <v>45899.158333333333</v>
      </c>
      <c r="D2538" s="1">
        <v>45931.845833333333</v>
      </c>
      <c r="E2538" s="2">
        <f t="shared" si="39"/>
        <v>32.6875</v>
      </c>
    </row>
    <row r="2539" spans="1:5" x14ac:dyDescent="0.25">
      <c r="A2539" t="s">
        <v>11</v>
      </c>
      <c r="B2539" t="s">
        <v>37</v>
      </c>
      <c r="C2539" s="1">
        <v>46130.855856481481</v>
      </c>
      <c r="D2539" s="1">
        <v>46148.272916666669</v>
      </c>
      <c r="E2539" s="2">
        <f t="shared" si="39"/>
        <v>17.417060185187438</v>
      </c>
    </row>
    <row r="2540" spans="1:5" x14ac:dyDescent="0.25">
      <c r="A2540" t="s">
        <v>12</v>
      </c>
      <c r="B2540" t="s">
        <v>18</v>
      </c>
      <c r="C2540" s="1">
        <v>46144.181250000001</v>
      </c>
      <c r="D2540" s="1">
        <v>46199.29478009259</v>
      </c>
      <c r="E2540" s="2">
        <f t="shared" si="39"/>
        <v>55.113530092588917</v>
      </c>
    </row>
    <row r="2541" spans="1:5" x14ac:dyDescent="0.25">
      <c r="A2541" t="s">
        <v>41</v>
      </c>
      <c r="B2541" t="s">
        <v>43</v>
      </c>
      <c r="C2541" s="1">
        <v>46147.527777777781</v>
      </c>
      <c r="D2541" s="1">
        <v>46199.961111111108</v>
      </c>
      <c r="E2541" s="2">
        <f t="shared" si="39"/>
        <v>52.433333333327028</v>
      </c>
    </row>
    <row r="2542" spans="1:5" x14ac:dyDescent="0.25">
      <c r="A2542" t="s">
        <v>27</v>
      </c>
      <c r="B2542" t="s">
        <v>8</v>
      </c>
      <c r="C2542" s="1">
        <v>46126.137499999997</v>
      </c>
      <c r="D2542" s="1">
        <v>46173.291666666657</v>
      </c>
      <c r="E2542" s="2">
        <f t="shared" si="39"/>
        <v>47.154166666659876</v>
      </c>
    </row>
    <row r="2543" spans="1:5" x14ac:dyDescent="0.25">
      <c r="A2543" t="s">
        <v>22</v>
      </c>
      <c r="B2543" t="s">
        <v>19</v>
      </c>
      <c r="C2543" s="1">
        <v>45712.171527777777</v>
      </c>
      <c r="D2543" s="1">
        <v>45778.55</v>
      </c>
      <c r="E2543" s="2">
        <f t="shared" si="39"/>
        <v>66.378472222226264</v>
      </c>
    </row>
    <row r="2544" spans="1:5" x14ac:dyDescent="0.25">
      <c r="A2544" t="s">
        <v>23</v>
      </c>
      <c r="B2544" t="s">
        <v>19</v>
      </c>
      <c r="C2544" s="1">
        <v>45732.145833333343</v>
      </c>
      <c r="D2544" s="1">
        <v>45776.574999999997</v>
      </c>
      <c r="E2544" s="2">
        <f t="shared" si="39"/>
        <v>44.429166666654055</v>
      </c>
    </row>
    <row r="2545" spans="1:5" x14ac:dyDescent="0.25">
      <c r="A2545" t="s">
        <v>34</v>
      </c>
      <c r="B2545" t="s">
        <v>8</v>
      </c>
      <c r="C2545" s="1">
        <v>45953.473611111112</v>
      </c>
      <c r="D2545" s="1">
        <v>45981.918055555558</v>
      </c>
      <c r="E2545" s="2">
        <f t="shared" si="39"/>
        <v>28.444444444445253</v>
      </c>
    </row>
    <row r="2546" spans="1:5" x14ac:dyDescent="0.25">
      <c r="A2546" t="s">
        <v>22</v>
      </c>
      <c r="B2546" t="s">
        <v>19</v>
      </c>
      <c r="C2546" s="1">
        <v>46124.74722222222</v>
      </c>
      <c r="D2546" s="1">
        <v>46176.294444444437</v>
      </c>
      <c r="E2546" s="2">
        <f t="shared" si="39"/>
        <v>51.547222222216078</v>
      </c>
    </row>
    <row r="2547" spans="1:5" x14ac:dyDescent="0.25">
      <c r="A2547" t="s">
        <v>22</v>
      </c>
      <c r="B2547" t="s">
        <v>51</v>
      </c>
      <c r="C2547" s="1">
        <v>45978.134722222218</v>
      </c>
      <c r="D2547" s="1">
        <v>46039.305555555547</v>
      </c>
      <c r="E2547" s="2">
        <f t="shared" si="39"/>
        <v>61.170833333329938</v>
      </c>
    </row>
    <row r="2548" spans="1:5" x14ac:dyDescent="0.25">
      <c r="A2548" t="s">
        <v>34</v>
      </c>
      <c r="B2548" t="s">
        <v>8</v>
      </c>
      <c r="C2548" s="1">
        <v>45850.995138888888</v>
      </c>
      <c r="D2548" s="1">
        <v>45886.078472222223</v>
      </c>
      <c r="E2548" s="2">
        <f t="shared" si="39"/>
        <v>35.083333333335759</v>
      </c>
    </row>
    <row r="2549" spans="1:5" x14ac:dyDescent="0.25">
      <c r="A2549" t="s">
        <v>22</v>
      </c>
      <c r="B2549" t="s">
        <v>6</v>
      </c>
      <c r="C2549" s="1">
        <v>45957.61041666667</v>
      </c>
      <c r="D2549" s="1">
        <v>46018.712500000001</v>
      </c>
      <c r="E2549" s="2">
        <f t="shared" si="39"/>
        <v>61.102083333331393</v>
      </c>
    </row>
    <row r="2550" spans="1:5" x14ac:dyDescent="0.25">
      <c r="A2550" t="s">
        <v>22</v>
      </c>
      <c r="B2550" t="s">
        <v>51</v>
      </c>
      <c r="C2550" s="1">
        <v>46124.74722222222</v>
      </c>
      <c r="D2550" s="1">
        <v>46186.743750000001</v>
      </c>
      <c r="E2550" s="2">
        <f t="shared" si="39"/>
        <v>61.996527777781012</v>
      </c>
    </row>
    <row r="2551" spans="1:5" x14ac:dyDescent="0.25">
      <c r="A2551" t="s">
        <v>22</v>
      </c>
      <c r="B2551" t="s">
        <v>51</v>
      </c>
      <c r="C2551" s="1">
        <v>45984.224305555559</v>
      </c>
      <c r="D2551" s="1">
        <v>46039.305555555547</v>
      </c>
      <c r="E2551" s="2">
        <f t="shared" si="39"/>
        <v>55.081249999988358</v>
      </c>
    </row>
    <row r="2552" spans="1:5" x14ac:dyDescent="0.25">
      <c r="A2552" t="s">
        <v>22</v>
      </c>
      <c r="B2552" t="s">
        <v>19</v>
      </c>
      <c r="C2552" s="1">
        <v>46041.21597222222</v>
      </c>
      <c r="D2552" s="1">
        <v>46093.617361111108</v>
      </c>
      <c r="E2552" s="2">
        <f t="shared" si="39"/>
        <v>52.401388888887595</v>
      </c>
    </row>
    <row r="2553" spans="1:5" x14ac:dyDescent="0.25">
      <c r="A2553" t="s">
        <v>41</v>
      </c>
      <c r="B2553" t="s">
        <v>43</v>
      </c>
      <c r="C2553" s="1">
        <v>46178.197222222218</v>
      </c>
      <c r="D2553" s="1">
        <v>46223.305555555547</v>
      </c>
      <c r="E2553" s="2">
        <f t="shared" si="39"/>
        <v>45.108333333329938</v>
      </c>
    </row>
    <row r="2554" spans="1:5" x14ac:dyDescent="0.25">
      <c r="A2554" t="s">
        <v>5</v>
      </c>
      <c r="B2554" t="s">
        <v>8</v>
      </c>
      <c r="C2554" s="1">
        <v>46194.835023148153</v>
      </c>
      <c r="D2554" s="1">
        <v>46216.121886574067</v>
      </c>
      <c r="E2554" s="2">
        <f t="shared" si="39"/>
        <v>21.286863425913907</v>
      </c>
    </row>
    <row r="2555" spans="1:5" x14ac:dyDescent="0.25">
      <c r="A2555" t="s">
        <v>5</v>
      </c>
      <c r="B2555" t="s">
        <v>8</v>
      </c>
      <c r="C2555" s="1">
        <v>45722.095833333333</v>
      </c>
      <c r="D2555" s="1">
        <v>45749.925694444442</v>
      </c>
      <c r="E2555" s="2">
        <f t="shared" si="39"/>
        <v>27.829861111109494</v>
      </c>
    </row>
    <row r="2556" spans="1:5" x14ac:dyDescent="0.25">
      <c r="A2556" t="s">
        <v>5</v>
      </c>
      <c r="B2556" t="s">
        <v>8</v>
      </c>
      <c r="C2556" s="1">
        <v>45671.125</v>
      </c>
      <c r="D2556" s="1">
        <v>45697.265277777777</v>
      </c>
      <c r="E2556" s="2">
        <f t="shared" si="39"/>
        <v>26.140277777776646</v>
      </c>
    </row>
    <row r="2557" spans="1:5" x14ac:dyDescent="0.25">
      <c r="A2557" t="s">
        <v>5</v>
      </c>
      <c r="B2557" t="s">
        <v>8</v>
      </c>
      <c r="C2557" s="1">
        <v>46236.147800925923</v>
      </c>
      <c r="D2557" s="1">
        <v>46258.295138888891</v>
      </c>
      <c r="E2557" s="2">
        <f t="shared" si="39"/>
        <v>22.147337962967867</v>
      </c>
    </row>
    <row r="2558" spans="1:5" x14ac:dyDescent="0.25">
      <c r="A2558" t="s">
        <v>5</v>
      </c>
      <c r="B2558" t="s">
        <v>8</v>
      </c>
      <c r="C2558" s="1">
        <v>46130.829861111109</v>
      </c>
      <c r="D2558" s="1">
        <v>46159.966932870368</v>
      </c>
      <c r="E2558" s="2">
        <f t="shared" si="39"/>
        <v>29.137071759258106</v>
      </c>
    </row>
    <row r="2559" spans="1:5" x14ac:dyDescent="0.25">
      <c r="A2559" t="s">
        <v>5</v>
      </c>
      <c r="B2559" t="s">
        <v>8</v>
      </c>
      <c r="C2559" s="1">
        <v>45707.716666666667</v>
      </c>
      <c r="D2559" s="1">
        <v>45734.840219907397</v>
      </c>
      <c r="E2559" s="2">
        <f t="shared" si="39"/>
        <v>27.123553240729962</v>
      </c>
    </row>
    <row r="2560" spans="1:5" x14ac:dyDescent="0.25">
      <c r="A2560" t="s">
        <v>15</v>
      </c>
      <c r="B2560" t="s">
        <v>18</v>
      </c>
      <c r="C2560" s="1">
        <v>46218.020833333343</v>
      </c>
      <c r="D2560" s="1">
        <v>46257.706944444442</v>
      </c>
      <c r="E2560" s="2">
        <f t="shared" si="39"/>
        <v>39.686111111099308</v>
      </c>
    </row>
    <row r="2561" spans="1:5" x14ac:dyDescent="0.25">
      <c r="A2561" t="s">
        <v>15</v>
      </c>
      <c r="B2561" t="s">
        <v>13</v>
      </c>
      <c r="C2561" s="1">
        <v>45891.537199074082</v>
      </c>
      <c r="D2561" s="1">
        <v>45928.04791666667</v>
      </c>
      <c r="E2561" s="2">
        <f t="shared" si="39"/>
        <v>36.510717592587753</v>
      </c>
    </row>
    <row r="2562" spans="1:5" x14ac:dyDescent="0.25">
      <c r="A2562" t="s">
        <v>34</v>
      </c>
      <c r="B2562" t="s">
        <v>13</v>
      </c>
      <c r="C2562" s="1">
        <v>45858.368171296293</v>
      </c>
      <c r="D2562" s="1">
        <v>45883.708333333343</v>
      </c>
      <c r="E2562" s="2">
        <f t="shared" ref="E2562:E2625" si="40">D2562-C2562</f>
        <v>25.340162037049595</v>
      </c>
    </row>
    <row r="2563" spans="1:5" x14ac:dyDescent="0.25">
      <c r="A2563" t="s">
        <v>41</v>
      </c>
      <c r="B2563" t="s">
        <v>8</v>
      </c>
      <c r="C2563" s="1">
        <v>46217.678472222222</v>
      </c>
      <c r="D2563" s="1">
        <v>46267.742361111108</v>
      </c>
      <c r="E2563" s="2">
        <f t="shared" si="40"/>
        <v>50.06388888888614</v>
      </c>
    </row>
    <row r="2564" spans="1:5" x14ac:dyDescent="0.25">
      <c r="A2564" t="s">
        <v>8</v>
      </c>
      <c r="B2564" t="s">
        <v>6</v>
      </c>
      <c r="C2564" s="1">
        <v>45979.114583333343</v>
      </c>
      <c r="D2564" s="1">
        <v>46046.510416666657</v>
      </c>
      <c r="E2564" s="2">
        <f t="shared" si="40"/>
        <v>67.395833333313931</v>
      </c>
    </row>
    <row r="2565" spans="1:5" x14ac:dyDescent="0.25">
      <c r="A2565" t="s">
        <v>41</v>
      </c>
      <c r="B2565" t="s">
        <v>8</v>
      </c>
      <c r="C2565" s="1">
        <v>46187.908333333333</v>
      </c>
      <c r="D2565" s="1">
        <v>46225.5</v>
      </c>
      <c r="E2565" s="2">
        <f t="shared" si="40"/>
        <v>37.591666666667152</v>
      </c>
    </row>
    <row r="2566" spans="1:5" x14ac:dyDescent="0.25">
      <c r="A2566" t="s">
        <v>10</v>
      </c>
      <c r="B2566" t="s">
        <v>11</v>
      </c>
      <c r="C2566" s="1">
        <v>45843.467569444438</v>
      </c>
      <c r="D2566" s="1">
        <v>45874.970833333333</v>
      </c>
      <c r="E2566" s="2">
        <f t="shared" si="40"/>
        <v>31.503263888895162</v>
      </c>
    </row>
    <row r="2567" spans="1:5" x14ac:dyDescent="0.25">
      <c r="A2567" t="s">
        <v>22</v>
      </c>
      <c r="B2567" t="s">
        <v>14</v>
      </c>
      <c r="C2567" s="1">
        <v>45763.170138888891</v>
      </c>
      <c r="D2567" s="1">
        <v>45812.804861111108</v>
      </c>
      <c r="E2567" s="2">
        <f t="shared" si="40"/>
        <v>49.634722222217533</v>
      </c>
    </row>
    <row r="2568" spans="1:5" x14ac:dyDescent="0.25">
      <c r="A2568" t="s">
        <v>11</v>
      </c>
      <c r="B2568" t="s">
        <v>21</v>
      </c>
      <c r="C2568" s="1">
        <v>45981.870833333327</v>
      </c>
      <c r="D2568" s="1">
        <v>45993.4375</v>
      </c>
      <c r="E2568" s="2">
        <f t="shared" si="40"/>
        <v>11.566666666672972</v>
      </c>
    </row>
    <row r="2569" spans="1:5" x14ac:dyDescent="0.25">
      <c r="A2569" t="s">
        <v>15</v>
      </c>
      <c r="B2569" t="s">
        <v>18</v>
      </c>
      <c r="C2569" s="1">
        <v>46194.140300925923</v>
      </c>
      <c r="D2569" s="1">
        <v>46246.305555555547</v>
      </c>
      <c r="E2569" s="2">
        <f t="shared" si="40"/>
        <v>52.165254629624542</v>
      </c>
    </row>
    <row r="2570" spans="1:5" x14ac:dyDescent="0.25">
      <c r="A2570" t="s">
        <v>22</v>
      </c>
      <c r="B2570" t="s">
        <v>19</v>
      </c>
      <c r="C2570" s="1">
        <v>45913.750393518523</v>
      </c>
      <c r="D2570" s="1">
        <v>45961.661469907413</v>
      </c>
      <c r="E2570" s="2">
        <f t="shared" si="40"/>
        <v>47.911076388889342</v>
      </c>
    </row>
    <row r="2571" spans="1:5" x14ac:dyDescent="0.25">
      <c r="A2571" t="s">
        <v>15</v>
      </c>
      <c r="B2571" t="s">
        <v>13</v>
      </c>
      <c r="C2571" s="1">
        <v>46186.5625</v>
      </c>
      <c r="D2571" s="1">
        <v>46229.300115740742</v>
      </c>
      <c r="E2571" s="2">
        <f t="shared" si="40"/>
        <v>42.737615740741603</v>
      </c>
    </row>
    <row r="2572" spans="1:5" x14ac:dyDescent="0.25">
      <c r="A2572" t="s">
        <v>8</v>
      </c>
      <c r="B2572" t="s">
        <v>18</v>
      </c>
      <c r="C2572" s="1">
        <v>46192.1875</v>
      </c>
      <c r="D2572" s="1">
        <v>46227.5</v>
      </c>
      <c r="E2572" s="2">
        <f t="shared" si="40"/>
        <v>35.3125</v>
      </c>
    </row>
    <row r="2573" spans="1:5" x14ac:dyDescent="0.25">
      <c r="A2573" t="s">
        <v>12</v>
      </c>
      <c r="B2573" t="s">
        <v>8</v>
      </c>
      <c r="C2573" s="1">
        <v>46139.915972222218</v>
      </c>
      <c r="D2573" s="1">
        <v>46194.350694444453</v>
      </c>
      <c r="E2573" s="2">
        <f t="shared" si="40"/>
        <v>54.434722222234996</v>
      </c>
    </row>
    <row r="2574" spans="1:5" x14ac:dyDescent="0.25">
      <c r="A2574" t="s">
        <v>41</v>
      </c>
      <c r="B2574" t="s">
        <v>8</v>
      </c>
      <c r="C2574" s="1">
        <v>46187.908333333333</v>
      </c>
      <c r="D2574" s="1">
        <v>46225.5</v>
      </c>
      <c r="E2574" s="2">
        <f t="shared" si="40"/>
        <v>37.591666666667152</v>
      </c>
    </row>
    <row r="2575" spans="1:5" x14ac:dyDescent="0.25">
      <c r="A2575" t="s">
        <v>22</v>
      </c>
      <c r="B2575" t="s">
        <v>14</v>
      </c>
      <c r="C2575" s="1">
        <v>45712.166666666657</v>
      </c>
      <c r="D2575" s="1">
        <v>45763</v>
      </c>
      <c r="E2575" s="2">
        <f t="shared" si="40"/>
        <v>50.833333333343035</v>
      </c>
    </row>
    <row r="2576" spans="1:5" x14ac:dyDescent="0.25">
      <c r="A2576" t="s">
        <v>22</v>
      </c>
      <c r="B2576" t="s">
        <v>19</v>
      </c>
      <c r="C2576" s="1">
        <v>45873.851388888892</v>
      </c>
      <c r="D2576" s="1">
        <v>45931.597916666673</v>
      </c>
      <c r="E2576" s="2">
        <f t="shared" si="40"/>
        <v>57.746527777781012</v>
      </c>
    </row>
    <row r="2577" spans="1:5" x14ac:dyDescent="0.25">
      <c r="A2577" t="s">
        <v>22</v>
      </c>
      <c r="B2577" t="s">
        <v>51</v>
      </c>
      <c r="C2577" s="1">
        <v>46205.704861111109</v>
      </c>
      <c r="D2577" s="1">
        <v>46263.675000000003</v>
      </c>
      <c r="E2577" s="2">
        <f t="shared" si="40"/>
        <v>57.970138888893416</v>
      </c>
    </row>
    <row r="2578" spans="1:5" x14ac:dyDescent="0.25">
      <c r="A2578" t="s">
        <v>22</v>
      </c>
      <c r="B2578" t="s">
        <v>51</v>
      </c>
      <c r="C2578" s="1">
        <v>46048.46597222222</v>
      </c>
      <c r="D2578" s="1">
        <v>46112.119444444441</v>
      </c>
      <c r="E2578" s="2">
        <f t="shared" si="40"/>
        <v>63.653472222220444</v>
      </c>
    </row>
    <row r="2579" spans="1:5" x14ac:dyDescent="0.25">
      <c r="A2579" t="s">
        <v>14</v>
      </c>
      <c r="B2579" t="s">
        <v>22</v>
      </c>
      <c r="C2579" s="1">
        <v>45719.708333333343</v>
      </c>
      <c r="D2579" s="1">
        <v>45775.318368055552</v>
      </c>
      <c r="E2579" s="2">
        <f t="shared" si="40"/>
        <v>55.610034722209093</v>
      </c>
    </row>
    <row r="2580" spans="1:5" x14ac:dyDescent="0.25">
      <c r="A2580" t="s">
        <v>22</v>
      </c>
      <c r="B2580" t="s">
        <v>19</v>
      </c>
      <c r="C2580" s="1">
        <v>46097.521527777782</v>
      </c>
      <c r="D2580" s="1">
        <v>46153.984722222223</v>
      </c>
      <c r="E2580" s="2">
        <f t="shared" si="40"/>
        <v>56.463194444440887</v>
      </c>
    </row>
    <row r="2581" spans="1:5" x14ac:dyDescent="0.25">
      <c r="A2581" t="s">
        <v>45</v>
      </c>
      <c r="B2581" t="s">
        <v>19</v>
      </c>
      <c r="C2581" s="1">
        <v>46083.416666666657</v>
      </c>
      <c r="D2581" s="1">
        <v>46133.517361111109</v>
      </c>
      <c r="E2581" s="2">
        <f t="shared" si="40"/>
        <v>50.100694444452529</v>
      </c>
    </row>
    <row r="2582" spans="1:5" x14ac:dyDescent="0.25">
      <c r="A2582" t="s">
        <v>22</v>
      </c>
      <c r="B2582" t="s">
        <v>19</v>
      </c>
      <c r="C2582" s="1">
        <v>45998.75</v>
      </c>
      <c r="D2582" s="1">
        <v>46059.65</v>
      </c>
      <c r="E2582" s="2">
        <f t="shared" si="40"/>
        <v>60.900000000001455</v>
      </c>
    </row>
    <row r="2583" spans="1:5" x14ac:dyDescent="0.25">
      <c r="A2583" t="s">
        <v>22</v>
      </c>
      <c r="B2583" t="s">
        <v>19</v>
      </c>
      <c r="C2583" s="1">
        <v>45908.133333333331</v>
      </c>
      <c r="D2583" s="1">
        <v>45968.824305555558</v>
      </c>
      <c r="E2583" s="2">
        <f t="shared" si="40"/>
        <v>60.690972222226264</v>
      </c>
    </row>
    <row r="2584" spans="1:5" x14ac:dyDescent="0.25">
      <c r="A2584" t="s">
        <v>14</v>
      </c>
      <c r="B2584" t="s">
        <v>22</v>
      </c>
      <c r="C2584" s="1">
        <v>45738.791666666657</v>
      </c>
      <c r="D2584" s="1">
        <v>45794.857638888891</v>
      </c>
      <c r="E2584" s="2">
        <f t="shared" si="40"/>
        <v>56.06597222223354</v>
      </c>
    </row>
    <row r="2585" spans="1:5" x14ac:dyDescent="0.25">
      <c r="A2585" t="s">
        <v>22</v>
      </c>
      <c r="B2585" t="s">
        <v>19</v>
      </c>
      <c r="C2585" s="1">
        <v>45873.851388888892</v>
      </c>
      <c r="D2585" s="1">
        <v>45931.597916666673</v>
      </c>
      <c r="E2585" s="2">
        <f t="shared" si="40"/>
        <v>57.746527777781012</v>
      </c>
    </row>
    <row r="2586" spans="1:5" x14ac:dyDescent="0.25">
      <c r="A2586" t="s">
        <v>22</v>
      </c>
      <c r="B2586" t="s">
        <v>19</v>
      </c>
      <c r="C2586" s="1">
        <v>45797.0625</v>
      </c>
      <c r="D2586" s="1">
        <v>45847.847916666673</v>
      </c>
      <c r="E2586" s="2">
        <f t="shared" si="40"/>
        <v>50.785416666672972</v>
      </c>
    </row>
    <row r="2587" spans="1:5" x14ac:dyDescent="0.25">
      <c r="A2587" t="s">
        <v>12</v>
      </c>
      <c r="B2587" t="s">
        <v>13</v>
      </c>
      <c r="C2587" s="1">
        <v>46118.375</v>
      </c>
      <c r="D2587" s="1">
        <v>46168.666666666657</v>
      </c>
      <c r="E2587" s="2">
        <f t="shared" si="40"/>
        <v>50.291666666656965</v>
      </c>
    </row>
    <row r="2588" spans="1:5" x14ac:dyDescent="0.25">
      <c r="A2588" t="s">
        <v>10</v>
      </c>
      <c r="B2588" t="s">
        <v>11</v>
      </c>
      <c r="C2588" s="1">
        <v>45866.1</v>
      </c>
      <c r="D2588" s="1">
        <v>45895.958333333343</v>
      </c>
      <c r="E2588" s="2">
        <f t="shared" si="40"/>
        <v>29.85833333334449</v>
      </c>
    </row>
    <row r="2589" spans="1:5" x14ac:dyDescent="0.25">
      <c r="A2589" t="s">
        <v>8</v>
      </c>
      <c r="B2589" t="s">
        <v>18</v>
      </c>
      <c r="C2589" s="1">
        <v>46241.460416666669</v>
      </c>
      <c r="D2589" s="1">
        <v>46284.76666666667</v>
      </c>
      <c r="E2589" s="2">
        <f t="shared" si="40"/>
        <v>43.306250000001455</v>
      </c>
    </row>
    <row r="2590" spans="1:5" x14ac:dyDescent="0.25">
      <c r="A2590" t="s">
        <v>23</v>
      </c>
      <c r="B2590" t="s">
        <v>18</v>
      </c>
      <c r="C2590" s="1">
        <v>46028.7</v>
      </c>
      <c r="D2590" s="1">
        <v>46079.863888888889</v>
      </c>
      <c r="E2590" s="2">
        <f t="shared" si="40"/>
        <v>51.163888888891961</v>
      </c>
    </row>
    <row r="2591" spans="1:5" x14ac:dyDescent="0.25">
      <c r="A2591" t="s">
        <v>19</v>
      </c>
      <c r="B2591" t="s">
        <v>11</v>
      </c>
      <c r="C2591" s="1">
        <v>46233.256249999999</v>
      </c>
      <c r="D2591" s="1">
        <v>46274.036805555559</v>
      </c>
      <c r="E2591" s="2">
        <f t="shared" si="40"/>
        <v>40.780555555560568</v>
      </c>
    </row>
    <row r="2592" spans="1:5" x14ac:dyDescent="0.25">
      <c r="A2592" t="s">
        <v>11</v>
      </c>
      <c r="B2592" t="s">
        <v>37</v>
      </c>
      <c r="C2592" s="1">
        <v>46098.109027777777</v>
      </c>
      <c r="D2592" s="1">
        <v>46116.626388888893</v>
      </c>
      <c r="E2592" s="2">
        <f t="shared" si="40"/>
        <v>18.51736111111677</v>
      </c>
    </row>
    <row r="2593" spans="1:5" x14ac:dyDescent="0.25">
      <c r="A2593" t="s">
        <v>13</v>
      </c>
      <c r="B2593" t="s">
        <v>8</v>
      </c>
      <c r="C2593" s="1">
        <v>46241.037499999999</v>
      </c>
      <c r="D2593" s="1">
        <v>46260.691666666673</v>
      </c>
      <c r="E2593" s="2">
        <f t="shared" si="40"/>
        <v>19.654166666674428</v>
      </c>
    </row>
    <row r="2594" spans="1:5" x14ac:dyDescent="0.25">
      <c r="A2594" t="s">
        <v>26</v>
      </c>
      <c r="B2594" t="s">
        <v>21</v>
      </c>
      <c r="C2594" s="1">
        <v>46149.798611111109</v>
      </c>
      <c r="D2594" s="1">
        <v>46198.020833333343</v>
      </c>
      <c r="E2594" s="2">
        <f t="shared" si="40"/>
        <v>48.22222222223354</v>
      </c>
    </row>
    <row r="2595" spans="1:5" x14ac:dyDescent="0.25">
      <c r="A2595" t="s">
        <v>6</v>
      </c>
      <c r="B2595" t="s">
        <v>8</v>
      </c>
      <c r="C2595" s="1">
        <v>45702.237500000003</v>
      </c>
      <c r="D2595" s="1">
        <v>45742.319444444453</v>
      </c>
      <c r="E2595" s="2">
        <f t="shared" si="40"/>
        <v>40.081944444449618</v>
      </c>
    </row>
    <row r="2596" spans="1:5" x14ac:dyDescent="0.25">
      <c r="A2596" t="s">
        <v>16</v>
      </c>
      <c r="B2596" t="s">
        <v>8</v>
      </c>
      <c r="C2596" s="1">
        <v>45687.745833333327</v>
      </c>
      <c r="D2596" s="1">
        <v>45729.704861111109</v>
      </c>
      <c r="E2596" s="2">
        <f t="shared" si="40"/>
        <v>41.959027777782467</v>
      </c>
    </row>
    <row r="2597" spans="1:5" x14ac:dyDescent="0.25">
      <c r="A2597" t="s">
        <v>12</v>
      </c>
      <c r="B2597" t="s">
        <v>18</v>
      </c>
      <c r="C2597" s="1">
        <v>45818.92083333333</v>
      </c>
      <c r="D2597" s="1">
        <v>45875.361805555563</v>
      </c>
      <c r="E2597" s="2">
        <f t="shared" si="40"/>
        <v>56.44097222223354</v>
      </c>
    </row>
    <row r="2598" spans="1:5" x14ac:dyDescent="0.25">
      <c r="A2598" t="s">
        <v>6</v>
      </c>
      <c r="B2598" t="s">
        <v>8</v>
      </c>
      <c r="C2598" s="1">
        <v>45685.074999999997</v>
      </c>
      <c r="D2598" s="1">
        <v>45735.334027777782</v>
      </c>
      <c r="E2598" s="2">
        <f t="shared" si="40"/>
        <v>50.259027777785377</v>
      </c>
    </row>
    <row r="2599" spans="1:5" x14ac:dyDescent="0.25">
      <c r="A2599" t="s">
        <v>12</v>
      </c>
      <c r="B2599" t="s">
        <v>13</v>
      </c>
      <c r="C2599" s="1">
        <v>46083.54583333333</v>
      </c>
      <c r="D2599" s="1">
        <v>46128.060416666667</v>
      </c>
      <c r="E2599" s="2">
        <f t="shared" si="40"/>
        <v>44.514583333337214</v>
      </c>
    </row>
    <row r="2600" spans="1:5" x14ac:dyDescent="0.25">
      <c r="A2600" t="s">
        <v>12</v>
      </c>
      <c r="B2600" t="s">
        <v>18</v>
      </c>
      <c r="C2600" s="1">
        <v>45715.003472222219</v>
      </c>
      <c r="D2600" s="1">
        <v>45770.936805555553</v>
      </c>
      <c r="E2600" s="2">
        <f t="shared" si="40"/>
        <v>55.933333333334303</v>
      </c>
    </row>
    <row r="2601" spans="1:5" x14ac:dyDescent="0.25">
      <c r="A2601" t="s">
        <v>15</v>
      </c>
      <c r="B2601" t="s">
        <v>38</v>
      </c>
      <c r="C2601" s="1">
        <v>46158.303865740738</v>
      </c>
      <c r="D2601" s="1">
        <v>46202.322222222218</v>
      </c>
      <c r="E2601" s="2">
        <f t="shared" si="40"/>
        <v>44.018356481479714</v>
      </c>
    </row>
    <row r="2602" spans="1:5" x14ac:dyDescent="0.25">
      <c r="A2602" t="s">
        <v>8</v>
      </c>
      <c r="B2602" t="s">
        <v>13</v>
      </c>
      <c r="C2602" s="1">
        <v>46092.416666666657</v>
      </c>
      <c r="D2602" s="1">
        <v>46119.707638888889</v>
      </c>
      <c r="E2602" s="2">
        <f t="shared" si="40"/>
        <v>27.290972222232085</v>
      </c>
    </row>
    <row r="2603" spans="1:5" x14ac:dyDescent="0.25">
      <c r="A2603" t="s">
        <v>8</v>
      </c>
      <c r="B2603" t="s">
        <v>18</v>
      </c>
      <c r="C2603" s="1">
        <v>46212.760416666657</v>
      </c>
      <c r="D2603" s="1">
        <v>46269.7</v>
      </c>
      <c r="E2603" s="2">
        <f t="shared" si="40"/>
        <v>56.939583333340124</v>
      </c>
    </row>
    <row r="2604" spans="1:5" x14ac:dyDescent="0.25">
      <c r="A2604" t="s">
        <v>19</v>
      </c>
      <c r="B2604" t="s">
        <v>8</v>
      </c>
      <c r="C2604" s="1">
        <v>45870.90902777778</v>
      </c>
      <c r="D2604" s="1">
        <v>45896.864583333343</v>
      </c>
      <c r="E2604" s="2">
        <f t="shared" si="40"/>
        <v>25.955555555563478</v>
      </c>
    </row>
    <row r="2605" spans="1:5" x14ac:dyDescent="0.25">
      <c r="A2605" t="s">
        <v>7</v>
      </c>
      <c r="B2605" t="s">
        <v>11</v>
      </c>
      <c r="C2605" s="1">
        <v>45717.411805555559</v>
      </c>
      <c r="D2605" s="1">
        <v>45783.9</v>
      </c>
      <c r="E2605" s="2">
        <f t="shared" si="40"/>
        <v>66.488194444442343</v>
      </c>
    </row>
    <row r="2606" spans="1:5" x14ac:dyDescent="0.25">
      <c r="A2606" t="s">
        <v>11</v>
      </c>
      <c r="B2606" t="s">
        <v>37</v>
      </c>
      <c r="C2606" s="1">
        <v>46088.862500000003</v>
      </c>
      <c r="D2606" s="1">
        <v>46101.335416666669</v>
      </c>
      <c r="E2606" s="2">
        <f t="shared" si="40"/>
        <v>12.472916666665697</v>
      </c>
    </row>
    <row r="2607" spans="1:5" x14ac:dyDescent="0.25">
      <c r="A2607" t="s">
        <v>45</v>
      </c>
      <c r="B2607" t="s">
        <v>19</v>
      </c>
      <c r="C2607" s="1">
        <v>46027.515277777777</v>
      </c>
      <c r="D2607" s="1">
        <v>46069.90625</v>
      </c>
      <c r="E2607" s="2">
        <f t="shared" si="40"/>
        <v>42.390972222223354</v>
      </c>
    </row>
    <row r="2608" spans="1:5" x14ac:dyDescent="0.25">
      <c r="A2608" t="s">
        <v>22</v>
      </c>
      <c r="B2608" t="s">
        <v>51</v>
      </c>
      <c r="C2608" s="1">
        <v>46069.547222222223</v>
      </c>
      <c r="D2608" s="1">
        <v>46129.326388888891</v>
      </c>
      <c r="E2608" s="2">
        <f t="shared" si="40"/>
        <v>59.779166666667152</v>
      </c>
    </row>
    <row r="2609" spans="1:5" x14ac:dyDescent="0.25">
      <c r="A2609" t="s">
        <v>19</v>
      </c>
      <c r="B2609" t="s">
        <v>54</v>
      </c>
      <c r="C2609" s="1">
        <v>45871.440972222219</v>
      </c>
      <c r="D2609" s="1">
        <v>45908.162499999999</v>
      </c>
      <c r="E2609" s="2">
        <f t="shared" si="40"/>
        <v>36.721527777779556</v>
      </c>
    </row>
    <row r="2610" spans="1:5" x14ac:dyDescent="0.25">
      <c r="A2610" t="s">
        <v>12</v>
      </c>
      <c r="B2610" t="s">
        <v>13</v>
      </c>
      <c r="C2610" s="1">
        <v>46110.625</v>
      </c>
      <c r="D2610" s="1">
        <v>46166.750694444447</v>
      </c>
      <c r="E2610" s="2">
        <f t="shared" si="40"/>
        <v>56.125694444446708</v>
      </c>
    </row>
    <row r="2611" spans="1:5" x14ac:dyDescent="0.25">
      <c r="A2611" t="s">
        <v>22</v>
      </c>
      <c r="B2611" t="s">
        <v>19</v>
      </c>
      <c r="C2611" s="1">
        <v>45896.181435185194</v>
      </c>
      <c r="D2611" s="1">
        <v>45938.941678240742</v>
      </c>
      <c r="E2611" s="2">
        <f t="shared" si="40"/>
        <v>42.760243055548926</v>
      </c>
    </row>
    <row r="2612" spans="1:5" x14ac:dyDescent="0.25">
      <c r="A2612" t="s">
        <v>15</v>
      </c>
      <c r="B2612" t="s">
        <v>8</v>
      </c>
      <c r="C2612" s="1">
        <v>45850.657638888893</v>
      </c>
      <c r="D2612" s="1">
        <v>45910.938888888893</v>
      </c>
      <c r="E2612" s="2">
        <f t="shared" si="40"/>
        <v>60.28125</v>
      </c>
    </row>
    <row r="2613" spans="1:5" x14ac:dyDescent="0.25">
      <c r="A2613" t="s">
        <v>7</v>
      </c>
      <c r="B2613" t="s">
        <v>19</v>
      </c>
      <c r="C2613" s="1">
        <v>45938.916666666657</v>
      </c>
      <c r="D2613" s="1">
        <v>45979.916666666657</v>
      </c>
      <c r="E2613" s="2">
        <f t="shared" si="40"/>
        <v>41</v>
      </c>
    </row>
    <row r="2614" spans="1:5" x14ac:dyDescent="0.25">
      <c r="A2614" t="s">
        <v>15</v>
      </c>
      <c r="B2614" t="s">
        <v>18</v>
      </c>
      <c r="C2614" s="1">
        <v>45790.802083333343</v>
      </c>
      <c r="D2614" s="1">
        <v>45847.017361111109</v>
      </c>
      <c r="E2614" s="2">
        <f t="shared" si="40"/>
        <v>56.21527777776646</v>
      </c>
    </row>
    <row r="2615" spans="1:5" x14ac:dyDescent="0.25">
      <c r="A2615" t="s">
        <v>12</v>
      </c>
      <c r="B2615" t="s">
        <v>13</v>
      </c>
      <c r="C2615" s="1">
        <v>45755.623611111107</v>
      </c>
      <c r="D2615" s="1">
        <v>45805.245833333327</v>
      </c>
      <c r="E2615" s="2">
        <f t="shared" si="40"/>
        <v>49.622222222220444</v>
      </c>
    </row>
    <row r="2616" spans="1:5" x14ac:dyDescent="0.25">
      <c r="A2616" t="s">
        <v>7</v>
      </c>
      <c r="B2616" t="s">
        <v>8</v>
      </c>
      <c r="C2616" s="1">
        <v>45875.306250000001</v>
      </c>
      <c r="D2616" s="1">
        <v>45920.2</v>
      </c>
      <c r="E2616" s="2">
        <f t="shared" si="40"/>
        <v>44.893749999995634</v>
      </c>
    </row>
    <row r="2617" spans="1:5" x14ac:dyDescent="0.25">
      <c r="A2617" t="s">
        <v>7</v>
      </c>
      <c r="B2617" t="s">
        <v>8</v>
      </c>
      <c r="C2617" s="1">
        <v>45822.8</v>
      </c>
      <c r="D2617" s="1">
        <v>45875.612500000003</v>
      </c>
      <c r="E2617" s="2">
        <f t="shared" si="40"/>
        <v>52.8125</v>
      </c>
    </row>
    <row r="2618" spans="1:5" x14ac:dyDescent="0.25">
      <c r="A2618" t="s">
        <v>5</v>
      </c>
      <c r="B2618" t="s">
        <v>8</v>
      </c>
      <c r="C2618" s="1">
        <v>46049.5</v>
      </c>
      <c r="D2618" s="1">
        <v>46091.345833333333</v>
      </c>
      <c r="E2618" s="2">
        <f t="shared" si="40"/>
        <v>41.845833333332848</v>
      </c>
    </row>
    <row r="2619" spans="1:5" x14ac:dyDescent="0.25">
      <c r="A2619" t="s">
        <v>22</v>
      </c>
      <c r="B2619" t="s">
        <v>14</v>
      </c>
      <c r="C2619" s="1">
        <v>45768.991863425923</v>
      </c>
      <c r="D2619" s="1">
        <v>45822.563888888893</v>
      </c>
      <c r="E2619" s="2">
        <f t="shared" si="40"/>
        <v>53.572025462970487</v>
      </c>
    </row>
    <row r="2620" spans="1:5" x14ac:dyDescent="0.25">
      <c r="A2620" t="s">
        <v>15</v>
      </c>
      <c r="B2620" t="s">
        <v>18</v>
      </c>
      <c r="C2620" s="1">
        <v>45724.313194444447</v>
      </c>
      <c r="D2620" s="1">
        <v>45767.976388888892</v>
      </c>
      <c r="E2620" s="2">
        <f t="shared" si="40"/>
        <v>43.663194444445253</v>
      </c>
    </row>
    <row r="2621" spans="1:5" x14ac:dyDescent="0.25">
      <c r="A2621" t="s">
        <v>7</v>
      </c>
      <c r="B2621" t="s">
        <v>11</v>
      </c>
      <c r="C2621" s="1">
        <v>45871.199999999997</v>
      </c>
      <c r="D2621" s="1">
        <v>45951.404166666667</v>
      </c>
      <c r="E2621" s="2">
        <f t="shared" si="40"/>
        <v>80.204166666670062</v>
      </c>
    </row>
    <row r="2622" spans="1:5" x14ac:dyDescent="0.25">
      <c r="A2622" t="s">
        <v>23</v>
      </c>
      <c r="B2622" t="s">
        <v>12</v>
      </c>
      <c r="C2622" s="1">
        <v>46009.662499999999</v>
      </c>
      <c r="D2622" s="1">
        <v>46023.029861111107</v>
      </c>
      <c r="E2622" s="2">
        <f t="shared" si="40"/>
        <v>13.367361111108039</v>
      </c>
    </row>
    <row r="2623" spans="1:5" x14ac:dyDescent="0.25">
      <c r="A2623" t="s">
        <v>7</v>
      </c>
      <c r="B2623" t="s">
        <v>8</v>
      </c>
      <c r="C2623" s="1">
        <v>45920.587500000001</v>
      </c>
      <c r="D2623" s="1">
        <v>45965.662499999999</v>
      </c>
      <c r="E2623" s="2">
        <f t="shared" si="40"/>
        <v>45.07499999999709</v>
      </c>
    </row>
    <row r="2624" spans="1:5" x14ac:dyDescent="0.25">
      <c r="A2624" t="s">
        <v>5</v>
      </c>
      <c r="B2624" t="s">
        <v>8</v>
      </c>
      <c r="C2624" s="1">
        <v>46025.436111111107</v>
      </c>
      <c r="D2624" s="1">
        <v>46071.058333333327</v>
      </c>
      <c r="E2624" s="2">
        <f t="shared" si="40"/>
        <v>45.622222222220444</v>
      </c>
    </row>
    <row r="2625" spans="1:5" x14ac:dyDescent="0.25">
      <c r="A2625" t="s">
        <v>5</v>
      </c>
      <c r="B2625" t="s">
        <v>8</v>
      </c>
      <c r="C2625" s="1">
        <v>46078.916666666657</v>
      </c>
      <c r="D2625" s="1">
        <v>46113.395833333343</v>
      </c>
      <c r="E2625" s="2">
        <f t="shared" si="40"/>
        <v>34.479166666686069</v>
      </c>
    </row>
    <row r="2626" spans="1:5" x14ac:dyDescent="0.25">
      <c r="A2626" t="s">
        <v>5</v>
      </c>
      <c r="B2626" t="s">
        <v>8</v>
      </c>
      <c r="C2626" s="1">
        <v>46028.258333333331</v>
      </c>
      <c r="D2626" s="1">
        <v>46071.058333333327</v>
      </c>
      <c r="E2626" s="2">
        <f t="shared" ref="E2626:E2689" si="41">D2626-C2626</f>
        <v>42.799999999995634</v>
      </c>
    </row>
    <row r="2627" spans="1:5" x14ac:dyDescent="0.25">
      <c r="A2627" t="s">
        <v>5</v>
      </c>
      <c r="B2627" t="s">
        <v>8</v>
      </c>
      <c r="C2627" s="1">
        <v>45982.8</v>
      </c>
      <c r="D2627" s="1">
        <v>46017.370833333327</v>
      </c>
      <c r="E2627" s="2">
        <f t="shared" si="41"/>
        <v>34.570833333324117</v>
      </c>
    </row>
    <row r="2628" spans="1:5" x14ac:dyDescent="0.25">
      <c r="A2628" t="s">
        <v>15</v>
      </c>
      <c r="B2628" t="s">
        <v>18</v>
      </c>
      <c r="C2628" s="1">
        <v>46140.572222222218</v>
      </c>
      <c r="D2628" s="1">
        <v>46197.100694444453</v>
      </c>
      <c r="E2628" s="2">
        <f t="shared" si="41"/>
        <v>56.528472222234996</v>
      </c>
    </row>
    <row r="2629" spans="1:5" x14ac:dyDescent="0.25">
      <c r="A2629" t="s">
        <v>16</v>
      </c>
      <c r="B2629" t="s">
        <v>8</v>
      </c>
      <c r="C2629" s="1">
        <v>45687.745833333327</v>
      </c>
      <c r="D2629" s="1">
        <v>45729.704861111109</v>
      </c>
      <c r="E2629" s="2">
        <f t="shared" si="41"/>
        <v>41.959027777782467</v>
      </c>
    </row>
    <row r="2630" spans="1:5" x14ac:dyDescent="0.25">
      <c r="A2630" t="s">
        <v>5</v>
      </c>
      <c r="B2630" t="s">
        <v>8</v>
      </c>
      <c r="C2630" s="1">
        <v>45958.999305555553</v>
      </c>
      <c r="D2630" s="1">
        <v>45993.345833333333</v>
      </c>
      <c r="E2630" s="2">
        <f t="shared" si="41"/>
        <v>34.346527777779556</v>
      </c>
    </row>
    <row r="2631" spans="1:5" x14ac:dyDescent="0.25">
      <c r="A2631" t="s">
        <v>5</v>
      </c>
      <c r="B2631" t="s">
        <v>8</v>
      </c>
      <c r="C2631" s="1">
        <v>46121.404166666667</v>
      </c>
      <c r="D2631" s="1">
        <v>46162.866666666669</v>
      </c>
      <c r="E2631" s="2">
        <f t="shared" si="41"/>
        <v>41.462500000001455</v>
      </c>
    </row>
    <row r="2632" spans="1:5" x14ac:dyDescent="0.25">
      <c r="A2632" t="s">
        <v>27</v>
      </c>
      <c r="B2632" t="s">
        <v>8</v>
      </c>
      <c r="C2632" s="1">
        <v>45876.125</v>
      </c>
      <c r="D2632" s="1">
        <v>45920.869444444441</v>
      </c>
      <c r="E2632" s="2">
        <f t="shared" si="41"/>
        <v>44.744444444440887</v>
      </c>
    </row>
    <row r="2633" spans="1:5" x14ac:dyDescent="0.25">
      <c r="A2633" t="s">
        <v>5</v>
      </c>
      <c r="B2633" t="s">
        <v>8</v>
      </c>
      <c r="C2633" s="1">
        <v>46035.520833333343</v>
      </c>
      <c r="D2633" s="1">
        <v>46073.45416666667</v>
      </c>
      <c r="E2633" s="2">
        <f t="shared" si="41"/>
        <v>37.933333333327028</v>
      </c>
    </row>
    <row r="2634" spans="1:5" x14ac:dyDescent="0.25">
      <c r="A2634" t="s">
        <v>12</v>
      </c>
      <c r="B2634" t="s">
        <v>13</v>
      </c>
      <c r="C2634" s="1">
        <v>45799.050694444442</v>
      </c>
      <c r="D2634" s="1">
        <v>45844.353472222218</v>
      </c>
      <c r="E2634" s="2">
        <f t="shared" si="41"/>
        <v>45.302777777775191</v>
      </c>
    </row>
    <row r="2635" spans="1:5" x14ac:dyDescent="0.25">
      <c r="A2635" t="s">
        <v>6</v>
      </c>
      <c r="B2635" t="s">
        <v>8</v>
      </c>
      <c r="C2635" s="1">
        <v>45702.237500000003</v>
      </c>
      <c r="D2635" s="1">
        <v>45742.319444444453</v>
      </c>
      <c r="E2635" s="2">
        <f t="shared" si="41"/>
        <v>40.081944444449618</v>
      </c>
    </row>
    <row r="2636" spans="1:5" x14ac:dyDescent="0.25">
      <c r="A2636" t="s">
        <v>7</v>
      </c>
      <c r="B2636" t="s">
        <v>11</v>
      </c>
      <c r="C2636" s="1">
        <v>46050.741666666669</v>
      </c>
      <c r="D2636" s="1">
        <v>46133.220833333333</v>
      </c>
      <c r="E2636" s="2">
        <f t="shared" si="41"/>
        <v>82.479166666664241</v>
      </c>
    </row>
    <row r="2637" spans="1:5" x14ac:dyDescent="0.25">
      <c r="A2637" t="s">
        <v>15</v>
      </c>
      <c r="B2637" t="s">
        <v>13</v>
      </c>
      <c r="C2637" s="1">
        <v>45891.537199074082</v>
      </c>
      <c r="D2637" s="1">
        <v>45928.04791666667</v>
      </c>
      <c r="E2637" s="2">
        <f t="shared" si="41"/>
        <v>36.510717592587753</v>
      </c>
    </row>
    <row r="2638" spans="1:5" x14ac:dyDescent="0.25">
      <c r="A2638" t="s">
        <v>7</v>
      </c>
      <c r="B2638" t="s">
        <v>8</v>
      </c>
      <c r="C2638" s="1">
        <v>45800.645833333343</v>
      </c>
      <c r="D2638" s="1">
        <v>45839.3125</v>
      </c>
      <c r="E2638" s="2">
        <f t="shared" si="41"/>
        <v>38.666666666656965</v>
      </c>
    </row>
    <row r="2639" spans="1:5" x14ac:dyDescent="0.25">
      <c r="A2639" t="s">
        <v>22</v>
      </c>
      <c r="B2639" t="s">
        <v>19</v>
      </c>
      <c r="C2639" s="1">
        <v>45705.035416666673</v>
      </c>
      <c r="D2639" s="1">
        <v>45773.758333333331</v>
      </c>
      <c r="E2639" s="2">
        <f t="shared" si="41"/>
        <v>68.722916666658421</v>
      </c>
    </row>
    <row r="2640" spans="1:5" x14ac:dyDescent="0.25">
      <c r="A2640" t="s">
        <v>8</v>
      </c>
      <c r="B2640" t="s">
        <v>13</v>
      </c>
      <c r="C2640" s="1">
        <v>45785.938738425917</v>
      </c>
      <c r="D2640" s="1">
        <v>45818.029166666667</v>
      </c>
      <c r="E2640" s="2">
        <f t="shared" si="41"/>
        <v>32.090428240750043</v>
      </c>
    </row>
    <row r="2641" spans="1:5" x14ac:dyDescent="0.25">
      <c r="A2641" t="s">
        <v>13</v>
      </c>
      <c r="B2641" t="s">
        <v>8</v>
      </c>
      <c r="C2641" s="1">
        <v>46046.355555555558</v>
      </c>
      <c r="D2641" s="1">
        <v>46078.697916666657</v>
      </c>
      <c r="E2641" s="2">
        <f t="shared" si="41"/>
        <v>32.342361111099308</v>
      </c>
    </row>
    <row r="2642" spans="1:5" x14ac:dyDescent="0.25">
      <c r="A2642" t="s">
        <v>15</v>
      </c>
      <c r="B2642" t="s">
        <v>13</v>
      </c>
      <c r="C2642" s="1">
        <v>46185.171527777777</v>
      </c>
      <c r="D2642" s="1">
        <v>46221.126388888893</v>
      </c>
      <c r="E2642" s="2">
        <f t="shared" si="41"/>
        <v>35.95486111111677</v>
      </c>
    </row>
    <row r="2643" spans="1:5" x14ac:dyDescent="0.25">
      <c r="A2643" t="s">
        <v>10</v>
      </c>
      <c r="B2643" t="s">
        <v>11</v>
      </c>
      <c r="C2643" s="1">
        <v>45891.133333333331</v>
      </c>
      <c r="D2643" s="1">
        <v>45924.945833333331</v>
      </c>
      <c r="E2643" s="2">
        <f t="shared" si="41"/>
        <v>33.8125</v>
      </c>
    </row>
    <row r="2644" spans="1:5" x14ac:dyDescent="0.25">
      <c r="A2644" t="s">
        <v>22</v>
      </c>
      <c r="B2644" t="s">
        <v>19</v>
      </c>
      <c r="C2644" s="1">
        <v>45733.434027777781</v>
      </c>
      <c r="D2644" s="1">
        <v>45815.25</v>
      </c>
      <c r="E2644" s="2">
        <f t="shared" si="41"/>
        <v>81.815972222218988</v>
      </c>
    </row>
    <row r="2645" spans="1:5" x14ac:dyDescent="0.25">
      <c r="A2645" t="s">
        <v>13</v>
      </c>
      <c r="B2645" t="s">
        <v>8</v>
      </c>
      <c r="C2645" s="1">
        <v>46078.533333333333</v>
      </c>
      <c r="D2645" s="1">
        <v>46107.035416666673</v>
      </c>
      <c r="E2645" s="2">
        <f t="shared" si="41"/>
        <v>28.502083333340124</v>
      </c>
    </row>
    <row r="2646" spans="1:5" x14ac:dyDescent="0.25">
      <c r="A2646" t="s">
        <v>12</v>
      </c>
      <c r="B2646" t="s">
        <v>13</v>
      </c>
      <c r="C2646" s="1">
        <v>46118.375</v>
      </c>
      <c r="D2646" s="1">
        <v>46168.666666666657</v>
      </c>
      <c r="E2646" s="2">
        <f t="shared" si="41"/>
        <v>50.291666666656965</v>
      </c>
    </row>
    <row r="2647" spans="1:5" x14ac:dyDescent="0.25">
      <c r="A2647" t="s">
        <v>7</v>
      </c>
      <c r="B2647" t="s">
        <v>20</v>
      </c>
      <c r="C2647" s="1">
        <v>45838.277083333327</v>
      </c>
      <c r="D2647" s="1">
        <v>45892.583333333343</v>
      </c>
      <c r="E2647" s="2">
        <f t="shared" si="41"/>
        <v>54.306250000016007</v>
      </c>
    </row>
    <row r="2648" spans="1:5" x14ac:dyDescent="0.25">
      <c r="A2648" t="s">
        <v>61</v>
      </c>
      <c r="B2648" t="s">
        <v>13</v>
      </c>
      <c r="C2648" s="1">
        <v>45973.019513888888</v>
      </c>
      <c r="D2648" s="1">
        <v>46012.165972222218</v>
      </c>
      <c r="E2648" s="2">
        <f t="shared" si="41"/>
        <v>39.146458333329065</v>
      </c>
    </row>
    <row r="2649" spans="1:5" x14ac:dyDescent="0.25">
      <c r="A2649" t="s">
        <v>7</v>
      </c>
      <c r="B2649" t="s">
        <v>11</v>
      </c>
      <c r="C2649" s="1">
        <v>45694.807638888888</v>
      </c>
      <c r="D2649" s="1">
        <v>45770.20416666667</v>
      </c>
      <c r="E2649" s="2">
        <f t="shared" si="41"/>
        <v>75.396527777782467</v>
      </c>
    </row>
    <row r="2650" spans="1:5" x14ac:dyDescent="0.25">
      <c r="A2650" t="s">
        <v>23</v>
      </c>
      <c r="B2650" t="s">
        <v>18</v>
      </c>
      <c r="C2650" s="1">
        <v>45904.79583333333</v>
      </c>
      <c r="D2650" s="1">
        <v>45955.333333333343</v>
      </c>
      <c r="E2650" s="2">
        <f t="shared" si="41"/>
        <v>50.537500000013097</v>
      </c>
    </row>
    <row r="2651" spans="1:5" x14ac:dyDescent="0.25">
      <c r="A2651" t="s">
        <v>12</v>
      </c>
      <c r="B2651" t="s">
        <v>13</v>
      </c>
      <c r="C2651" s="1">
        <v>45692.675000000003</v>
      </c>
      <c r="D2651" s="1">
        <v>45732.752083333333</v>
      </c>
      <c r="E2651" s="2">
        <f t="shared" si="41"/>
        <v>40.077083333329938</v>
      </c>
    </row>
    <row r="2652" spans="1:5" x14ac:dyDescent="0.25">
      <c r="A2652" t="s">
        <v>7</v>
      </c>
      <c r="B2652" t="s">
        <v>13</v>
      </c>
      <c r="C2652" s="1">
        <v>46022.75</v>
      </c>
      <c r="D2652" s="1">
        <v>46070.65</v>
      </c>
      <c r="E2652" s="2">
        <f t="shared" si="41"/>
        <v>47.900000000001455</v>
      </c>
    </row>
    <row r="2653" spans="1:5" x14ac:dyDescent="0.25">
      <c r="A2653" t="s">
        <v>15</v>
      </c>
      <c r="B2653" t="s">
        <v>8</v>
      </c>
      <c r="C2653" s="1">
        <v>45937.511805555558</v>
      </c>
      <c r="D2653" s="1">
        <v>45984.291666666657</v>
      </c>
      <c r="E2653" s="2">
        <f t="shared" si="41"/>
        <v>46.779861111099308</v>
      </c>
    </row>
    <row r="2654" spans="1:5" x14ac:dyDescent="0.25">
      <c r="A2654" t="s">
        <v>15</v>
      </c>
      <c r="B2654" t="s">
        <v>20</v>
      </c>
      <c r="C2654" s="1">
        <v>46220.508333333331</v>
      </c>
      <c r="D2654" s="1">
        <v>46258.07916666667</v>
      </c>
      <c r="E2654" s="2">
        <f t="shared" si="41"/>
        <v>37.570833333338669</v>
      </c>
    </row>
    <row r="2655" spans="1:5" x14ac:dyDescent="0.25">
      <c r="A2655" t="s">
        <v>15</v>
      </c>
      <c r="B2655" t="s">
        <v>8</v>
      </c>
      <c r="C2655" s="1">
        <v>46128.64166666667</v>
      </c>
      <c r="D2655" s="1">
        <v>46175.798611111109</v>
      </c>
      <c r="E2655" s="2">
        <f t="shared" si="41"/>
        <v>47.156944444439432</v>
      </c>
    </row>
    <row r="2656" spans="1:5" x14ac:dyDescent="0.25">
      <c r="A2656" t="s">
        <v>15</v>
      </c>
      <c r="B2656" t="s">
        <v>8</v>
      </c>
      <c r="C2656" s="1">
        <v>45858.856249999997</v>
      </c>
      <c r="D2656" s="1">
        <v>45901.583333333343</v>
      </c>
      <c r="E2656" s="2">
        <f t="shared" si="41"/>
        <v>42.727083333345945</v>
      </c>
    </row>
    <row r="2657" spans="1:5" x14ac:dyDescent="0.25">
      <c r="A2657" t="s">
        <v>15</v>
      </c>
      <c r="B2657" t="s">
        <v>8</v>
      </c>
      <c r="C2657" s="1">
        <v>45724.95416666667</v>
      </c>
      <c r="D2657" s="1">
        <v>45777</v>
      </c>
      <c r="E2657" s="2">
        <f t="shared" si="41"/>
        <v>52.045833333329938</v>
      </c>
    </row>
    <row r="2658" spans="1:5" x14ac:dyDescent="0.25">
      <c r="A2658" t="s">
        <v>15</v>
      </c>
      <c r="B2658" t="s">
        <v>20</v>
      </c>
      <c r="C2658" s="1">
        <v>46185.4</v>
      </c>
      <c r="D2658" s="1">
        <v>46229.652777777781</v>
      </c>
      <c r="E2658" s="2">
        <f t="shared" si="41"/>
        <v>44.252777777779556</v>
      </c>
    </row>
    <row r="2659" spans="1:5" x14ac:dyDescent="0.25">
      <c r="A2659" t="s">
        <v>15</v>
      </c>
      <c r="B2659" t="s">
        <v>8</v>
      </c>
      <c r="C2659" s="1">
        <v>45680.654166666667</v>
      </c>
      <c r="D2659" s="1">
        <v>45724.601388888892</v>
      </c>
      <c r="E2659" s="2">
        <f t="shared" si="41"/>
        <v>43.947222222224809</v>
      </c>
    </row>
    <row r="2660" spans="1:5" x14ac:dyDescent="0.25">
      <c r="A2660" t="s">
        <v>15</v>
      </c>
      <c r="B2660" t="s">
        <v>18</v>
      </c>
      <c r="C2660" s="1">
        <v>45729.337500000001</v>
      </c>
      <c r="D2660" s="1">
        <v>45783.079861111109</v>
      </c>
      <c r="E2660" s="2">
        <f t="shared" si="41"/>
        <v>53.742361111108039</v>
      </c>
    </row>
    <row r="2661" spans="1:5" x14ac:dyDescent="0.25">
      <c r="A2661" t="s">
        <v>15</v>
      </c>
      <c r="B2661" t="s">
        <v>8</v>
      </c>
      <c r="C2661" s="1">
        <v>45944.345833333333</v>
      </c>
      <c r="D2661" s="1">
        <v>45991.530555555553</v>
      </c>
      <c r="E2661" s="2">
        <f t="shared" si="41"/>
        <v>47.184722222220444</v>
      </c>
    </row>
    <row r="2662" spans="1:5" x14ac:dyDescent="0.25">
      <c r="A2662" t="s">
        <v>7</v>
      </c>
      <c r="B2662" t="s">
        <v>13</v>
      </c>
      <c r="C2662" s="1">
        <v>46045.25</v>
      </c>
      <c r="D2662" s="1">
        <v>46091.636111111111</v>
      </c>
      <c r="E2662" s="2">
        <f t="shared" si="41"/>
        <v>46.386111111110949</v>
      </c>
    </row>
    <row r="2663" spans="1:5" x14ac:dyDescent="0.25">
      <c r="A2663" t="s">
        <v>13</v>
      </c>
      <c r="B2663" t="s">
        <v>8</v>
      </c>
      <c r="C2663" s="1">
        <v>46115.3</v>
      </c>
      <c r="D2663" s="1">
        <v>46142.0625</v>
      </c>
      <c r="E2663" s="2">
        <f t="shared" si="41"/>
        <v>26.76249999999709</v>
      </c>
    </row>
    <row r="2664" spans="1:5" x14ac:dyDescent="0.25">
      <c r="A2664" t="s">
        <v>9</v>
      </c>
      <c r="B2664" t="s">
        <v>11</v>
      </c>
      <c r="C2664" s="1">
        <v>45693.212500000001</v>
      </c>
      <c r="D2664" s="1">
        <v>45769.236111111109</v>
      </c>
      <c r="E2664" s="2">
        <f t="shared" si="41"/>
        <v>76.023611111108039</v>
      </c>
    </row>
    <row r="2665" spans="1:5" x14ac:dyDescent="0.25">
      <c r="A2665" t="s">
        <v>8</v>
      </c>
      <c r="B2665" t="s">
        <v>18</v>
      </c>
      <c r="C2665" s="1">
        <v>46206.283333333333</v>
      </c>
      <c r="D2665" s="1">
        <v>46251.208333333343</v>
      </c>
      <c r="E2665" s="2">
        <f t="shared" si="41"/>
        <v>44.925000000010186</v>
      </c>
    </row>
    <row r="2666" spans="1:5" x14ac:dyDescent="0.25">
      <c r="A2666" t="s">
        <v>18</v>
      </c>
      <c r="B2666" t="s">
        <v>27</v>
      </c>
      <c r="C2666" s="1">
        <v>45749.246527777781</v>
      </c>
      <c r="D2666" s="1">
        <v>45819.925000000003</v>
      </c>
      <c r="E2666" s="2">
        <f t="shared" si="41"/>
        <v>70.678472222221899</v>
      </c>
    </row>
    <row r="2667" spans="1:5" x14ac:dyDescent="0.25">
      <c r="A2667" t="s">
        <v>14</v>
      </c>
      <c r="B2667" t="s">
        <v>22</v>
      </c>
      <c r="C2667" s="1">
        <v>45841.479166666657</v>
      </c>
      <c r="D2667" s="1">
        <v>45918.041666666657</v>
      </c>
      <c r="E2667" s="2">
        <f t="shared" si="41"/>
        <v>76.5625</v>
      </c>
    </row>
    <row r="2668" spans="1:5" x14ac:dyDescent="0.25">
      <c r="A2668" t="s">
        <v>23</v>
      </c>
      <c r="B2668" t="s">
        <v>18</v>
      </c>
      <c r="C2668" s="1">
        <v>45910.129166666673</v>
      </c>
      <c r="D2668" s="1">
        <v>45964.081944444442</v>
      </c>
      <c r="E2668" s="2">
        <f t="shared" si="41"/>
        <v>53.95277777776937</v>
      </c>
    </row>
    <row r="2669" spans="1:5" x14ac:dyDescent="0.25">
      <c r="A2669" t="s">
        <v>12</v>
      </c>
      <c r="B2669" t="s">
        <v>18</v>
      </c>
      <c r="C2669" s="1">
        <v>46012.541666666657</v>
      </c>
      <c r="D2669" s="1">
        <v>46079.863888888889</v>
      </c>
      <c r="E2669" s="2">
        <f t="shared" si="41"/>
        <v>67.322222222232085</v>
      </c>
    </row>
    <row r="2670" spans="1:5" x14ac:dyDescent="0.25">
      <c r="A2670" t="s">
        <v>11</v>
      </c>
      <c r="B2670" t="s">
        <v>19</v>
      </c>
      <c r="C2670" s="1">
        <v>45864.327777777777</v>
      </c>
      <c r="D2670" s="1">
        <v>45906.116666666669</v>
      </c>
      <c r="E2670" s="2">
        <f t="shared" si="41"/>
        <v>41.788888888891961</v>
      </c>
    </row>
    <row r="2671" spans="1:5" x14ac:dyDescent="0.25">
      <c r="A2671" t="s">
        <v>12</v>
      </c>
      <c r="B2671" t="s">
        <v>18</v>
      </c>
      <c r="C2671" s="1">
        <v>45767.413194444453</v>
      </c>
      <c r="D2671" s="1">
        <v>45832.666666666657</v>
      </c>
      <c r="E2671" s="2">
        <f t="shared" si="41"/>
        <v>65.253472222204437</v>
      </c>
    </row>
    <row r="2672" spans="1:5" x14ac:dyDescent="0.25">
      <c r="A2672" t="s">
        <v>7</v>
      </c>
      <c r="B2672" t="s">
        <v>8</v>
      </c>
      <c r="C2672" s="1">
        <v>45808.775000000001</v>
      </c>
      <c r="D2672" s="1">
        <v>45853.816666666673</v>
      </c>
      <c r="E2672" s="2">
        <f t="shared" si="41"/>
        <v>45.041666666671517</v>
      </c>
    </row>
    <row r="2673" spans="1:5" x14ac:dyDescent="0.25">
      <c r="A2673" t="s">
        <v>46</v>
      </c>
      <c r="B2673" t="s">
        <v>11</v>
      </c>
      <c r="C2673" s="1">
        <v>45990.92083333333</v>
      </c>
      <c r="D2673" s="1">
        <v>46000.895833333343</v>
      </c>
      <c r="E2673" s="2">
        <f t="shared" si="41"/>
        <v>9.9750000000130967</v>
      </c>
    </row>
    <row r="2674" spans="1:5" x14ac:dyDescent="0.25">
      <c r="A2674" t="s">
        <v>12</v>
      </c>
      <c r="B2674" t="s">
        <v>18</v>
      </c>
      <c r="C2674" s="1">
        <v>45845.878472222219</v>
      </c>
      <c r="D2674" s="1">
        <v>45909.30972222222</v>
      </c>
      <c r="E2674" s="2">
        <f t="shared" si="41"/>
        <v>63.431250000001455</v>
      </c>
    </row>
    <row r="2675" spans="1:5" x14ac:dyDescent="0.25">
      <c r="A2675" t="s">
        <v>12</v>
      </c>
      <c r="B2675" t="s">
        <v>18</v>
      </c>
      <c r="C2675" s="1">
        <v>46019.85</v>
      </c>
      <c r="D2675" s="1">
        <v>46079.863888888889</v>
      </c>
      <c r="E2675" s="2">
        <f t="shared" si="41"/>
        <v>60.013888888890506</v>
      </c>
    </row>
    <row r="2676" spans="1:5" x14ac:dyDescent="0.25">
      <c r="A2676" t="s">
        <v>15</v>
      </c>
      <c r="B2676" t="s">
        <v>18</v>
      </c>
      <c r="C2676" s="1">
        <v>45902.40902777778</v>
      </c>
      <c r="D2676" s="1">
        <v>45964.081944444442</v>
      </c>
      <c r="E2676" s="2">
        <f t="shared" si="41"/>
        <v>61.672916666662786</v>
      </c>
    </row>
    <row r="2677" spans="1:5" x14ac:dyDescent="0.25">
      <c r="A2677" t="s">
        <v>5</v>
      </c>
      <c r="B2677" t="s">
        <v>8</v>
      </c>
      <c r="C2677" s="1">
        <v>46049.5</v>
      </c>
      <c r="D2677" s="1">
        <v>46091.345833333333</v>
      </c>
      <c r="E2677" s="2">
        <f t="shared" si="41"/>
        <v>41.845833333332848</v>
      </c>
    </row>
    <row r="2678" spans="1:5" x14ac:dyDescent="0.25">
      <c r="A2678" t="s">
        <v>8</v>
      </c>
      <c r="B2678" t="s">
        <v>18</v>
      </c>
      <c r="C2678" s="1">
        <v>46177.366666666669</v>
      </c>
      <c r="D2678" s="1">
        <v>46224.604166666657</v>
      </c>
      <c r="E2678" s="2">
        <f t="shared" si="41"/>
        <v>47.237499999988358</v>
      </c>
    </row>
    <row r="2679" spans="1:5" x14ac:dyDescent="0.25">
      <c r="A2679" t="s">
        <v>13</v>
      </c>
      <c r="B2679" t="s">
        <v>8</v>
      </c>
      <c r="C2679" s="1">
        <v>46060.12222222222</v>
      </c>
      <c r="D2679" s="1">
        <v>46085.457638888889</v>
      </c>
      <c r="E2679" s="2">
        <f t="shared" si="41"/>
        <v>25.335416666668607</v>
      </c>
    </row>
    <row r="2680" spans="1:5" x14ac:dyDescent="0.25">
      <c r="A2680" t="s">
        <v>15</v>
      </c>
      <c r="B2680" t="s">
        <v>18</v>
      </c>
      <c r="C2680" s="1">
        <v>46027.209722222222</v>
      </c>
      <c r="D2680" s="1">
        <v>46079.863888888889</v>
      </c>
      <c r="E2680" s="2">
        <f t="shared" si="41"/>
        <v>52.654166666667152</v>
      </c>
    </row>
    <row r="2681" spans="1:5" x14ac:dyDescent="0.25">
      <c r="A2681" t="s">
        <v>17</v>
      </c>
      <c r="B2681" t="s">
        <v>18</v>
      </c>
      <c r="C2681" s="1">
        <v>45777.75</v>
      </c>
      <c r="D2681" s="1">
        <v>45832.666666666657</v>
      </c>
      <c r="E2681" s="2">
        <f t="shared" si="41"/>
        <v>54.916666666656965</v>
      </c>
    </row>
    <row r="2682" spans="1:5" x14ac:dyDescent="0.25">
      <c r="A2682" t="s">
        <v>8</v>
      </c>
      <c r="B2682" t="s">
        <v>5</v>
      </c>
      <c r="C2682" s="1">
        <v>45761.22152777778</v>
      </c>
      <c r="D2682" s="1">
        <v>45796.416666666657</v>
      </c>
      <c r="E2682" s="2">
        <f t="shared" si="41"/>
        <v>35.195138888877409</v>
      </c>
    </row>
    <row r="2683" spans="1:5" x14ac:dyDescent="0.25">
      <c r="A2683" t="s">
        <v>7</v>
      </c>
      <c r="B2683" t="s">
        <v>8</v>
      </c>
      <c r="C2683" s="1">
        <v>45891.654166666667</v>
      </c>
      <c r="D2683" s="1">
        <v>45938.662499999999</v>
      </c>
      <c r="E2683" s="2">
        <f t="shared" si="41"/>
        <v>47.008333333331393</v>
      </c>
    </row>
    <row r="2684" spans="1:5" x14ac:dyDescent="0.25">
      <c r="A2684" t="s">
        <v>5</v>
      </c>
      <c r="B2684" t="s">
        <v>8</v>
      </c>
      <c r="C2684" s="1">
        <v>46072.658333333333</v>
      </c>
      <c r="D2684" s="1">
        <v>46107.929166666669</v>
      </c>
      <c r="E2684" s="2">
        <f t="shared" si="41"/>
        <v>35.270833333335759</v>
      </c>
    </row>
    <row r="2685" spans="1:5" x14ac:dyDescent="0.25">
      <c r="A2685" t="s">
        <v>7</v>
      </c>
      <c r="B2685" t="s">
        <v>8</v>
      </c>
      <c r="C2685" s="1">
        <v>45882.166666666657</v>
      </c>
      <c r="D2685" s="1">
        <v>45938.662499999999</v>
      </c>
      <c r="E2685" s="2">
        <f t="shared" si="41"/>
        <v>56.495833333341579</v>
      </c>
    </row>
    <row r="2686" spans="1:5" x14ac:dyDescent="0.25">
      <c r="A2686" t="s">
        <v>27</v>
      </c>
      <c r="B2686" t="s">
        <v>8</v>
      </c>
      <c r="C2686" s="1">
        <v>45908.57916666667</v>
      </c>
      <c r="D2686" s="1">
        <v>45963</v>
      </c>
      <c r="E2686" s="2">
        <f t="shared" si="41"/>
        <v>54.420833333329938</v>
      </c>
    </row>
    <row r="2687" spans="1:5" x14ac:dyDescent="0.25">
      <c r="A2687" t="s">
        <v>7</v>
      </c>
      <c r="B2687" t="s">
        <v>13</v>
      </c>
      <c r="C2687" s="1">
        <v>45871.416666666657</v>
      </c>
      <c r="D2687" s="1">
        <v>45945.593055555553</v>
      </c>
      <c r="E2687" s="2">
        <f t="shared" si="41"/>
        <v>74.176388888896327</v>
      </c>
    </row>
    <row r="2688" spans="1:5" x14ac:dyDescent="0.25">
      <c r="A2688" t="s">
        <v>12</v>
      </c>
      <c r="B2688" t="s">
        <v>18</v>
      </c>
      <c r="C2688" s="1">
        <v>45799.050694444442</v>
      </c>
      <c r="D2688" s="1">
        <v>45869.003472222219</v>
      </c>
      <c r="E2688" s="2">
        <f t="shared" si="41"/>
        <v>69.952777777776646</v>
      </c>
    </row>
    <row r="2689" spans="1:5" x14ac:dyDescent="0.25">
      <c r="A2689" t="s">
        <v>7</v>
      </c>
      <c r="B2689" t="s">
        <v>20</v>
      </c>
      <c r="C2689" s="1">
        <v>45964.155682870369</v>
      </c>
      <c r="D2689" s="1">
        <v>46008.5</v>
      </c>
      <c r="E2689" s="2">
        <f t="shared" si="41"/>
        <v>44.344317129631236</v>
      </c>
    </row>
    <row r="2690" spans="1:5" x14ac:dyDescent="0.25">
      <c r="A2690" t="s">
        <v>23</v>
      </c>
      <c r="B2690" t="s">
        <v>18</v>
      </c>
      <c r="C2690" s="1">
        <v>45904.79583333333</v>
      </c>
      <c r="D2690" s="1">
        <v>45955.333333333343</v>
      </c>
      <c r="E2690" s="2">
        <f t="shared" ref="E2690:E2753" si="42">D2690-C2690</f>
        <v>50.537500000013097</v>
      </c>
    </row>
    <row r="2691" spans="1:5" x14ac:dyDescent="0.25">
      <c r="A2691" t="s">
        <v>14</v>
      </c>
      <c r="B2691" t="s">
        <v>22</v>
      </c>
      <c r="C2691" s="1">
        <v>46115.633333333331</v>
      </c>
      <c r="D2691" s="1">
        <v>46177.5</v>
      </c>
      <c r="E2691" s="2">
        <f t="shared" si="42"/>
        <v>61.866666666668607</v>
      </c>
    </row>
    <row r="2692" spans="1:5" x14ac:dyDescent="0.25">
      <c r="A2692" t="s">
        <v>7</v>
      </c>
      <c r="B2692" t="s">
        <v>8</v>
      </c>
      <c r="C2692" s="1">
        <v>45822.685416666667</v>
      </c>
      <c r="D2692" s="1">
        <v>45875.612500000003</v>
      </c>
      <c r="E2692" s="2">
        <f t="shared" si="42"/>
        <v>52.927083333335759</v>
      </c>
    </row>
    <row r="2693" spans="1:5" x14ac:dyDescent="0.25">
      <c r="A2693" t="s">
        <v>7</v>
      </c>
      <c r="B2693" t="s">
        <v>8</v>
      </c>
      <c r="C2693" s="1">
        <v>45882.166666666657</v>
      </c>
      <c r="D2693" s="1">
        <v>45938.662499999999</v>
      </c>
      <c r="E2693" s="2">
        <f t="shared" si="42"/>
        <v>56.495833333341579</v>
      </c>
    </row>
    <row r="2694" spans="1:5" x14ac:dyDescent="0.25">
      <c r="A2694" t="s">
        <v>7</v>
      </c>
      <c r="B2694" t="s">
        <v>8</v>
      </c>
      <c r="C2694" s="1">
        <v>45847.879166666673</v>
      </c>
      <c r="D2694" s="1">
        <v>45910.25</v>
      </c>
      <c r="E2694" s="2">
        <f t="shared" si="42"/>
        <v>62.370833333327028</v>
      </c>
    </row>
    <row r="2695" spans="1:5" x14ac:dyDescent="0.25">
      <c r="A2695" t="s">
        <v>7</v>
      </c>
      <c r="B2695" t="s">
        <v>8</v>
      </c>
      <c r="C2695" s="1">
        <v>45891.654166666667</v>
      </c>
      <c r="D2695" s="1">
        <v>45938.662499999999</v>
      </c>
      <c r="E2695" s="2">
        <f t="shared" si="42"/>
        <v>47.008333333331393</v>
      </c>
    </row>
    <row r="2696" spans="1:5" x14ac:dyDescent="0.25">
      <c r="A2696" t="s">
        <v>5</v>
      </c>
      <c r="B2696" t="s">
        <v>8</v>
      </c>
      <c r="C2696" s="1">
        <v>45982.8</v>
      </c>
      <c r="D2696" s="1">
        <v>46017.370833333327</v>
      </c>
      <c r="E2696" s="2">
        <f t="shared" si="42"/>
        <v>34.570833333324117</v>
      </c>
    </row>
    <row r="2697" spans="1:5" x14ac:dyDescent="0.25">
      <c r="A2697" t="s">
        <v>5</v>
      </c>
      <c r="B2697" t="s">
        <v>8</v>
      </c>
      <c r="C2697" s="1">
        <v>46121.404166666667</v>
      </c>
      <c r="D2697" s="1">
        <v>46162.866666666669</v>
      </c>
      <c r="E2697" s="2">
        <f t="shared" si="42"/>
        <v>41.462500000001455</v>
      </c>
    </row>
    <row r="2698" spans="1:5" x14ac:dyDescent="0.25">
      <c r="A2698" t="s">
        <v>9</v>
      </c>
      <c r="B2698" t="s">
        <v>8</v>
      </c>
      <c r="C2698" s="1">
        <v>46155.452777777777</v>
      </c>
      <c r="D2698" s="1">
        <v>46212.701388888891</v>
      </c>
      <c r="E2698" s="2">
        <f t="shared" si="42"/>
        <v>57.24861111111386</v>
      </c>
    </row>
    <row r="2699" spans="1:5" x14ac:dyDescent="0.25">
      <c r="A2699" t="s">
        <v>15</v>
      </c>
      <c r="B2699" t="s">
        <v>38</v>
      </c>
      <c r="C2699" s="1">
        <v>45865.095833333333</v>
      </c>
      <c r="D2699" s="1">
        <v>45921.76666666667</v>
      </c>
      <c r="E2699" s="2">
        <f t="shared" si="42"/>
        <v>56.670833333337214</v>
      </c>
    </row>
    <row r="2700" spans="1:5" x14ac:dyDescent="0.25">
      <c r="A2700" t="s">
        <v>5</v>
      </c>
      <c r="B2700" t="s">
        <v>8</v>
      </c>
      <c r="C2700" s="1">
        <v>46018.725694444453</v>
      </c>
      <c r="D2700" s="1">
        <v>46071.058333333327</v>
      </c>
      <c r="E2700" s="2">
        <f t="shared" si="42"/>
        <v>52.332638888874499</v>
      </c>
    </row>
    <row r="2701" spans="1:5" x14ac:dyDescent="0.25">
      <c r="A2701" t="s">
        <v>7</v>
      </c>
      <c r="B2701" t="s">
        <v>8</v>
      </c>
      <c r="C2701" s="1">
        <v>45800.645833333343</v>
      </c>
      <c r="D2701" s="1">
        <v>45839.3125</v>
      </c>
      <c r="E2701" s="2">
        <f t="shared" si="42"/>
        <v>38.666666666656965</v>
      </c>
    </row>
    <row r="2702" spans="1:5" x14ac:dyDescent="0.25">
      <c r="A2702" t="s">
        <v>5</v>
      </c>
      <c r="B2702" t="s">
        <v>8</v>
      </c>
      <c r="C2702" s="1">
        <v>45995.0625</v>
      </c>
      <c r="D2702" s="1">
        <v>46028.791666666657</v>
      </c>
      <c r="E2702" s="2">
        <f t="shared" si="42"/>
        <v>33.729166666656965</v>
      </c>
    </row>
    <row r="2703" spans="1:5" x14ac:dyDescent="0.25">
      <c r="A2703" t="s">
        <v>12</v>
      </c>
      <c r="B2703" t="s">
        <v>18</v>
      </c>
      <c r="C2703" s="1">
        <v>45799.050694444442</v>
      </c>
      <c r="D2703" s="1">
        <v>45869.003472222219</v>
      </c>
      <c r="E2703" s="2">
        <f t="shared" si="42"/>
        <v>69.952777777776646</v>
      </c>
    </row>
    <row r="2704" spans="1:5" x14ac:dyDescent="0.25">
      <c r="A2704" t="s">
        <v>11</v>
      </c>
      <c r="B2704" t="s">
        <v>37</v>
      </c>
      <c r="C2704" s="1">
        <v>45663.672048611108</v>
      </c>
      <c r="D2704" s="1">
        <v>45678.612500000003</v>
      </c>
      <c r="E2704" s="2">
        <f t="shared" si="42"/>
        <v>14.940451388894871</v>
      </c>
    </row>
    <row r="2705" spans="1:5" x14ac:dyDescent="0.25">
      <c r="A2705" t="s">
        <v>15</v>
      </c>
      <c r="B2705" t="s">
        <v>18</v>
      </c>
      <c r="C2705" s="1">
        <v>45997.586805555547</v>
      </c>
      <c r="D2705" s="1">
        <v>46058.051388888889</v>
      </c>
      <c r="E2705" s="2">
        <f t="shared" si="42"/>
        <v>60.464583333341579</v>
      </c>
    </row>
    <row r="2706" spans="1:5" x14ac:dyDescent="0.25">
      <c r="A2706" t="s">
        <v>12</v>
      </c>
      <c r="B2706" t="s">
        <v>13</v>
      </c>
      <c r="C2706" s="1">
        <v>45678.344444444447</v>
      </c>
      <c r="D2706" s="1">
        <v>45723.27847222222</v>
      </c>
      <c r="E2706" s="2">
        <f t="shared" si="42"/>
        <v>44.934027777773736</v>
      </c>
    </row>
    <row r="2707" spans="1:5" x14ac:dyDescent="0.25">
      <c r="A2707" t="s">
        <v>27</v>
      </c>
      <c r="B2707" t="s">
        <v>20</v>
      </c>
      <c r="C2707" s="1">
        <v>45725.397916666669</v>
      </c>
      <c r="D2707" s="1">
        <v>45794.862500000003</v>
      </c>
      <c r="E2707" s="2">
        <f t="shared" si="42"/>
        <v>69.464583333334303</v>
      </c>
    </row>
    <row r="2708" spans="1:5" x14ac:dyDescent="0.25">
      <c r="A2708" t="s">
        <v>15</v>
      </c>
      <c r="B2708" t="s">
        <v>8</v>
      </c>
      <c r="C2708" s="1">
        <v>46091.946527777778</v>
      </c>
      <c r="D2708" s="1">
        <v>46131.400694444441</v>
      </c>
      <c r="E2708" s="2">
        <f t="shared" si="42"/>
        <v>39.454166666662786</v>
      </c>
    </row>
    <row r="2709" spans="1:5" x14ac:dyDescent="0.25">
      <c r="A2709" t="s">
        <v>15</v>
      </c>
      <c r="B2709" t="s">
        <v>19</v>
      </c>
      <c r="C2709" s="1">
        <v>46158.3125</v>
      </c>
      <c r="D2709" s="1">
        <v>46195.180555555547</v>
      </c>
      <c r="E2709" s="2">
        <f t="shared" si="42"/>
        <v>36.868055555547471</v>
      </c>
    </row>
    <row r="2710" spans="1:5" x14ac:dyDescent="0.25">
      <c r="A2710" t="s">
        <v>19</v>
      </c>
      <c r="B2710" t="s">
        <v>11</v>
      </c>
      <c r="C2710" s="1">
        <v>46233.256249999999</v>
      </c>
      <c r="D2710" s="1">
        <v>46274.036805555559</v>
      </c>
      <c r="E2710" s="2">
        <f t="shared" si="42"/>
        <v>40.780555555560568</v>
      </c>
    </row>
    <row r="2711" spans="1:5" x14ac:dyDescent="0.25">
      <c r="A2711" t="s">
        <v>7</v>
      </c>
      <c r="B2711" t="s">
        <v>20</v>
      </c>
      <c r="C2711" s="1">
        <v>45782.087500000001</v>
      </c>
      <c r="D2711" s="1">
        <v>45862.152777777781</v>
      </c>
      <c r="E2711" s="2">
        <f t="shared" si="42"/>
        <v>80.065277777779556</v>
      </c>
    </row>
    <row r="2712" spans="1:5" x14ac:dyDescent="0.25">
      <c r="A2712" t="s">
        <v>11</v>
      </c>
      <c r="B2712" t="s">
        <v>21</v>
      </c>
      <c r="C2712" s="1">
        <v>45927.804166666669</v>
      </c>
      <c r="D2712" s="1">
        <v>45937.379166666673</v>
      </c>
      <c r="E2712" s="2">
        <f t="shared" si="42"/>
        <v>9.5750000000043656</v>
      </c>
    </row>
    <row r="2713" spans="1:5" x14ac:dyDescent="0.25">
      <c r="A2713" t="s">
        <v>22</v>
      </c>
      <c r="B2713" t="s">
        <v>14</v>
      </c>
      <c r="C2713" s="1">
        <v>45809.553287037037</v>
      </c>
      <c r="D2713" s="1">
        <v>45854.8125</v>
      </c>
      <c r="E2713" s="2">
        <f t="shared" si="42"/>
        <v>45.25921296296292</v>
      </c>
    </row>
    <row r="2714" spans="1:5" x14ac:dyDescent="0.25">
      <c r="A2714" t="s">
        <v>14</v>
      </c>
      <c r="B2714" t="s">
        <v>34</v>
      </c>
      <c r="C2714" s="1">
        <v>45864.591666666667</v>
      </c>
      <c r="D2714" s="1">
        <v>45892.79583333333</v>
      </c>
      <c r="E2714" s="2">
        <f t="shared" si="42"/>
        <v>28.204166666662786</v>
      </c>
    </row>
    <row r="2715" spans="1:5" x14ac:dyDescent="0.25">
      <c r="A2715" t="s">
        <v>8</v>
      </c>
      <c r="B2715" t="s">
        <v>13</v>
      </c>
      <c r="C2715" s="1">
        <v>45838.708333333343</v>
      </c>
      <c r="D2715" s="1">
        <v>45866.820833333331</v>
      </c>
      <c r="E2715" s="2">
        <f t="shared" si="42"/>
        <v>28.112499999988358</v>
      </c>
    </row>
    <row r="2716" spans="1:5" x14ac:dyDescent="0.25">
      <c r="A2716" t="s">
        <v>34</v>
      </c>
      <c r="B2716" t="s">
        <v>13</v>
      </c>
      <c r="C2716" s="1">
        <v>45977.724999999999</v>
      </c>
      <c r="D2716" s="1">
        <v>46002.811111111107</v>
      </c>
      <c r="E2716" s="2">
        <f t="shared" si="42"/>
        <v>25.086111111108039</v>
      </c>
    </row>
    <row r="2717" spans="1:5" x14ac:dyDescent="0.25">
      <c r="A2717" t="s">
        <v>22</v>
      </c>
      <c r="B2717" t="s">
        <v>19</v>
      </c>
      <c r="C2717" s="1">
        <v>45768.98333333333</v>
      </c>
      <c r="D2717" s="1">
        <v>45835.866666666669</v>
      </c>
      <c r="E2717" s="2">
        <f t="shared" si="42"/>
        <v>66.883333333338669</v>
      </c>
    </row>
    <row r="2718" spans="1:5" x14ac:dyDescent="0.25">
      <c r="A2718" t="s">
        <v>34</v>
      </c>
      <c r="B2718" t="s">
        <v>13</v>
      </c>
      <c r="C2718" s="1">
        <v>46013.058333333327</v>
      </c>
      <c r="D2718" s="1">
        <v>46044.574305555558</v>
      </c>
      <c r="E2718" s="2">
        <f t="shared" si="42"/>
        <v>31.51597222223063</v>
      </c>
    </row>
    <row r="2719" spans="1:5" x14ac:dyDescent="0.25">
      <c r="A2719" t="s">
        <v>11</v>
      </c>
      <c r="B2719" t="s">
        <v>37</v>
      </c>
      <c r="C2719" s="1">
        <v>46068.003078703703</v>
      </c>
      <c r="D2719" s="1">
        <v>46081.656944444447</v>
      </c>
      <c r="E2719" s="2">
        <f t="shared" si="42"/>
        <v>13.65386574074364</v>
      </c>
    </row>
    <row r="2720" spans="1:5" x14ac:dyDescent="0.25">
      <c r="A2720" t="s">
        <v>22</v>
      </c>
      <c r="B2720" t="s">
        <v>14</v>
      </c>
      <c r="C2720" s="1">
        <v>45957.616666666669</v>
      </c>
      <c r="D2720" s="1">
        <v>46001.541666666657</v>
      </c>
      <c r="E2720" s="2">
        <f t="shared" si="42"/>
        <v>43.924999999988358</v>
      </c>
    </row>
    <row r="2721" spans="1:5" x14ac:dyDescent="0.25">
      <c r="A2721" t="s">
        <v>15</v>
      </c>
      <c r="B2721" t="s">
        <v>13</v>
      </c>
      <c r="C2721" s="1">
        <v>45896.65</v>
      </c>
      <c r="D2721" s="1">
        <v>45935.045138888891</v>
      </c>
      <c r="E2721" s="2">
        <f t="shared" si="42"/>
        <v>38.395138888889051</v>
      </c>
    </row>
    <row r="2722" spans="1:5" x14ac:dyDescent="0.25">
      <c r="A2722" t="s">
        <v>22</v>
      </c>
      <c r="B2722" t="s">
        <v>14</v>
      </c>
      <c r="C2722" s="1">
        <v>45803.670810185176</v>
      </c>
      <c r="D2722" s="1">
        <v>45847.831250000003</v>
      </c>
      <c r="E2722" s="2">
        <f t="shared" si="42"/>
        <v>44.160439814826532</v>
      </c>
    </row>
    <row r="2723" spans="1:5" x14ac:dyDescent="0.25">
      <c r="A2723" t="s">
        <v>22</v>
      </c>
      <c r="B2723" t="s">
        <v>14</v>
      </c>
      <c r="C2723" s="1">
        <v>45883.520833333343</v>
      </c>
      <c r="D2723" s="1">
        <v>45931.817361111112</v>
      </c>
      <c r="E2723" s="2">
        <f t="shared" si="42"/>
        <v>48.29652777776937</v>
      </c>
    </row>
    <row r="2724" spans="1:5" x14ac:dyDescent="0.25">
      <c r="A2724" t="s">
        <v>22</v>
      </c>
      <c r="B2724" t="s">
        <v>19</v>
      </c>
      <c r="C2724" s="1">
        <v>45673.771851851852</v>
      </c>
      <c r="D2724" s="1">
        <v>45742.020833333343</v>
      </c>
      <c r="E2724" s="2">
        <f t="shared" si="42"/>
        <v>68.248981481490773</v>
      </c>
    </row>
    <row r="2725" spans="1:5" x14ac:dyDescent="0.25">
      <c r="A2725" t="s">
        <v>11</v>
      </c>
      <c r="B2725" t="s">
        <v>21</v>
      </c>
      <c r="C2725" s="1">
        <v>46003.366666666669</v>
      </c>
      <c r="D2725" s="1">
        <v>46014.820833333331</v>
      </c>
      <c r="E2725" s="2">
        <f t="shared" si="42"/>
        <v>11.454166666662786</v>
      </c>
    </row>
    <row r="2726" spans="1:5" x14ac:dyDescent="0.25">
      <c r="A2726" t="s">
        <v>40</v>
      </c>
      <c r="B2726" t="s">
        <v>37</v>
      </c>
      <c r="C2726" s="1">
        <v>45900.254166666673</v>
      </c>
      <c r="D2726" s="1">
        <v>45912.51666666667</v>
      </c>
      <c r="E2726" s="2">
        <f t="shared" si="42"/>
        <v>12.26249999999709</v>
      </c>
    </row>
    <row r="2727" spans="1:5" x14ac:dyDescent="0.25">
      <c r="A2727" t="s">
        <v>15</v>
      </c>
      <c r="B2727" t="s">
        <v>13</v>
      </c>
      <c r="C2727" s="1">
        <v>45870.779166666667</v>
      </c>
      <c r="D2727" s="1">
        <v>45906.515972222223</v>
      </c>
      <c r="E2727" s="2">
        <f t="shared" si="42"/>
        <v>35.736805555556202</v>
      </c>
    </row>
    <row r="2728" spans="1:5" x14ac:dyDescent="0.25">
      <c r="A2728" t="s">
        <v>34</v>
      </c>
      <c r="B2728" t="s">
        <v>13</v>
      </c>
      <c r="C2728" s="1">
        <v>46167.455555555563</v>
      </c>
      <c r="D2728" s="1">
        <v>46191.282638888893</v>
      </c>
      <c r="E2728" s="2">
        <f t="shared" si="42"/>
        <v>23.827083333329938</v>
      </c>
    </row>
    <row r="2729" spans="1:5" x14ac:dyDescent="0.25">
      <c r="A2729" t="s">
        <v>13</v>
      </c>
      <c r="B2729" t="s">
        <v>8</v>
      </c>
      <c r="C2729" s="1">
        <v>46229.21597222222</v>
      </c>
      <c r="D2729" s="1">
        <v>46260.691666666673</v>
      </c>
      <c r="E2729" s="2">
        <f t="shared" si="42"/>
        <v>31.475694444452529</v>
      </c>
    </row>
    <row r="2730" spans="1:5" x14ac:dyDescent="0.25">
      <c r="A2730" t="s">
        <v>10</v>
      </c>
      <c r="B2730" t="s">
        <v>11</v>
      </c>
      <c r="C2730" s="1">
        <v>45956.384722222218</v>
      </c>
      <c r="D2730" s="1">
        <v>45979.9375</v>
      </c>
      <c r="E2730" s="2">
        <f t="shared" si="42"/>
        <v>23.552777777782467</v>
      </c>
    </row>
    <row r="2731" spans="1:5" x14ac:dyDescent="0.25">
      <c r="A2731" t="s">
        <v>11</v>
      </c>
      <c r="B2731" t="s">
        <v>21</v>
      </c>
      <c r="C2731" s="1">
        <v>46199.924305555563</v>
      </c>
      <c r="D2731" s="1">
        <v>46211.26666666667</v>
      </c>
      <c r="E2731" s="2">
        <f t="shared" si="42"/>
        <v>11.342361111106584</v>
      </c>
    </row>
    <row r="2732" spans="1:5" x14ac:dyDescent="0.25">
      <c r="A2732" t="s">
        <v>34</v>
      </c>
      <c r="B2732" t="s">
        <v>13</v>
      </c>
      <c r="C2732" s="1">
        <v>46107.679861111108</v>
      </c>
      <c r="D2732" s="1">
        <v>46136.920138888891</v>
      </c>
      <c r="E2732" s="2">
        <f t="shared" si="42"/>
        <v>29.240277777782467</v>
      </c>
    </row>
    <row r="2733" spans="1:5" x14ac:dyDescent="0.25">
      <c r="A2733" t="s">
        <v>15</v>
      </c>
      <c r="B2733" t="s">
        <v>13</v>
      </c>
      <c r="C2733" s="1">
        <v>46106.9375</v>
      </c>
      <c r="D2733" s="1">
        <v>46145.782638888893</v>
      </c>
      <c r="E2733" s="2">
        <f t="shared" si="42"/>
        <v>38.845138888893416</v>
      </c>
    </row>
    <row r="2734" spans="1:5" x14ac:dyDescent="0.25">
      <c r="A2734" t="s">
        <v>11</v>
      </c>
      <c r="B2734" t="s">
        <v>21</v>
      </c>
      <c r="C2734" s="1">
        <v>46073.765972222223</v>
      </c>
      <c r="D2734" s="1">
        <v>46085.393750000003</v>
      </c>
      <c r="E2734" s="2">
        <f t="shared" si="42"/>
        <v>11.627777777779556</v>
      </c>
    </row>
    <row r="2735" spans="1:5" x14ac:dyDescent="0.25">
      <c r="A2735" t="s">
        <v>22</v>
      </c>
      <c r="B2735" t="s">
        <v>14</v>
      </c>
      <c r="C2735" s="1">
        <v>45866.008518518523</v>
      </c>
      <c r="D2735" s="1">
        <v>45911.3</v>
      </c>
      <c r="E2735" s="2">
        <f t="shared" si="42"/>
        <v>45.291481481479423</v>
      </c>
    </row>
    <row r="2736" spans="1:5" x14ac:dyDescent="0.25">
      <c r="A2736" t="s">
        <v>12</v>
      </c>
      <c r="B2736" t="s">
        <v>13</v>
      </c>
      <c r="C2736" s="1">
        <v>46192.316666666673</v>
      </c>
      <c r="D2736" s="1">
        <v>46245.265277777777</v>
      </c>
      <c r="E2736" s="2">
        <f t="shared" si="42"/>
        <v>52.948611111103673</v>
      </c>
    </row>
    <row r="2737" spans="1:5" x14ac:dyDescent="0.25">
      <c r="A2737" t="s">
        <v>11</v>
      </c>
      <c r="B2737" t="s">
        <v>21</v>
      </c>
      <c r="C2737" s="1">
        <v>46213.319479166668</v>
      </c>
      <c r="D2737" s="1">
        <v>46226.536111111112</v>
      </c>
      <c r="E2737" s="2">
        <f t="shared" si="42"/>
        <v>13.216631944444089</v>
      </c>
    </row>
    <row r="2738" spans="1:5" x14ac:dyDescent="0.25">
      <c r="A2738" t="s">
        <v>22</v>
      </c>
      <c r="B2738" t="s">
        <v>14</v>
      </c>
      <c r="C2738" s="1">
        <v>45803.670810185176</v>
      </c>
      <c r="D2738" s="1">
        <v>45847.831250000003</v>
      </c>
      <c r="E2738" s="2">
        <f t="shared" si="42"/>
        <v>44.160439814826532</v>
      </c>
    </row>
    <row r="2739" spans="1:5" x14ac:dyDescent="0.25">
      <c r="A2739" t="s">
        <v>46</v>
      </c>
      <c r="B2739" t="s">
        <v>11</v>
      </c>
      <c r="C2739" s="1">
        <v>46100.775000000001</v>
      </c>
      <c r="D2739" s="1">
        <v>46107.560416666667</v>
      </c>
      <c r="E2739" s="2">
        <f t="shared" si="42"/>
        <v>6.7854166666656965</v>
      </c>
    </row>
    <row r="2740" spans="1:5" x14ac:dyDescent="0.25">
      <c r="A2740" t="s">
        <v>8</v>
      </c>
      <c r="B2740" t="s">
        <v>13</v>
      </c>
      <c r="C2740" s="1">
        <v>45872.586805555547</v>
      </c>
      <c r="D2740" s="1">
        <v>45894.341666666667</v>
      </c>
      <c r="E2740" s="2">
        <f t="shared" si="42"/>
        <v>21.754861111119681</v>
      </c>
    </row>
    <row r="2741" spans="1:5" x14ac:dyDescent="0.25">
      <c r="A2741" t="s">
        <v>22</v>
      </c>
      <c r="B2741" t="s">
        <v>14</v>
      </c>
      <c r="C2741" s="1">
        <v>45918.601400462961</v>
      </c>
      <c r="D2741" s="1">
        <v>45966.55</v>
      </c>
      <c r="E2741" s="2">
        <f t="shared" si="42"/>
        <v>47.948599537041446</v>
      </c>
    </row>
    <row r="2742" spans="1:5" x14ac:dyDescent="0.25">
      <c r="A2742" t="s">
        <v>15</v>
      </c>
      <c r="B2742" t="s">
        <v>13</v>
      </c>
      <c r="C2742" s="1">
        <v>45988.254166666673</v>
      </c>
      <c r="D2742" s="1">
        <v>46025.690972222219</v>
      </c>
      <c r="E2742" s="2">
        <f t="shared" si="42"/>
        <v>37.436805555546016</v>
      </c>
    </row>
    <row r="2743" spans="1:5" x14ac:dyDescent="0.25">
      <c r="A2743" t="s">
        <v>7</v>
      </c>
      <c r="B2743" t="s">
        <v>20</v>
      </c>
      <c r="C2743" s="1">
        <v>45915.689583333333</v>
      </c>
      <c r="D2743" s="1">
        <v>45963.645833333343</v>
      </c>
      <c r="E2743" s="2">
        <f t="shared" si="42"/>
        <v>47.956250000010186</v>
      </c>
    </row>
    <row r="2744" spans="1:5" x14ac:dyDescent="0.25">
      <c r="A2744" t="s">
        <v>15</v>
      </c>
      <c r="B2744" t="s">
        <v>38</v>
      </c>
      <c r="C2744" s="1">
        <v>46150.083182870367</v>
      </c>
      <c r="D2744" s="1">
        <v>46196.245833333327</v>
      </c>
      <c r="E2744" s="2">
        <f t="shared" si="42"/>
        <v>46.162650462960301</v>
      </c>
    </row>
    <row r="2745" spans="1:5" x14ac:dyDescent="0.25">
      <c r="A2745" t="s">
        <v>11</v>
      </c>
      <c r="B2745" t="s">
        <v>37</v>
      </c>
      <c r="C2745" s="1">
        <v>46088.862500000003</v>
      </c>
      <c r="D2745" s="1">
        <v>46101.335416666669</v>
      </c>
      <c r="E2745" s="2">
        <f t="shared" si="42"/>
        <v>12.472916666665697</v>
      </c>
    </row>
    <row r="2746" spans="1:5" x14ac:dyDescent="0.25">
      <c r="A2746" t="s">
        <v>22</v>
      </c>
      <c r="B2746" t="s">
        <v>19</v>
      </c>
      <c r="C2746" s="1">
        <v>45673.75</v>
      </c>
      <c r="D2746" s="1">
        <v>45742.020833333343</v>
      </c>
      <c r="E2746" s="2">
        <f t="shared" si="42"/>
        <v>68.270833333343035</v>
      </c>
    </row>
    <row r="2747" spans="1:5" x14ac:dyDescent="0.25">
      <c r="A2747" t="s">
        <v>15</v>
      </c>
      <c r="B2747" t="s">
        <v>13</v>
      </c>
      <c r="C2747" s="1">
        <v>45891.537199074082</v>
      </c>
      <c r="D2747" s="1">
        <v>45928.04791666667</v>
      </c>
      <c r="E2747" s="2">
        <f t="shared" si="42"/>
        <v>36.510717592587753</v>
      </c>
    </row>
    <row r="2748" spans="1:5" x14ac:dyDescent="0.25">
      <c r="A2748" t="s">
        <v>42</v>
      </c>
      <c r="B2748" t="s">
        <v>19</v>
      </c>
      <c r="C2748" s="1">
        <v>45843.373020833344</v>
      </c>
      <c r="D2748" s="1">
        <v>45882.59097222222</v>
      </c>
      <c r="E2748" s="2">
        <f t="shared" si="42"/>
        <v>39.217951388876827</v>
      </c>
    </row>
    <row r="2749" spans="1:5" x14ac:dyDescent="0.25">
      <c r="A2749" t="s">
        <v>22</v>
      </c>
      <c r="B2749" t="s">
        <v>14</v>
      </c>
      <c r="C2749" s="1">
        <v>45803.652777777781</v>
      </c>
      <c r="D2749" s="1">
        <v>45847.831250000003</v>
      </c>
      <c r="E2749" s="2">
        <f t="shared" si="42"/>
        <v>44.178472222221899</v>
      </c>
    </row>
    <row r="2750" spans="1:5" x14ac:dyDescent="0.25">
      <c r="A2750" t="s">
        <v>14</v>
      </c>
      <c r="B2750" t="s">
        <v>34</v>
      </c>
      <c r="C2750" s="1">
        <v>45857.276967592603</v>
      </c>
      <c r="D2750" s="1">
        <v>45885.366666666669</v>
      </c>
      <c r="E2750" s="2">
        <f t="shared" si="42"/>
        <v>28.08969907406572</v>
      </c>
    </row>
    <row r="2751" spans="1:5" x14ac:dyDescent="0.25">
      <c r="A2751" t="s">
        <v>34</v>
      </c>
      <c r="B2751" t="s">
        <v>13</v>
      </c>
      <c r="C2751" s="1">
        <v>45858.368171296293</v>
      </c>
      <c r="D2751" s="1">
        <v>45883.708333333343</v>
      </c>
      <c r="E2751" s="2">
        <f t="shared" si="42"/>
        <v>25.340162037049595</v>
      </c>
    </row>
    <row r="2752" spans="1:5" x14ac:dyDescent="0.25">
      <c r="A2752" t="s">
        <v>11</v>
      </c>
      <c r="B2752" t="s">
        <v>21</v>
      </c>
      <c r="C2752" s="1">
        <v>46038.947222222218</v>
      </c>
      <c r="D2752" s="1">
        <v>46049.767361111109</v>
      </c>
      <c r="E2752" s="2">
        <f t="shared" si="42"/>
        <v>10.820138888891961</v>
      </c>
    </row>
    <row r="2753" spans="1:5" x14ac:dyDescent="0.25">
      <c r="A2753" t="s">
        <v>46</v>
      </c>
      <c r="B2753" t="s">
        <v>11</v>
      </c>
      <c r="C2753" s="1">
        <v>46074.767361111109</v>
      </c>
      <c r="D2753" s="1">
        <v>46085.681250000001</v>
      </c>
      <c r="E2753" s="2">
        <f t="shared" si="42"/>
        <v>10.913888888891961</v>
      </c>
    </row>
    <row r="2754" spans="1:5" x14ac:dyDescent="0.25">
      <c r="A2754" t="s">
        <v>10</v>
      </c>
      <c r="B2754" t="s">
        <v>11</v>
      </c>
      <c r="C2754" s="1">
        <v>45670.137696759259</v>
      </c>
      <c r="D2754" s="1">
        <v>45693.404166666667</v>
      </c>
      <c r="E2754" s="2">
        <f t="shared" ref="E2754:E2817" si="43">D2754-C2754</f>
        <v>23.266469907408464</v>
      </c>
    </row>
    <row r="2755" spans="1:5" x14ac:dyDescent="0.25">
      <c r="A2755" t="s">
        <v>34</v>
      </c>
      <c r="B2755" t="s">
        <v>13</v>
      </c>
      <c r="C2755" s="1">
        <v>45858.354166666657</v>
      </c>
      <c r="D2755" s="1">
        <v>45883.708333333343</v>
      </c>
      <c r="E2755" s="2">
        <f t="shared" si="43"/>
        <v>25.354166666686069</v>
      </c>
    </row>
    <row r="2756" spans="1:5" x14ac:dyDescent="0.25">
      <c r="A2756" t="s">
        <v>11</v>
      </c>
      <c r="B2756" t="s">
        <v>37</v>
      </c>
      <c r="C2756" s="1">
        <v>46026.289583333331</v>
      </c>
      <c r="D2756" s="1">
        <v>46043.270833333343</v>
      </c>
      <c r="E2756" s="2">
        <f t="shared" si="43"/>
        <v>16.981250000011642</v>
      </c>
    </row>
    <row r="2757" spans="1:5" x14ac:dyDescent="0.25">
      <c r="A2757" t="s">
        <v>15</v>
      </c>
      <c r="B2757" t="s">
        <v>13</v>
      </c>
      <c r="C2757" s="1">
        <v>45884.946064814823</v>
      </c>
      <c r="D2757" s="1">
        <v>45921.26666666667</v>
      </c>
      <c r="E2757" s="2">
        <f t="shared" si="43"/>
        <v>36.320601851846732</v>
      </c>
    </row>
    <row r="2758" spans="1:5" x14ac:dyDescent="0.25">
      <c r="A2758" t="s">
        <v>13</v>
      </c>
      <c r="B2758" t="s">
        <v>8</v>
      </c>
      <c r="C2758" s="1">
        <v>46222.043749999997</v>
      </c>
      <c r="D2758" s="1">
        <v>46244.741666666669</v>
      </c>
      <c r="E2758" s="2">
        <f t="shared" si="43"/>
        <v>22.697916666671517</v>
      </c>
    </row>
    <row r="2759" spans="1:5" x14ac:dyDescent="0.25">
      <c r="A2759" t="s">
        <v>15</v>
      </c>
      <c r="B2759" t="s">
        <v>18</v>
      </c>
      <c r="C2759" s="1">
        <v>46219.958333333343</v>
      </c>
      <c r="D2759" s="1">
        <v>46252.850694444453</v>
      </c>
      <c r="E2759" s="2">
        <f t="shared" si="43"/>
        <v>32.892361111109494</v>
      </c>
    </row>
    <row r="2760" spans="1:5" x14ac:dyDescent="0.25">
      <c r="A2760" t="s">
        <v>15</v>
      </c>
      <c r="B2760" t="s">
        <v>38</v>
      </c>
      <c r="C2760" s="1">
        <v>46150.069444444453</v>
      </c>
      <c r="D2760" s="1">
        <v>46196.245833333327</v>
      </c>
      <c r="E2760" s="2">
        <f t="shared" si="43"/>
        <v>46.176388888874499</v>
      </c>
    </row>
    <row r="2761" spans="1:5" x14ac:dyDescent="0.25">
      <c r="A2761" t="s">
        <v>18</v>
      </c>
      <c r="B2761" t="s">
        <v>27</v>
      </c>
      <c r="C2761" s="1">
        <v>45704.913194444453</v>
      </c>
      <c r="D2761" s="1">
        <v>45778.336805555547</v>
      </c>
      <c r="E2761" s="2">
        <f t="shared" si="43"/>
        <v>73.423611111094942</v>
      </c>
    </row>
    <row r="2762" spans="1:5" x14ac:dyDescent="0.25">
      <c r="A2762" t="s">
        <v>15</v>
      </c>
      <c r="B2762" t="s">
        <v>18</v>
      </c>
      <c r="C2762" s="1">
        <v>46225.98541666667</v>
      </c>
      <c r="D2762" s="1">
        <v>46269.724999999999</v>
      </c>
      <c r="E2762" s="2">
        <f t="shared" si="43"/>
        <v>43.739583333328483</v>
      </c>
    </row>
    <row r="2763" spans="1:5" x14ac:dyDescent="0.25">
      <c r="A2763" t="s">
        <v>22</v>
      </c>
      <c r="B2763" t="s">
        <v>14</v>
      </c>
      <c r="C2763" s="1">
        <v>45844.233738425923</v>
      </c>
      <c r="D2763" s="1">
        <v>45889.818055555559</v>
      </c>
      <c r="E2763" s="2">
        <f t="shared" si="43"/>
        <v>45.584317129636474</v>
      </c>
    </row>
    <row r="2764" spans="1:5" x14ac:dyDescent="0.25">
      <c r="A2764" t="s">
        <v>22</v>
      </c>
      <c r="B2764" t="s">
        <v>14</v>
      </c>
      <c r="C2764" s="1">
        <v>45679.180462962962</v>
      </c>
      <c r="D2764" s="1">
        <v>45735.804166666669</v>
      </c>
      <c r="E2764" s="2">
        <f t="shared" si="43"/>
        <v>56.623703703706269</v>
      </c>
    </row>
    <row r="2765" spans="1:5" x14ac:dyDescent="0.25">
      <c r="A2765" t="s">
        <v>8</v>
      </c>
      <c r="B2765" t="s">
        <v>13</v>
      </c>
      <c r="C2765" s="1">
        <v>45926.987500000003</v>
      </c>
      <c r="D2765" s="1">
        <v>45951.145833333343</v>
      </c>
      <c r="E2765" s="2">
        <f t="shared" si="43"/>
        <v>24.158333333340124</v>
      </c>
    </row>
    <row r="2766" spans="1:5" x14ac:dyDescent="0.25">
      <c r="A2766" t="s">
        <v>34</v>
      </c>
      <c r="B2766" t="s">
        <v>13</v>
      </c>
      <c r="C2766" s="1">
        <v>46100.364583333343</v>
      </c>
      <c r="D2766" s="1">
        <v>46128.446527777778</v>
      </c>
      <c r="E2766" s="2">
        <f t="shared" si="43"/>
        <v>28.081944444435067</v>
      </c>
    </row>
    <row r="2767" spans="1:5" x14ac:dyDescent="0.25">
      <c r="A2767" t="s">
        <v>13</v>
      </c>
      <c r="B2767" t="s">
        <v>8</v>
      </c>
      <c r="C2767" s="1">
        <v>46151.791666666657</v>
      </c>
      <c r="D2767" s="1">
        <v>46172.038194444453</v>
      </c>
      <c r="E2767" s="2">
        <f t="shared" si="43"/>
        <v>20.246527777795563</v>
      </c>
    </row>
    <row r="2768" spans="1:5" x14ac:dyDescent="0.25">
      <c r="A2768" t="s">
        <v>34</v>
      </c>
      <c r="B2768" t="s">
        <v>13</v>
      </c>
      <c r="C2768" s="1">
        <v>45788.025000000001</v>
      </c>
      <c r="D2768" s="1">
        <v>45813.92083333333</v>
      </c>
      <c r="E2768" s="2">
        <f t="shared" si="43"/>
        <v>25.895833333328483</v>
      </c>
    </row>
    <row r="2769" spans="1:5" x14ac:dyDescent="0.25">
      <c r="A2769" t="s">
        <v>15</v>
      </c>
      <c r="B2769" t="s">
        <v>38</v>
      </c>
      <c r="C2769" s="1">
        <v>46192.579826388886</v>
      </c>
      <c r="D2769" s="1">
        <v>46246.558333333327</v>
      </c>
      <c r="E2769" s="2">
        <f t="shared" si="43"/>
        <v>53.978506944440596</v>
      </c>
    </row>
    <row r="2770" spans="1:5" x14ac:dyDescent="0.25">
      <c r="A2770" t="s">
        <v>22</v>
      </c>
      <c r="B2770" t="s">
        <v>19</v>
      </c>
      <c r="C2770" s="1">
        <v>45679.180462962962</v>
      </c>
      <c r="D2770" s="1">
        <v>45755.54792824074</v>
      </c>
      <c r="E2770" s="2">
        <f t="shared" si="43"/>
        <v>76.367465277777228</v>
      </c>
    </row>
    <row r="2771" spans="1:5" x14ac:dyDescent="0.25">
      <c r="A2771" t="s">
        <v>22</v>
      </c>
      <c r="B2771" t="s">
        <v>19</v>
      </c>
      <c r="C2771" s="1">
        <v>45748.2</v>
      </c>
      <c r="D2771" s="1">
        <v>45816.841666666667</v>
      </c>
      <c r="E2771" s="2">
        <f t="shared" si="43"/>
        <v>68.641666666670062</v>
      </c>
    </row>
    <row r="2772" spans="1:5" x14ac:dyDescent="0.25">
      <c r="A2772" t="s">
        <v>11</v>
      </c>
      <c r="B2772" t="s">
        <v>21</v>
      </c>
      <c r="C2772" s="1">
        <v>45835.036863425928</v>
      </c>
      <c r="D2772" s="1">
        <v>45846.39166666667</v>
      </c>
      <c r="E2772" s="2">
        <f t="shared" si="43"/>
        <v>11.354803240741603</v>
      </c>
    </row>
    <row r="2773" spans="1:5" x14ac:dyDescent="0.25">
      <c r="A2773" t="s">
        <v>22</v>
      </c>
      <c r="B2773" t="s">
        <v>14</v>
      </c>
      <c r="C2773" s="1">
        <v>45929.566701388889</v>
      </c>
      <c r="D2773" s="1">
        <v>45974.012499999997</v>
      </c>
      <c r="E2773" s="2">
        <f t="shared" si="43"/>
        <v>44.44579861110833</v>
      </c>
    </row>
    <row r="2774" spans="1:5" x14ac:dyDescent="0.25">
      <c r="A2774" t="s">
        <v>40</v>
      </c>
      <c r="B2774" t="s">
        <v>37</v>
      </c>
      <c r="C2774" s="1">
        <v>45988.654537037037</v>
      </c>
      <c r="D2774" s="1">
        <v>46002.35833333333</v>
      </c>
      <c r="E2774" s="2">
        <f t="shared" si="43"/>
        <v>13.703796296293149</v>
      </c>
    </row>
    <row r="2775" spans="1:5" x14ac:dyDescent="0.25">
      <c r="A2775" t="s">
        <v>10</v>
      </c>
      <c r="B2775" t="s">
        <v>11</v>
      </c>
      <c r="C2775" s="1">
        <v>46107.32916666667</v>
      </c>
      <c r="D2775" s="1">
        <v>46134.286805555559</v>
      </c>
      <c r="E2775" s="2">
        <f t="shared" si="43"/>
        <v>26.957638888889051</v>
      </c>
    </row>
    <row r="2776" spans="1:5" x14ac:dyDescent="0.25">
      <c r="A2776" t="s">
        <v>34</v>
      </c>
      <c r="B2776" t="s">
        <v>13</v>
      </c>
      <c r="C2776" s="1">
        <v>46112.299305555563</v>
      </c>
      <c r="D2776" s="1">
        <v>46143.990972222222</v>
      </c>
      <c r="E2776" s="2">
        <f t="shared" si="43"/>
        <v>31.691666666658421</v>
      </c>
    </row>
    <row r="2777" spans="1:5" x14ac:dyDescent="0.25">
      <c r="A2777" t="s">
        <v>34</v>
      </c>
      <c r="B2777" t="s">
        <v>13</v>
      </c>
      <c r="C2777" s="1">
        <v>46086.439583333333</v>
      </c>
      <c r="D2777" s="1">
        <v>46122.525000000001</v>
      </c>
      <c r="E2777" s="2">
        <f t="shared" si="43"/>
        <v>36.085416666668607</v>
      </c>
    </row>
    <row r="2778" spans="1:5" x14ac:dyDescent="0.25">
      <c r="A2778" t="s">
        <v>14</v>
      </c>
      <c r="B2778" t="s">
        <v>22</v>
      </c>
      <c r="C2778" s="1">
        <v>46174.519328703696</v>
      </c>
      <c r="D2778" s="1">
        <v>46231.024305555547</v>
      </c>
      <c r="E2778" s="2">
        <f t="shared" si="43"/>
        <v>56.504976851851097</v>
      </c>
    </row>
    <row r="2779" spans="1:5" x14ac:dyDescent="0.25">
      <c r="A2779" t="s">
        <v>22</v>
      </c>
      <c r="B2779" t="s">
        <v>14</v>
      </c>
      <c r="C2779" s="1">
        <v>45902.175000000003</v>
      </c>
      <c r="D2779" s="1">
        <v>45945.550694444442</v>
      </c>
      <c r="E2779" s="2">
        <f t="shared" si="43"/>
        <v>43.375694444439432</v>
      </c>
    </row>
    <row r="2780" spans="1:5" x14ac:dyDescent="0.25">
      <c r="A2780" t="s">
        <v>15</v>
      </c>
      <c r="B2780" t="s">
        <v>38</v>
      </c>
      <c r="C2780" s="1">
        <v>46232.938194444447</v>
      </c>
      <c r="D2780" s="1">
        <v>46279.838194444441</v>
      </c>
      <c r="E2780" s="2">
        <f t="shared" si="43"/>
        <v>46.899999999994179</v>
      </c>
    </row>
    <row r="2781" spans="1:5" x14ac:dyDescent="0.25">
      <c r="A2781" t="s">
        <v>15</v>
      </c>
      <c r="B2781" t="s">
        <v>38</v>
      </c>
      <c r="C2781" s="1">
        <v>46164.476388888892</v>
      </c>
      <c r="D2781" s="1">
        <v>46213.482638888891</v>
      </c>
      <c r="E2781" s="2">
        <f t="shared" si="43"/>
        <v>49.006249999998545</v>
      </c>
    </row>
    <row r="2782" spans="1:5" x14ac:dyDescent="0.25">
      <c r="A2782" t="s">
        <v>8</v>
      </c>
      <c r="B2782" t="s">
        <v>13</v>
      </c>
      <c r="C2782" s="1">
        <v>45807.732488425929</v>
      </c>
      <c r="D2782" s="1">
        <v>45851.48333333333</v>
      </c>
      <c r="E2782" s="2">
        <f t="shared" si="43"/>
        <v>43.750844907401188</v>
      </c>
    </row>
    <row r="2783" spans="1:5" x14ac:dyDescent="0.25">
      <c r="A2783" t="s">
        <v>15</v>
      </c>
      <c r="B2783" t="s">
        <v>13</v>
      </c>
      <c r="C2783" s="1">
        <v>46169.954097222217</v>
      </c>
      <c r="D2783" s="1">
        <v>46208.722222222219</v>
      </c>
      <c r="E2783" s="2">
        <f t="shared" si="43"/>
        <v>38.768125000002328</v>
      </c>
    </row>
    <row r="2784" spans="1:5" x14ac:dyDescent="0.25">
      <c r="A2784" t="s">
        <v>8</v>
      </c>
      <c r="B2784" t="s">
        <v>13</v>
      </c>
      <c r="C2784" s="1">
        <v>45793.690185185187</v>
      </c>
      <c r="D2784" s="1">
        <v>45825.745300925933</v>
      </c>
      <c r="E2784" s="2">
        <f t="shared" si="43"/>
        <v>32.05511574074626</v>
      </c>
    </row>
    <row r="2785" spans="1:5" x14ac:dyDescent="0.25">
      <c r="A2785" t="s">
        <v>10</v>
      </c>
      <c r="B2785" t="s">
        <v>25</v>
      </c>
      <c r="C2785" s="1">
        <v>46004.20416666667</v>
      </c>
      <c r="D2785" s="1">
        <v>46035.268750000003</v>
      </c>
      <c r="E2785" s="2">
        <f t="shared" si="43"/>
        <v>31.064583333332848</v>
      </c>
    </row>
    <row r="2786" spans="1:5" x14ac:dyDescent="0.25">
      <c r="A2786" t="s">
        <v>22</v>
      </c>
      <c r="B2786" t="s">
        <v>14</v>
      </c>
      <c r="C2786" s="1">
        <v>45797.074236111112</v>
      </c>
      <c r="D2786" s="1">
        <v>45847.831250000003</v>
      </c>
      <c r="E2786" s="2">
        <f t="shared" si="43"/>
        <v>50.757013888891379</v>
      </c>
    </row>
    <row r="2787" spans="1:5" x14ac:dyDescent="0.25">
      <c r="A2787" t="s">
        <v>11</v>
      </c>
      <c r="B2787" t="s">
        <v>37</v>
      </c>
      <c r="C2787" s="1">
        <v>45690.337372685193</v>
      </c>
      <c r="D2787" s="1">
        <v>45707.291666666657</v>
      </c>
      <c r="E2787" s="2">
        <f t="shared" si="43"/>
        <v>16.954293981463707</v>
      </c>
    </row>
    <row r="2788" spans="1:5" x14ac:dyDescent="0.25">
      <c r="A2788" t="s">
        <v>15</v>
      </c>
      <c r="B2788" t="s">
        <v>13</v>
      </c>
      <c r="C2788" s="1">
        <v>46002.104166666657</v>
      </c>
      <c r="D2788" s="1">
        <v>46041.224999999999</v>
      </c>
      <c r="E2788" s="2">
        <f t="shared" si="43"/>
        <v>39.120833333341579</v>
      </c>
    </row>
    <row r="2789" spans="1:5" x14ac:dyDescent="0.25">
      <c r="A2789" t="s">
        <v>22</v>
      </c>
      <c r="B2789" t="s">
        <v>19</v>
      </c>
      <c r="C2789" s="1">
        <v>45768.991863425923</v>
      </c>
      <c r="D2789" s="1">
        <v>45835.866666666669</v>
      </c>
      <c r="E2789" s="2">
        <f t="shared" si="43"/>
        <v>66.874803240745678</v>
      </c>
    </row>
    <row r="2790" spans="1:5" x14ac:dyDescent="0.25">
      <c r="A2790" t="s">
        <v>15</v>
      </c>
      <c r="B2790" t="s">
        <v>13</v>
      </c>
      <c r="C2790" s="1">
        <v>46128.144652777781</v>
      </c>
      <c r="D2790" s="1">
        <v>46166.981249999997</v>
      </c>
      <c r="E2790" s="2">
        <f t="shared" si="43"/>
        <v>38.836597222216369</v>
      </c>
    </row>
    <row r="2791" spans="1:5" x14ac:dyDescent="0.25">
      <c r="A2791" t="s">
        <v>22</v>
      </c>
      <c r="B2791" t="s">
        <v>14</v>
      </c>
      <c r="C2791" s="1">
        <v>45898.770833333343</v>
      </c>
      <c r="D2791" s="1">
        <v>45945.550694444442</v>
      </c>
      <c r="E2791" s="2">
        <f t="shared" si="43"/>
        <v>46.779861111099308</v>
      </c>
    </row>
    <row r="2792" spans="1:5" x14ac:dyDescent="0.25">
      <c r="A2792" t="s">
        <v>15</v>
      </c>
      <c r="B2792" t="s">
        <v>13</v>
      </c>
      <c r="C2792" s="1">
        <v>46002.112210648149</v>
      </c>
      <c r="D2792" s="1">
        <v>46048.311805555553</v>
      </c>
      <c r="E2792" s="2">
        <f t="shared" si="43"/>
        <v>46.199594907404389</v>
      </c>
    </row>
    <row r="2793" spans="1:5" x14ac:dyDescent="0.25">
      <c r="A2793" t="s">
        <v>34</v>
      </c>
      <c r="B2793" t="s">
        <v>13</v>
      </c>
      <c r="C2793" s="1">
        <v>46006.223611111112</v>
      </c>
      <c r="D2793" s="1">
        <v>46037.704861111109</v>
      </c>
      <c r="E2793" s="2">
        <f t="shared" si="43"/>
        <v>31.48124999999709</v>
      </c>
    </row>
    <row r="2794" spans="1:5" x14ac:dyDescent="0.25">
      <c r="A2794" t="s">
        <v>11</v>
      </c>
      <c r="B2794" t="s">
        <v>21</v>
      </c>
      <c r="C2794" s="1">
        <v>46269.986805555563</v>
      </c>
      <c r="D2794" s="1">
        <v>46282.631249999999</v>
      </c>
      <c r="E2794" s="2">
        <f t="shared" si="43"/>
        <v>12.644444444435067</v>
      </c>
    </row>
    <row r="2795" spans="1:5" x14ac:dyDescent="0.25">
      <c r="A2795" t="s">
        <v>22</v>
      </c>
      <c r="B2795" t="s">
        <v>53</v>
      </c>
      <c r="C2795" s="1">
        <v>45665.796157407407</v>
      </c>
      <c r="D2795" s="1">
        <v>45734.253425925926</v>
      </c>
      <c r="E2795" s="2">
        <f t="shared" si="43"/>
        <v>68.457268518519413</v>
      </c>
    </row>
    <row r="2796" spans="1:5" x14ac:dyDescent="0.25">
      <c r="A2796" t="s">
        <v>22</v>
      </c>
      <c r="B2796" t="s">
        <v>19</v>
      </c>
      <c r="C2796" s="1">
        <v>45679.163194444453</v>
      </c>
      <c r="D2796" s="1">
        <v>45755.54792824074</v>
      </c>
      <c r="E2796" s="2">
        <f t="shared" si="43"/>
        <v>76.384733796287037</v>
      </c>
    </row>
    <row r="2797" spans="1:5" x14ac:dyDescent="0.25">
      <c r="A2797" t="s">
        <v>22</v>
      </c>
      <c r="B2797" t="s">
        <v>14</v>
      </c>
      <c r="C2797" s="1">
        <v>45852.123611111107</v>
      </c>
      <c r="D2797" s="1">
        <v>45896.787430555552</v>
      </c>
      <c r="E2797" s="2">
        <f t="shared" si="43"/>
        <v>44.663819444445835</v>
      </c>
    </row>
    <row r="2798" spans="1:5" x14ac:dyDescent="0.25">
      <c r="A2798" t="s">
        <v>11</v>
      </c>
      <c r="B2798" t="s">
        <v>37</v>
      </c>
      <c r="C2798" s="1">
        <v>45663.672048611108</v>
      </c>
      <c r="D2798" s="1">
        <v>45678.612500000003</v>
      </c>
      <c r="E2798" s="2">
        <f t="shared" si="43"/>
        <v>14.940451388894871</v>
      </c>
    </row>
    <row r="2799" spans="1:5" x14ac:dyDescent="0.25">
      <c r="A2799" t="s">
        <v>34</v>
      </c>
      <c r="B2799" t="s">
        <v>13</v>
      </c>
      <c r="C2799" s="1">
        <v>45956.9375</v>
      </c>
      <c r="D2799" s="1">
        <v>45981.895833333343</v>
      </c>
      <c r="E2799" s="2">
        <f t="shared" si="43"/>
        <v>24.958333333343035</v>
      </c>
    </row>
    <row r="2800" spans="1:5" x14ac:dyDescent="0.25">
      <c r="A2800" t="s">
        <v>34</v>
      </c>
      <c r="B2800" t="s">
        <v>13</v>
      </c>
      <c r="C2800" s="1">
        <v>46034.324999999997</v>
      </c>
      <c r="D2800" s="1">
        <v>46060.929166666669</v>
      </c>
      <c r="E2800" s="2">
        <f t="shared" si="43"/>
        <v>26.604166666671517</v>
      </c>
    </row>
    <row r="2801" spans="1:5" x14ac:dyDescent="0.25">
      <c r="A2801" t="s">
        <v>11</v>
      </c>
      <c r="B2801" t="s">
        <v>37</v>
      </c>
      <c r="C2801" s="1">
        <v>45924.762499999997</v>
      </c>
      <c r="D2801" s="1">
        <v>45947.375</v>
      </c>
      <c r="E2801" s="2">
        <f t="shared" si="43"/>
        <v>22.61250000000291</v>
      </c>
    </row>
    <row r="2802" spans="1:5" x14ac:dyDescent="0.25">
      <c r="A2802" t="s">
        <v>22</v>
      </c>
      <c r="B2802" t="s">
        <v>19</v>
      </c>
      <c r="C2802" s="1">
        <v>45768.991863425923</v>
      </c>
      <c r="D2802" s="1">
        <v>45835.866666666669</v>
      </c>
      <c r="E2802" s="2">
        <f t="shared" si="43"/>
        <v>66.874803240745678</v>
      </c>
    </row>
    <row r="2803" spans="1:5" x14ac:dyDescent="0.25">
      <c r="A2803" t="s">
        <v>11</v>
      </c>
      <c r="B2803" t="s">
        <v>19</v>
      </c>
      <c r="C2803" s="1">
        <v>45661.025000000001</v>
      </c>
      <c r="D2803" s="1">
        <v>45752.64166666667</v>
      </c>
      <c r="E2803" s="2">
        <f t="shared" si="43"/>
        <v>91.616666666668607</v>
      </c>
    </row>
    <row r="2804" spans="1:5" x14ac:dyDescent="0.25">
      <c r="A2804" t="s">
        <v>40</v>
      </c>
      <c r="B2804" t="s">
        <v>37</v>
      </c>
      <c r="C2804" s="1">
        <v>45968.524305555547</v>
      </c>
      <c r="D2804" s="1">
        <v>45981.962500000001</v>
      </c>
      <c r="E2804" s="2">
        <f t="shared" si="43"/>
        <v>13.438194444453984</v>
      </c>
    </row>
    <row r="2805" spans="1:5" x14ac:dyDescent="0.25">
      <c r="A2805" t="s">
        <v>14</v>
      </c>
      <c r="B2805" t="s">
        <v>34</v>
      </c>
      <c r="C2805" s="1">
        <v>45731.354143518518</v>
      </c>
      <c r="D2805" s="1">
        <v>45752.745833333327</v>
      </c>
      <c r="E2805" s="2">
        <f t="shared" si="43"/>
        <v>21.39168981480907</v>
      </c>
    </row>
    <row r="2806" spans="1:5" x14ac:dyDescent="0.25">
      <c r="A2806" t="s">
        <v>15</v>
      </c>
      <c r="B2806" t="s">
        <v>38</v>
      </c>
      <c r="C2806" s="1">
        <v>46171.477083333331</v>
      </c>
      <c r="D2806" s="1">
        <v>46215.740277777782</v>
      </c>
      <c r="E2806" s="2">
        <f t="shared" si="43"/>
        <v>44.263194444451074</v>
      </c>
    </row>
    <row r="2807" spans="1:5" x14ac:dyDescent="0.25">
      <c r="A2807" t="s">
        <v>15</v>
      </c>
      <c r="B2807" t="s">
        <v>38</v>
      </c>
      <c r="C2807" s="1">
        <v>46130.340416666673</v>
      </c>
      <c r="D2807" s="1">
        <v>46174.655555555553</v>
      </c>
      <c r="E2807" s="2">
        <f t="shared" si="43"/>
        <v>44.315138888880028</v>
      </c>
    </row>
    <row r="2808" spans="1:5" x14ac:dyDescent="0.25">
      <c r="A2808" t="s">
        <v>15</v>
      </c>
      <c r="B2808" t="s">
        <v>13</v>
      </c>
      <c r="C2808" s="1">
        <v>45833.659166666657</v>
      </c>
      <c r="D2808" s="1">
        <v>45872.5</v>
      </c>
      <c r="E2808" s="2">
        <f t="shared" si="43"/>
        <v>38.840833333342744</v>
      </c>
    </row>
    <row r="2809" spans="1:5" x14ac:dyDescent="0.25">
      <c r="A2809" t="s">
        <v>8</v>
      </c>
      <c r="B2809" t="s">
        <v>13</v>
      </c>
      <c r="C2809" s="1">
        <v>46155.775763888887</v>
      </c>
      <c r="D2809" s="1">
        <v>46181.310416666667</v>
      </c>
      <c r="E2809" s="2">
        <f t="shared" si="43"/>
        <v>25.534652777780138</v>
      </c>
    </row>
    <row r="2810" spans="1:5" x14ac:dyDescent="0.25">
      <c r="A2810" t="s">
        <v>15</v>
      </c>
      <c r="B2810" t="s">
        <v>38</v>
      </c>
      <c r="C2810" s="1">
        <v>46150.069444444453</v>
      </c>
      <c r="D2810" s="1">
        <v>46196.245833333327</v>
      </c>
      <c r="E2810" s="2">
        <f t="shared" si="43"/>
        <v>46.176388888874499</v>
      </c>
    </row>
    <row r="2811" spans="1:5" x14ac:dyDescent="0.25">
      <c r="A2811" t="s">
        <v>10</v>
      </c>
      <c r="B2811" t="s">
        <v>11</v>
      </c>
      <c r="C2811" s="1">
        <v>45723.718472222223</v>
      </c>
      <c r="D2811" s="1">
        <v>45755.904166666667</v>
      </c>
      <c r="E2811" s="2">
        <f t="shared" si="43"/>
        <v>32.18569444444438</v>
      </c>
    </row>
    <row r="2812" spans="1:5" x14ac:dyDescent="0.25">
      <c r="A2812" t="s">
        <v>22</v>
      </c>
      <c r="B2812" t="s">
        <v>14</v>
      </c>
      <c r="C2812" s="1">
        <v>45726.180520833332</v>
      </c>
      <c r="D2812" s="1">
        <v>45771.791504629633</v>
      </c>
      <c r="E2812" s="2">
        <f t="shared" si="43"/>
        <v>45.610983796301298</v>
      </c>
    </row>
    <row r="2813" spans="1:5" x14ac:dyDescent="0.25">
      <c r="A2813" t="s">
        <v>40</v>
      </c>
      <c r="B2813" t="s">
        <v>37</v>
      </c>
      <c r="C2813" s="1">
        <v>45948.313009259262</v>
      </c>
      <c r="D2813" s="1">
        <v>45962.379166666673</v>
      </c>
      <c r="E2813" s="2">
        <f t="shared" si="43"/>
        <v>14.066157407411083</v>
      </c>
    </row>
    <row r="2814" spans="1:5" x14ac:dyDescent="0.25">
      <c r="A2814" t="s">
        <v>22</v>
      </c>
      <c r="B2814" t="s">
        <v>19</v>
      </c>
      <c r="C2814" s="1">
        <v>45748.209074074082</v>
      </c>
      <c r="D2814" s="1">
        <v>45816.841666666667</v>
      </c>
      <c r="E2814" s="2">
        <f t="shared" si="43"/>
        <v>68.632592592584842</v>
      </c>
    </row>
    <row r="2815" spans="1:5" x14ac:dyDescent="0.25">
      <c r="A2815" t="s">
        <v>22</v>
      </c>
      <c r="B2815" t="s">
        <v>14</v>
      </c>
      <c r="C2815" s="1">
        <v>45754.168738425928</v>
      </c>
      <c r="D2815" s="1">
        <v>45812.804861111108</v>
      </c>
      <c r="E2815" s="2">
        <f t="shared" si="43"/>
        <v>58.636122685180453</v>
      </c>
    </row>
    <row r="2816" spans="1:5" x14ac:dyDescent="0.25">
      <c r="A2816" t="s">
        <v>46</v>
      </c>
      <c r="B2816" t="s">
        <v>11</v>
      </c>
      <c r="C2816" s="1">
        <v>45897.012499999997</v>
      </c>
      <c r="D2816" s="1">
        <v>45915.870833333327</v>
      </c>
      <c r="E2816" s="2">
        <f t="shared" si="43"/>
        <v>18.858333333329938</v>
      </c>
    </row>
    <row r="2817" spans="1:5" x14ac:dyDescent="0.25">
      <c r="A2817" t="s">
        <v>15</v>
      </c>
      <c r="B2817" t="s">
        <v>18</v>
      </c>
      <c r="C2817" s="1">
        <v>46232.95076388889</v>
      </c>
      <c r="D2817" s="1">
        <v>46272.612083333333</v>
      </c>
      <c r="E2817" s="2">
        <f t="shared" si="43"/>
        <v>39.661319444443507</v>
      </c>
    </row>
    <row r="2818" spans="1:5" x14ac:dyDescent="0.25">
      <c r="A2818" t="s">
        <v>11</v>
      </c>
      <c r="B2818" t="s">
        <v>37</v>
      </c>
      <c r="C2818" s="1">
        <v>46124.32671296296</v>
      </c>
      <c r="D2818" s="1">
        <v>46141.252083333333</v>
      </c>
      <c r="E2818" s="2">
        <f t="shared" ref="E2818:E2881" si="44">D2818-C2818</f>
        <v>16.925370370372548</v>
      </c>
    </row>
    <row r="2819" spans="1:5" x14ac:dyDescent="0.25">
      <c r="A2819" t="s">
        <v>22</v>
      </c>
      <c r="B2819" t="s">
        <v>14</v>
      </c>
      <c r="C2819" s="1">
        <v>45922.163194444453</v>
      </c>
      <c r="D2819" s="1">
        <v>45966.55</v>
      </c>
      <c r="E2819" s="2">
        <f t="shared" si="44"/>
        <v>44.386805555550382</v>
      </c>
    </row>
    <row r="2820" spans="1:5" x14ac:dyDescent="0.25">
      <c r="A2820" t="s">
        <v>12</v>
      </c>
      <c r="B2820" t="s">
        <v>13</v>
      </c>
      <c r="C2820" s="1">
        <v>46152.279861111107</v>
      </c>
      <c r="D2820" s="1">
        <v>46202.015277777777</v>
      </c>
      <c r="E2820" s="2">
        <f t="shared" si="44"/>
        <v>49.735416666670062</v>
      </c>
    </row>
    <row r="2821" spans="1:5" x14ac:dyDescent="0.25">
      <c r="A2821" t="s">
        <v>8</v>
      </c>
      <c r="B2821" t="s">
        <v>13</v>
      </c>
      <c r="C2821" s="1">
        <v>45779.208333333343</v>
      </c>
      <c r="D2821" s="1">
        <v>45811.554675925923</v>
      </c>
      <c r="E2821" s="2">
        <f t="shared" si="44"/>
        <v>32.346342592580186</v>
      </c>
    </row>
    <row r="2822" spans="1:5" x14ac:dyDescent="0.25">
      <c r="A2822" t="s">
        <v>15</v>
      </c>
      <c r="B2822" t="s">
        <v>13</v>
      </c>
      <c r="C2822" s="1">
        <v>46002.112210648149</v>
      </c>
      <c r="D2822" s="1">
        <v>46048.311805555553</v>
      </c>
      <c r="E2822" s="2">
        <f t="shared" si="44"/>
        <v>46.199594907404389</v>
      </c>
    </row>
    <row r="2823" spans="1:5" x14ac:dyDescent="0.25">
      <c r="A2823" t="s">
        <v>22</v>
      </c>
      <c r="B2823" t="s">
        <v>19</v>
      </c>
      <c r="C2823" s="1">
        <v>45726.157638888893</v>
      </c>
      <c r="D2823" s="1">
        <v>45794.54583333333</v>
      </c>
      <c r="E2823" s="2">
        <f t="shared" si="44"/>
        <v>68.388194444436522</v>
      </c>
    </row>
    <row r="2824" spans="1:5" x14ac:dyDescent="0.25">
      <c r="A2824" t="s">
        <v>34</v>
      </c>
      <c r="B2824" t="s">
        <v>13</v>
      </c>
      <c r="C2824" s="1">
        <v>45879.079155092593</v>
      </c>
      <c r="D2824" s="1">
        <v>45905.012499999997</v>
      </c>
      <c r="E2824" s="2">
        <f t="shared" si="44"/>
        <v>25.933344907403807</v>
      </c>
    </row>
    <row r="2825" spans="1:5" x14ac:dyDescent="0.25">
      <c r="A2825" t="s">
        <v>22</v>
      </c>
      <c r="B2825" t="s">
        <v>14</v>
      </c>
      <c r="C2825" s="1">
        <v>45748.209074074082</v>
      </c>
      <c r="D2825" s="1">
        <v>45791.824999999997</v>
      </c>
      <c r="E2825" s="2">
        <f t="shared" si="44"/>
        <v>43.61592592591478</v>
      </c>
    </row>
    <row r="2826" spans="1:5" x14ac:dyDescent="0.25">
      <c r="A2826" t="s">
        <v>35</v>
      </c>
      <c r="B2826" t="s">
        <v>51</v>
      </c>
      <c r="C2826" s="1">
        <v>46186.37537037037</v>
      </c>
      <c r="D2826" s="1">
        <v>46229.507638888892</v>
      </c>
      <c r="E2826" s="2">
        <f t="shared" si="44"/>
        <v>43.132268518522324</v>
      </c>
    </row>
    <row r="2827" spans="1:5" x14ac:dyDescent="0.25">
      <c r="A2827" t="s">
        <v>22</v>
      </c>
      <c r="B2827" t="s">
        <v>14</v>
      </c>
      <c r="C2827" s="1">
        <v>45898.770833333343</v>
      </c>
      <c r="D2827" s="1">
        <v>45945.550694444442</v>
      </c>
      <c r="E2827" s="2">
        <f t="shared" si="44"/>
        <v>46.779861111099308</v>
      </c>
    </row>
    <row r="2828" spans="1:5" x14ac:dyDescent="0.25">
      <c r="A2828" t="s">
        <v>22</v>
      </c>
      <c r="B2828" t="s">
        <v>19</v>
      </c>
      <c r="C2828" s="1">
        <v>45679.163194444453</v>
      </c>
      <c r="D2828" s="1">
        <v>45755.54792824074</v>
      </c>
      <c r="E2828" s="2">
        <f t="shared" si="44"/>
        <v>76.384733796287037</v>
      </c>
    </row>
    <row r="2829" spans="1:5" x14ac:dyDescent="0.25">
      <c r="A2829" t="s">
        <v>11</v>
      </c>
      <c r="B2829" t="s">
        <v>37</v>
      </c>
      <c r="C2829" s="1">
        <v>45855.937442129631</v>
      </c>
      <c r="D2829" s="1">
        <v>45867.279166666667</v>
      </c>
      <c r="E2829" s="2">
        <f t="shared" si="44"/>
        <v>11.341724537036498</v>
      </c>
    </row>
    <row r="2830" spans="1:5" x14ac:dyDescent="0.25">
      <c r="A2830" t="s">
        <v>10</v>
      </c>
      <c r="B2830" t="s">
        <v>11</v>
      </c>
      <c r="C2830" s="1">
        <v>46097.92291666667</v>
      </c>
      <c r="D2830" s="1">
        <v>46127.34652777778</v>
      </c>
      <c r="E2830" s="2">
        <f t="shared" si="44"/>
        <v>29.423611111109494</v>
      </c>
    </row>
    <row r="2831" spans="1:5" x14ac:dyDescent="0.25">
      <c r="A2831" t="s">
        <v>10</v>
      </c>
      <c r="B2831" t="s">
        <v>11</v>
      </c>
      <c r="C2831" s="1">
        <v>46054.105555555558</v>
      </c>
      <c r="D2831" s="1">
        <v>46085.681250000001</v>
      </c>
      <c r="E2831" s="2">
        <f t="shared" si="44"/>
        <v>31.575694444443798</v>
      </c>
    </row>
    <row r="2832" spans="1:5" x14ac:dyDescent="0.25">
      <c r="A2832" t="s">
        <v>13</v>
      </c>
      <c r="B2832" t="s">
        <v>8</v>
      </c>
      <c r="C2832" s="1">
        <v>46195.724999999999</v>
      </c>
      <c r="D2832" s="1">
        <v>46228.366666666669</v>
      </c>
      <c r="E2832" s="2">
        <f t="shared" si="44"/>
        <v>32.641666666670062</v>
      </c>
    </row>
    <row r="2833" spans="1:5" x14ac:dyDescent="0.25">
      <c r="A2833" t="s">
        <v>15</v>
      </c>
      <c r="B2833" t="s">
        <v>38</v>
      </c>
      <c r="C2833" s="1">
        <v>46145.363888888889</v>
      </c>
      <c r="D2833" s="1">
        <v>46190.424305555563</v>
      </c>
      <c r="E2833" s="2">
        <f t="shared" si="44"/>
        <v>45.060416666674428</v>
      </c>
    </row>
    <row r="2834" spans="1:5" x14ac:dyDescent="0.25">
      <c r="A2834" t="s">
        <v>15</v>
      </c>
      <c r="B2834" t="s">
        <v>13</v>
      </c>
      <c r="C2834" s="1">
        <v>46128.144652777781</v>
      </c>
      <c r="D2834" s="1">
        <v>46166.981249999997</v>
      </c>
      <c r="E2834" s="2">
        <f t="shared" si="44"/>
        <v>38.836597222216369</v>
      </c>
    </row>
    <row r="2835" spans="1:5" x14ac:dyDescent="0.25">
      <c r="A2835" t="s">
        <v>10</v>
      </c>
      <c r="B2835" t="s">
        <v>11</v>
      </c>
      <c r="C2835" s="1">
        <v>46088.671527777777</v>
      </c>
      <c r="D2835" s="1">
        <v>46120.609027777777</v>
      </c>
      <c r="E2835" s="2">
        <f t="shared" si="44"/>
        <v>31.9375</v>
      </c>
    </row>
    <row r="2836" spans="1:5" x14ac:dyDescent="0.25">
      <c r="A2836" t="s">
        <v>15</v>
      </c>
      <c r="B2836" t="s">
        <v>38</v>
      </c>
      <c r="C2836" s="1">
        <v>46232.95076388889</v>
      </c>
      <c r="D2836" s="1">
        <v>46276.415277777778</v>
      </c>
      <c r="E2836" s="2">
        <f t="shared" si="44"/>
        <v>43.464513888888177</v>
      </c>
    </row>
    <row r="2837" spans="1:5" x14ac:dyDescent="0.25">
      <c r="A2837" t="s">
        <v>22</v>
      </c>
      <c r="B2837" t="s">
        <v>14</v>
      </c>
      <c r="C2837" s="1">
        <v>45690.960474537038</v>
      </c>
      <c r="D2837" s="1">
        <v>45735.804166666669</v>
      </c>
      <c r="E2837" s="2">
        <f t="shared" si="44"/>
        <v>44.843692129630654</v>
      </c>
    </row>
    <row r="2838" spans="1:5" x14ac:dyDescent="0.25">
      <c r="A2838" t="s">
        <v>13</v>
      </c>
      <c r="B2838" t="s">
        <v>8</v>
      </c>
      <c r="C2838" s="1">
        <v>46151.791666666657</v>
      </c>
      <c r="D2838" s="1">
        <v>46172.038194444453</v>
      </c>
      <c r="E2838" s="2">
        <f t="shared" si="44"/>
        <v>20.246527777795563</v>
      </c>
    </row>
    <row r="2839" spans="1:5" x14ac:dyDescent="0.25">
      <c r="A2839" t="s">
        <v>46</v>
      </c>
      <c r="B2839" t="s">
        <v>11</v>
      </c>
      <c r="C2839" s="1">
        <v>45871.945833333331</v>
      </c>
      <c r="D2839" s="1">
        <v>45882.037499999999</v>
      </c>
      <c r="E2839" s="2">
        <f t="shared" si="44"/>
        <v>10.091666666667152</v>
      </c>
    </row>
    <row r="2840" spans="1:5" x14ac:dyDescent="0.25">
      <c r="A2840" t="s">
        <v>15</v>
      </c>
      <c r="B2840" t="s">
        <v>13</v>
      </c>
      <c r="C2840" s="1">
        <v>45855.370833333327</v>
      </c>
      <c r="D2840" s="1">
        <v>45892.729166666657</v>
      </c>
      <c r="E2840" s="2">
        <f t="shared" si="44"/>
        <v>37.358333333329938</v>
      </c>
    </row>
    <row r="2841" spans="1:5" x14ac:dyDescent="0.25">
      <c r="A2841" t="s">
        <v>40</v>
      </c>
      <c r="B2841" t="s">
        <v>37</v>
      </c>
      <c r="C2841" s="1">
        <v>45938.54583333333</v>
      </c>
      <c r="D2841" s="1">
        <v>45951.966666666667</v>
      </c>
      <c r="E2841" s="2">
        <f t="shared" si="44"/>
        <v>13.420833333337214</v>
      </c>
    </row>
    <row r="2842" spans="1:5" x14ac:dyDescent="0.25">
      <c r="A2842" t="s">
        <v>34</v>
      </c>
      <c r="B2842" t="s">
        <v>13</v>
      </c>
      <c r="C2842" s="1">
        <v>45858.368171296293</v>
      </c>
      <c r="D2842" s="1">
        <v>45883.708333333343</v>
      </c>
      <c r="E2842" s="2">
        <f t="shared" si="44"/>
        <v>25.340162037049595</v>
      </c>
    </row>
    <row r="2843" spans="1:5" x14ac:dyDescent="0.25">
      <c r="A2843" t="s">
        <v>11</v>
      </c>
      <c r="B2843" t="s">
        <v>37</v>
      </c>
      <c r="C2843" s="1">
        <v>45663.672048611108</v>
      </c>
      <c r="D2843" s="1">
        <v>45678.612500000003</v>
      </c>
      <c r="E2843" s="2">
        <f t="shared" si="44"/>
        <v>14.940451388894871</v>
      </c>
    </row>
    <row r="2844" spans="1:5" x14ac:dyDescent="0.25">
      <c r="A2844" t="s">
        <v>10</v>
      </c>
      <c r="B2844" t="s">
        <v>11</v>
      </c>
      <c r="C2844" s="1">
        <v>45926.054166666669</v>
      </c>
      <c r="D2844" s="1">
        <v>45959.408333333333</v>
      </c>
      <c r="E2844" s="2">
        <f t="shared" si="44"/>
        <v>33.354166666664241</v>
      </c>
    </row>
    <row r="2845" spans="1:5" x14ac:dyDescent="0.25">
      <c r="A2845" t="s">
        <v>22</v>
      </c>
      <c r="B2845" t="s">
        <v>14</v>
      </c>
      <c r="C2845" s="1">
        <v>45943.099374999998</v>
      </c>
      <c r="D2845" s="1">
        <v>45987.533333333333</v>
      </c>
      <c r="E2845" s="2">
        <f t="shared" si="44"/>
        <v>44.433958333334886</v>
      </c>
    </row>
    <row r="2846" spans="1:5" x14ac:dyDescent="0.25">
      <c r="A2846" t="s">
        <v>22</v>
      </c>
      <c r="B2846" t="s">
        <v>14</v>
      </c>
      <c r="C2846" s="1">
        <v>45803.652777777781</v>
      </c>
      <c r="D2846" s="1">
        <v>45847.831250000003</v>
      </c>
      <c r="E2846" s="2">
        <f t="shared" si="44"/>
        <v>44.178472222221899</v>
      </c>
    </row>
    <row r="2847" spans="1:5" x14ac:dyDescent="0.25">
      <c r="A2847" t="s">
        <v>14</v>
      </c>
      <c r="B2847" t="s">
        <v>34</v>
      </c>
      <c r="C2847" s="1">
        <v>45857.276967592603</v>
      </c>
      <c r="D2847" s="1">
        <v>45885.366666666669</v>
      </c>
      <c r="E2847" s="2">
        <f t="shared" si="44"/>
        <v>28.08969907406572</v>
      </c>
    </row>
    <row r="2848" spans="1:5" x14ac:dyDescent="0.25">
      <c r="A2848" t="s">
        <v>15</v>
      </c>
      <c r="B2848" t="s">
        <v>13</v>
      </c>
      <c r="C2848" s="1">
        <v>46219.958333333343</v>
      </c>
      <c r="D2848" s="1">
        <v>46257.863888888889</v>
      </c>
      <c r="E2848" s="2">
        <f t="shared" si="44"/>
        <v>37.905555555546016</v>
      </c>
    </row>
    <row r="2849" spans="1:5" x14ac:dyDescent="0.25">
      <c r="A2849" t="s">
        <v>19</v>
      </c>
      <c r="B2849" t="s">
        <v>11</v>
      </c>
      <c r="C2849" s="1">
        <v>46164.175949074073</v>
      </c>
      <c r="D2849" s="1">
        <v>46204.538888888892</v>
      </c>
      <c r="E2849" s="2">
        <f t="shared" si="44"/>
        <v>40.362939814818674</v>
      </c>
    </row>
    <row r="2850" spans="1:5" x14ac:dyDescent="0.25">
      <c r="A2850" t="s">
        <v>8</v>
      </c>
      <c r="B2850" t="s">
        <v>13</v>
      </c>
      <c r="C2850" s="1">
        <v>45894.390162037038</v>
      </c>
      <c r="D2850" s="1">
        <v>45916.362500000003</v>
      </c>
      <c r="E2850" s="2">
        <f t="shared" si="44"/>
        <v>21.972337962964957</v>
      </c>
    </row>
    <row r="2851" spans="1:5" x14ac:dyDescent="0.25">
      <c r="A2851" t="s">
        <v>11</v>
      </c>
      <c r="B2851" t="s">
        <v>21</v>
      </c>
      <c r="C2851" s="1">
        <v>45968.370833333327</v>
      </c>
      <c r="D2851" s="1">
        <v>45979.912499999999</v>
      </c>
      <c r="E2851" s="2">
        <f t="shared" si="44"/>
        <v>11.541666666671517</v>
      </c>
    </row>
    <row r="2852" spans="1:5" x14ac:dyDescent="0.25">
      <c r="A2852" t="s">
        <v>15</v>
      </c>
      <c r="B2852" t="s">
        <v>38</v>
      </c>
      <c r="C2852" s="1">
        <v>46130.340416666673</v>
      </c>
      <c r="D2852" s="1">
        <v>46174.655555555553</v>
      </c>
      <c r="E2852" s="2">
        <f t="shared" si="44"/>
        <v>44.315138888880028</v>
      </c>
    </row>
    <row r="2853" spans="1:5" x14ac:dyDescent="0.25">
      <c r="A2853" t="s">
        <v>18</v>
      </c>
      <c r="B2853" t="s">
        <v>27</v>
      </c>
      <c r="C2853" s="1">
        <v>45725.714826388888</v>
      </c>
      <c r="D2853" s="1">
        <v>45812.76666666667</v>
      </c>
      <c r="E2853" s="2">
        <f t="shared" si="44"/>
        <v>87.051840277781594</v>
      </c>
    </row>
    <row r="2854" spans="1:5" x14ac:dyDescent="0.25">
      <c r="A2854" t="s">
        <v>18</v>
      </c>
      <c r="B2854" t="s">
        <v>27</v>
      </c>
      <c r="C2854" s="1">
        <v>45732.886296296303</v>
      </c>
      <c r="D2854" s="1">
        <v>45805.881678240738</v>
      </c>
      <c r="E2854" s="2">
        <f t="shared" si="44"/>
        <v>72.995381944434484</v>
      </c>
    </row>
    <row r="2855" spans="1:5" x14ac:dyDescent="0.25">
      <c r="A2855" t="s">
        <v>22</v>
      </c>
      <c r="B2855" t="s">
        <v>19</v>
      </c>
      <c r="C2855" s="1">
        <v>45688.381249999999</v>
      </c>
      <c r="D2855" s="1">
        <v>45755.558333333327</v>
      </c>
      <c r="E2855" s="2">
        <f t="shared" si="44"/>
        <v>67.177083333328483</v>
      </c>
    </row>
    <row r="2856" spans="1:5" x14ac:dyDescent="0.25">
      <c r="A2856" t="s">
        <v>11</v>
      </c>
      <c r="B2856" t="s">
        <v>21</v>
      </c>
      <c r="C2856" s="1">
        <v>46052.746527777781</v>
      </c>
      <c r="D2856" s="1">
        <v>46064.320833333331</v>
      </c>
      <c r="E2856" s="2">
        <f t="shared" si="44"/>
        <v>11.574305555550382</v>
      </c>
    </row>
    <row r="2857" spans="1:5" x14ac:dyDescent="0.25">
      <c r="A2857" t="s">
        <v>11</v>
      </c>
      <c r="B2857" t="s">
        <v>37</v>
      </c>
      <c r="C2857" s="1">
        <v>46088.862500000003</v>
      </c>
      <c r="D2857" s="1">
        <v>46101.335416666669</v>
      </c>
      <c r="E2857" s="2">
        <f t="shared" si="44"/>
        <v>12.472916666665697</v>
      </c>
    </row>
    <row r="2858" spans="1:5" x14ac:dyDescent="0.25">
      <c r="A2858" t="s">
        <v>15</v>
      </c>
      <c r="B2858" t="s">
        <v>13</v>
      </c>
      <c r="C2858" s="1">
        <v>45973.129166666673</v>
      </c>
      <c r="D2858" s="1">
        <v>46012.165972222218</v>
      </c>
      <c r="E2858" s="2">
        <f t="shared" si="44"/>
        <v>39.036805555544561</v>
      </c>
    </row>
    <row r="2859" spans="1:5" x14ac:dyDescent="0.25">
      <c r="A2859" t="s">
        <v>15</v>
      </c>
      <c r="B2859" t="s">
        <v>13</v>
      </c>
      <c r="C2859" s="1">
        <v>46219.958333333343</v>
      </c>
      <c r="D2859" s="1">
        <v>46257.863888888889</v>
      </c>
      <c r="E2859" s="2">
        <f t="shared" si="44"/>
        <v>37.905555555546016</v>
      </c>
    </row>
    <row r="2860" spans="1:5" x14ac:dyDescent="0.25">
      <c r="A2860" t="s">
        <v>18</v>
      </c>
      <c r="B2860" t="s">
        <v>27</v>
      </c>
      <c r="C2860" s="1">
        <v>45770.262662037043</v>
      </c>
      <c r="D2860" s="1">
        <v>45839.333333333343</v>
      </c>
      <c r="E2860" s="2">
        <f t="shared" si="44"/>
        <v>69.070671296300134</v>
      </c>
    </row>
    <row r="2861" spans="1:5" x14ac:dyDescent="0.25">
      <c r="A2861" t="s">
        <v>22</v>
      </c>
      <c r="B2861" t="s">
        <v>19</v>
      </c>
      <c r="C2861" s="1">
        <v>45673.75</v>
      </c>
      <c r="D2861" s="1">
        <v>45742.020833333343</v>
      </c>
      <c r="E2861" s="2">
        <f t="shared" si="44"/>
        <v>68.270833333343035</v>
      </c>
    </row>
    <row r="2862" spans="1:5" x14ac:dyDescent="0.25">
      <c r="A2862" t="s">
        <v>22</v>
      </c>
      <c r="B2862" t="s">
        <v>14</v>
      </c>
      <c r="C2862" s="1">
        <v>45740.175000000003</v>
      </c>
      <c r="D2862" s="1">
        <v>45784.834722222222</v>
      </c>
      <c r="E2862" s="2">
        <f t="shared" si="44"/>
        <v>44.659722222218988</v>
      </c>
    </row>
    <row r="2863" spans="1:5" x14ac:dyDescent="0.25">
      <c r="A2863" t="s">
        <v>11</v>
      </c>
      <c r="B2863" t="s">
        <v>37</v>
      </c>
      <c r="C2863" s="1">
        <v>45752.929166666669</v>
      </c>
      <c r="D2863" s="1">
        <v>45771.879166666673</v>
      </c>
      <c r="E2863" s="2">
        <f t="shared" si="44"/>
        <v>18.950000000004366</v>
      </c>
    </row>
    <row r="2864" spans="1:5" x14ac:dyDescent="0.25">
      <c r="A2864" t="s">
        <v>22</v>
      </c>
      <c r="B2864" t="s">
        <v>19</v>
      </c>
      <c r="C2864" s="1">
        <v>45740.18445601852</v>
      </c>
      <c r="D2864" s="1">
        <v>45816.841666666667</v>
      </c>
      <c r="E2864" s="2">
        <f t="shared" si="44"/>
        <v>76.657210648147156</v>
      </c>
    </row>
    <row r="2865" spans="1:5" x14ac:dyDescent="0.25">
      <c r="A2865" t="s">
        <v>34</v>
      </c>
      <c r="B2865" t="s">
        <v>13</v>
      </c>
      <c r="C2865" s="1">
        <v>46167.447222222218</v>
      </c>
      <c r="D2865" s="1">
        <v>46191.282638888893</v>
      </c>
      <c r="E2865" s="2">
        <f t="shared" si="44"/>
        <v>23.835416666675883</v>
      </c>
    </row>
    <row r="2866" spans="1:5" x14ac:dyDescent="0.25">
      <c r="A2866" t="s">
        <v>13</v>
      </c>
      <c r="B2866" t="s">
        <v>8</v>
      </c>
      <c r="C2866" s="1">
        <v>46229.21597222222</v>
      </c>
      <c r="D2866" s="1">
        <v>46260.691666666673</v>
      </c>
      <c r="E2866" s="2">
        <f t="shared" si="44"/>
        <v>31.475694444452529</v>
      </c>
    </row>
    <row r="2867" spans="1:5" x14ac:dyDescent="0.25">
      <c r="A2867" t="s">
        <v>22</v>
      </c>
      <c r="B2867" t="s">
        <v>19</v>
      </c>
      <c r="C2867" s="1">
        <v>45775.8749537037</v>
      </c>
      <c r="D2867" s="1">
        <v>45842.425000000003</v>
      </c>
      <c r="E2867" s="2">
        <f t="shared" si="44"/>
        <v>66.550046296302753</v>
      </c>
    </row>
    <row r="2868" spans="1:5" x14ac:dyDescent="0.25">
      <c r="A2868" t="s">
        <v>15</v>
      </c>
      <c r="B2868" t="s">
        <v>13</v>
      </c>
      <c r="C2868" s="1">
        <v>45870.799502314818</v>
      </c>
      <c r="D2868" s="1">
        <v>45906.515972222223</v>
      </c>
      <c r="E2868" s="2">
        <f t="shared" si="44"/>
        <v>35.716469907405553</v>
      </c>
    </row>
    <row r="2869" spans="1:5" x14ac:dyDescent="0.25">
      <c r="A2869" t="s">
        <v>11</v>
      </c>
      <c r="B2869" t="s">
        <v>37</v>
      </c>
      <c r="C2869" s="1">
        <v>46110.554166666669</v>
      </c>
      <c r="D2869" s="1">
        <v>46127.342361111107</v>
      </c>
      <c r="E2869" s="2">
        <f t="shared" si="44"/>
        <v>16.788194444437977</v>
      </c>
    </row>
    <row r="2870" spans="1:5" x14ac:dyDescent="0.25">
      <c r="A2870" t="s">
        <v>15</v>
      </c>
      <c r="B2870" t="s">
        <v>13</v>
      </c>
      <c r="C2870" s="1">
        <v>45840.018020833333</v>
      </c>
      <c r="D2870" s="1">
        <v>45878.583333333343</v>
      </c>
      <c r="E2870" s="2">
        <f t="shared" si="44"/>
        <v>38.565312500009895</v>
      </c>
    </row>
    <row r="2871" spans="1:5" x14ac:dyDescent="0.25">
      <c r="A2871" t="s">
        <v>22</v>
      </c>
      <c r="B2871" t="s">
        <v>14</v>
      </c>
      <c r="C2871" s="1">
        <v>45950.5</v>
      </c>
      <c r="D2871" s="1">
        <v>45994.541666666657</v>
      </c>
      <c r="E2871" s="2">
        <f t="shared" si="44"/>
        <v>44.041666666656965</v>
      </c>
    </row>
    <row r="2872" spans="1:5" x14ac:dyDescent="0.25">
      <c r="A2872" t="s">
        <v>40</v>
      </c>
      <c r="B2872" t="s">
        <v>37</v>
      </c>
      <c r="C2872" s="1">
        <v>45921.001643518517</v>
      </c>
      <c r="D2872" s="1">
        <v>45932.691666666673</v>
      </c>
      <c r="E2872" s="2">
        <f t="shared" si="44"/>
        <v>11.690023148155888</v>
      </c>
    </row>
    <row r="2873" spans="1:5" x14ac:dyDescent="0.25">
      <c r="A2873" t="s">
        <v>10</v>
      </c>
      <c r="B2873" t="s">
        <v>11</v>
      </c>
      <c r="C2873" s="1">
        <v>45825.221238425933</v>
      </c>
      <c r="D2873" s="1">
        <v>45853.879166666673</v>
      </c>
      <c r="E2873" s="2">
        <f t="shared" si="44"/>
        <v>28.657928240740148</v>
      </c>
    </row>
    <row r="2874" spans="1:5" x14ac:dyDescent="0.25">
      <c r="A2874" t="s">
        <v>40</v>
      </c>
      <c r="B2874" t="s">
        <v>37</v>
      </c>
      <c r="C2874" s="1">
        <v>45961.645833333343</v>
      </c>
      <c r="D2874" s="1">
        <v>45975.616666666669</v>
      </c>
      <c r="E2874" s="2">
        <f t="shared" si="44"/>
        <v>13.970833333325572</v>
      </c>
    </row>
    <row r="2875" spans="1:5" x14ac:dyDescent="0.25">
      <c r="A2875" t="s">
        <v>61</v>
      </c>
      <c r="B2875" t="s">
        <v>13</v>
      </c>
      <c r="C2875" s="1">
        <v>45973.019513888888</v>
      </c>
      <c r="D2875" s="1">
        <v>46012.165972222218</v>
      </c>
      <c r="E2875" s="2">
        <f t="shared" si="44"/>
        <v>39.146458333329065</v>
      </c>
    </row>
    <row r="2876" spans="1:5" x14ac:dyDescent="0.25">
      <c r="A2876" t="s">
        <v>34</v>
      </c>
      <c r="B2876" t="s">
        <v>13</v>
      </c>
      <c r="C2876" s="1">
        <v>46020.304166666669</v>
      </c>
      <c r="D2876" s="1">
        <v>46060.847916666673</v>
      </c>
      <c r="E2876" s="2">
        <f t="shared" si="44"/>
        <v>40.543750000004366</v>
      </c>
    </row>
    <row r="2877" spans="1:5" x14ac:dyDescent="0.25">
      <c r="A2877" t="s">
        <v>8</v>
      </c>
      <c r="B2877" t="s">
        <v>13</v>
      </c>
      <c r="C2877" s="1">
        <v>46004.862500000003</v>
      </c>
      <c r="D2877" s="1">
        <v>46034.067361111112</v>
      </c>
      <c r="E2877" s="2">
        <f t="shared" si="44"/>
        <v>29.204861111109494</v>
      </c>
    </row>
    <row r="2878" spans="1:5" x14ac:dyDescent="0.25">
      <c r="A2878" t="s">
        <v>15</v>
      </c>
      <c r="B2878" t="s">
        <v>38</v>
      </c>
      <c r="C2878" s="1">
        <v>46123.006377314807</v>
      </c>
      <c r="D2878" s="1">
        <v>46167.224999999999</v>
      </c>
      <c r="E2878" s="2">
        <f t="shared" si="44"/>
        <v>44.218622685191804</v>
      </c>
    </row>
    <row r="2879" spans="1:5" x14ac:dyDescent="0.25">
      <c r="A2879" t="s">
        <v>13</v>
      </c>
      <c r="B2879" t="s">
        <v>8</v>
      </c>
      <c r="C2879" s="1">
        <v>46210.522951388892</v>
      </c>
      <c r="D2879" s="1">
        <v>46234.439583333333</v>
      </c>
      <c r="E2879" s="2">
        <f t="shared" si="44"/>
        <v>23.916631944441178</v>
      </c>
    </row>
    <row r="2880" spans="1:5" x14ac:dyDescent="0.25">
      <c r="A2880" t="s">
        <v>40</v>
      </c>
      <c r="B2880" t="s">
        <v>37</v>
      </c>
      <c r="C2880" s="1">
        <v>45948.3125</v>
      </c>
      <c r="D2880" s="1">
        <v>45962.379166666673</v>
      </c>
      <c r="E2880" s="2">
        <f t="shared" si="44"/>
        <v>14.066666666672972</v>
      </c>
    </row>
    <row r="2881" spans="1:5" x14ac:dyDescent="0.25">
      <c r="A2881" t="s">
        <v>13</v>
      </c>
      <c r="B2881" t="s">
        <v>8</v>
      </c>
      <c r="C2881" s="1">
        <v>46202.470833333333</v>
      </c>
      <c r="D2881" s="1">
        <v>46224.243055555547</v>
      </c>
      <c r="E2881" s="2">
        <f t="shared" si="44"/>
        <v>21.772222222214623</v>
      </c>
    </row>
    <row r="2882" spans="1:5" x14ac:dyDescent="0.25">
      <c r="A2882" t="s">
        <v>18</v>
      </c>
      <c r="B2882" t="s">
        <v>27</v>
      </c>
      <c r="C2882" s="1">
        <v>45704.913194444453</v>
      </c>
      <c r="D2882" s="1">
        <v>45778.336805555547</v>
      </c>
      <c r="E2882" s="2">
        <f t="shared" ref="E2882:E2945" si="45">D2882-C2882</f>
        <v>73.423611111094942</v>
      </c>
    </row>
    <row r="2883" spans="1:5" x14ac:dyDescent="0.25">
      <c r="A2883" t="s">
        <v>34</v>
      </c>
      <c r="B2883" t="s">
        <v>13</v>
      </c>
      <c r="C2883" s="1">
        <v>45956.9375</v>
      </c>
      <c r="D2883" s="1">
        <v>45981.895833333343</v>
      </c>
      <c r="E2883" s="2">
        <f t="shared" si="45"/>
        <v>24.958333333343035</v>
      </c>
    </row>
    <row r="2884" spans="1:5" x14ac:dyDescent="0.25">
      <c r="A2884" t="s">
        <v>15</v>
      </c>
      <c r="B2884" t="s">
        <v>38</v>
      </c>
      <c r="C2884" s="1">
        <v>46145.363888888889</v>
      </c>
      <c r="D2884" s="1">
        <v>46190.424305555563</v>
      </c>
      <c r="E2884" s="2">
        <f t="shared" si="45"/>
        <v>45.060416666674428</v>
      </c>
    </row>
    <row r="2885" spans="1:5" x14ac:dyDescent="0.25">
      <c r="A2885" t="s">
        <v>61</v>
      </c>
      <c r="B2885" t="s">
        <v>62</v>
      </c>
      <c r="C2885" s="1">
        <v>45975.54583333333</v>
      </c>
      <c r="D2885" s="1">
        <v>46029.710416666669</v>
      </c>
      <c r="E2885" s="2">
        <f t="shared" si="45"/>
        <v>54.164583333338669</v>
      </c>
    </row>
    <row r="2886" spans="1:5" x14ac:dyDescent="0.25">
      <c r="A2886" t="s">
        <v>8</v>
      </c>
      <c r="B2886" t="s">
        <v>13</v>
      </c>
      <c r="C2886" s="1">
        <v>46004.862500000003</v>
      </c>
      <c r="D2886" s="1">
        <v>46034.067361111112</v>
      </c>
      <c r="E2886" s="2">
        <f t="shared" si="45"/>
        <v>29.204861111109494</v>
      </c>
    </row>
    <row r="2887" spans="1:5" x14ac:dyDescent="0.25">
      <c r="A2887" t="s">
        <v>14</v>
      </c>
      <c r="B2887" t="s">
        <v>22</v>
      </c>
      <c r="C2887" s="1">
        <v>46174.519328703696</v>
      </c>
      <c r="D2887" s="1">
        <v>46231.024305555547</v>
      </c>
      <c r="E2887" s="2">
        <f t="shared" si="45"/>
        <v>56.504976851851097</v>
      </c>
    </row>
    <row r="2888" spans="1:5" x14ac:dyDescent="0.25">
      <c r="A2888" t="s">
        <v>15</v>
      </c>
      <c r="B2888" t="s">
        <v>38</v>
      </c>
      <c r="C2888" s="1">
        <v>46164.476388888892</v>
      </c>
      <c r="D2888" s="1">
        <v>46213.482638888891</v>
      </c>
      <c r="E2888" s="2">
        <f t="shared" si="45"/>
        <v>49.006249999998545</v>
      </c>
    </row>
    <row r="2889" spans="1:5" x14ac:dyDescent="0.25">
      <c r="A2889" t="s">
        <v>22</v>
      </c>
      <c r="B2889" t="s">
        <v>14</v>
      </c>
      <c r="C2889" s="1">
        <v>45748.2</v>
      </c>
      <c r="D2889" s="1">
        <v>45791.791006944448</v>
      </c>
      <c r="E2889" s="2">
        <f t="shared" si="45"/>
        <v>43.591006944450783</v>
      </c>
    </row>
    <row r="2890" spans="1:5" x14ac:dyDescent="0.25">
      <c r="A2890" t="s">
        <v>46</v>
      </c>
      <c r="B2890" t="s">
        <v>11</v>
      </c>
      <c r="C2890" s="1">
        <v>45909.705347222232</v>
      </c>
      <c r="D2890" s="1">
        <v>45920.275000000001</v>
      </c>
      <c r="E2890" s="2">
        <f t="shared" si="45"/>
        <v>10.569652777769079</v>
      </c>
    </row>
    <row r="2891" spans="1:5" x14ac:dyDescent="0.25">
      <c r="A2891" t="s">
        <v>22</v>
      </c>
      <c r="B2891" t="s">
        <v>14</v>
      </c>
      <c r="C2891" s="1">
        <v>45859.175000000003</v>
      </c>
      <c r="D2891" s="1">
        <v>45911.3</v>
      </c>
      <c r="E2891" s="2">
        <f t="shared" si="45"/>
        <v>52.125</v>
      </c>
    </row>
    <row r="2892" spans="1:5" x14ac:dyDescent="0.25">
      <c r="A2892" t="s">
        <v>10</v>
      </c>
      <c r="B2892" t="s">
        <v>11</v>
      </c>
      <c r="C2892" s="1">
        <v>46013.066666666673</v>
      </c>
      <c r="D2892" s="1">
        <v>46043.607638888891</v>
      </c>
      <c r="E2892" s="2">
        <f t="shared" si="45"/>
        <v>30.540972222217533</v>
      </c>
    </row>
    <row r="2893" spans="1:5" x14ac:dyDescent="0.25">
      <c r="A2893" t="s">
        <v>15</v>
      </c>
      <c r="B2893" t="s">
        <v>13</v>
      </c>
      <c r="C2893" s="1">
        <v>45995.92083333333</v>
      </c>
      <c r="D2893" s="1">
        <v>46032.978472222218</v>
      </c>
      <c r="E2893" s="2">
        <f t="shared" si="45"/>
        <v>37.057638888887595</v>
      </c>
    </row>
    <row r="2894" spans="1:5" x14ac:dyDescent="0.25">
      <c r="A2894" t="s">
        <v>13</v>
      </c>
      <c r="B2894" t="s">
        <v>8</v>
      </c>
      <c r="C2894" s="1">
        <v>46222.043749999997</v>
      </c>
      <c r="D2894" s="1">
        <v>46244.741076388891</v>
      </c>
      <c r="E2894" s="2">
        <f t="shared" si="45"/>
        <v>22.697326388893998</v>
      </c>
    </row>
    <row r="2895" spans="1:5" x14ac:dyDescent="0.25">
      <c r="A2895" t="s">
        <v>60</v>
      </c>
      <c r="B2895" t="s">
        <v>13</v>
      </c>
      <c r="C2895" s="1">
        <v>45964.791666666657</v>
      </c>
      <c r="D2895" s="1">
        <v>46006.416527777779</v>
      </c>
      <c r="E2895" s="2">
        <f t="shared" si="45"/>
        <v>41.6248611111223</v>
      </c>
    </row>
    <row r="2896" spans="1:5" x14ac:dyDescent="0.25">
      <c r="A2896" t="s">
        <v>40</v>
      </c>
      <c r="B2896" t="s">
        <v>37</v>
      </c>
      <c r="C2896" s="1">
        <v>45921.001643518517</v>
      </c>
      <c r="D2896" s="1">
        <v>45932.691666666673</v>
      </c>
      <c r="E2896" s="2">
        <f t="shared" si="45"/>
        <v>11.690023148155888</v>
      </c>
    </row>
    <row r="2897" spans="1:5" x14ac:dyDescent="0.25">
      <c r="A2897" t="s">
        <v>18</v>
      </c>
      <c r="B2897" t="s">
        <v>27</v>
      </c>
      <c r="C2897" s="1">
        <v>45677.389548611107</v>
      </c>
      <c r="D2897" s="1">
        <v>45756.691666666673</v>
      </c>
      <c r="E2897" s="2">
        <f t="shared" si="45"/>
        <v>79.302118055566098</v>
      </c>
    </row>
    <row r="2898" spans="1:5" x14ac:dyDescent="0.25">
      <c r="A2898" t="s">
        <v>10</v>
      </c>
      <c r="B2898" t="s">
        <v>11</v>
      </c>
      <c r="C2898" s="1">
        <v>45998.5</v>
      </c>
      <c r="D2898" s="1">
        <v>46028.988888888889</v>
      </c>
      <c r="E2898" s="2">
        <f t="shared" si="45"/>
        <v>30.488888888889051</v>
      </c>
    </row>
    <row r="2899" spans="1:5" x14ac:dyDescent="0.25">
      <c r="A2899" t="s">
        <v>15</v>
      </c>
      <c r="B2899" t="s">
        <v>38</v>
      </c>
      <c r="C2899" s="1">
        <v>46171.477083333331</v>
      </c>
      <c r="D2899" s="1">
        <v>46226.684027777781</v>
      </c>
      <c r="E2899" s="2">
        <f t="shared" si="45"/>
        <v>55.206944444449618</v>
      </c>
    </row>
    <row r="2900" spans="1:5" x14ac:dyDescent="0.25">
      <c r="A2900" t="s">
        <v>22</v>
      </c>
      <c r="B2900" t="s">
        <v>19</v>
      </c>
      <c r="C2900" s="1">
        <v>45726.180520833332</v>
      </c>
      <c r="D2900" s="1">
        <v>45794.54583333333</v>
      </c>
      <c r="E2900" s="2">
        <f t="shared" si="45"/>
        <v>68.365312499998254</v>
      </c>
    </row>
    <row r="2901" spans="1:5" x14ac:dyDescent="0.25">
      <c r="A2901" t="s">
        <v>22</v>
      </c>
      <c r="B2901" t="s">
        <v>14</v>
      </c>
      <c r="C2901" s="1">
        <v>45705.051481481481</v>
      </c>
      <c r="D2901" s="1">
        <v>45751.072222222218</v>
      </c>
      <c r="E2901" s="2">
        <f t="shared" si="45"/>
        <v>46.020740740736073</v>
      </c>
    </row>
    <row r="2902" spans="1:5" x14ac:dyDescent="0.25">
      <c r="A2902" t="s">
        <v>22</v>
      </c>
      <c r="B2902" t="s">
        <v>19</v>
      </c>
      <c r="C2902" s="1">
        <v>45763.1875</v>
      </c>
      <c r="D2902" s="1">
        <v>45816.841666666667</v>
      </c>
      <c r="E2902" s="2">
        <f t="shared" si="45"/>
        <v>53.654166666667152</v>
      </c>
    </row>
    <row r="2903" spans="1:5" x14ac:dyDescent="0.25">
      <c r="A2903" t="s">
        <v>15</v>
      </c>
      <c r="B2903" t="s">
        <v>13</v>
      </c>
      <c r="C2903" s="1">
        <v>46023.19027777778</v>
      </c>
      <c r="D2903" s="1">
        <v>46072.587500000001</v>
      </c>
      <c r="E2903" s="2">
        <f t="shared" si="45"/>
        <v>49.397222222221899</v>
      </c>
    </row>
    <row r="2904" spans="1:5" x14ac:dyDescent="0.25">
      <c r="A2904" t="s">
        <v>10</v>
      </c>
      <c r="B2904" t="s">
        <v>11</v>
      </c>
      <c r="C2904" s="1">
        <v>45956.384722222218</v>
      </c>
      <c r="D2904" s="1">
        <v>45979.9375</v>
      </c>
      <c r="E2904" s="2">
        <f t="shared" si="45"/>
        <v>23.552777777782467</v>
      </c>
    </row>
    <row r="2905" spans="1:5" x14ac:dyDescent="0.25">
      <c r="A2905" t="s">
        <v>15</v>
      </c>
      <c r="B2905" t="s">
        <v>38</v>
      </c>
      <c r="C2905" s="1">
        <v>46218.020833333343</v>
      </c>
      <c r="D2905" s="1">
        <v>46263.936111111107</v>
      </c>
      <c r="E2905" s="2">
        <f t="shared" si="45"/>
        <v>45.915277777763549</v>
      </c>
    </row>
    <row r="2906" spans="1:5" x14ac:dyDescent="0.25">
      <c r="A2906" t="s">
        <v>19</v>
      </c>
      <c r="B2906" t="s">
        <v>8</v>
      </c>
      <c r="C2906" s="1">
        <v>46219.537499999999</v>
      </c>
      <c r="D2906" s="1">
        <v>46247.033333333333</v>
      </c>
      <c r="E2906" s="2">
        <f t="shared" si="45"/>
        <v>27.495833333334303</v>
      </c>
    </row>
    <row r="2907" spans="1:5" x14ac:dyDescent="0.25">
      <c r="A2907" t="s">
        <v>15</v>
      </c>
      <c r="B2907" t="s">
        <v>13</v>
      </c>
      <c r="C2907" s="1">
        <v>46226.007013888891</v>
      </c>
      <c r="D2907" s="1">
        <v>46271.23542824074</v>
      </c>
      <c r="E2907" s="2">
        <f t="shared" si="45"/>
        <v>45.228414351848187</v>
      </c>
    </row>
    <row r="2908" spans="1:5" x14ac:dyDescent="0.25">
      <c r="A2908" t="s">
        <v>15</v>
      </c>
      <c r="B2908" t="s">
        <v>13</v>
      </c>
      <c r="C2908" s="1">
        <v>46198.539953703701</v>
      </c>
      <c r="D2908" s="1">
        <v>46236.826388888891</v>
      </c>
      <c r="E2908" s="2">
        <f t="shared" si="45"/>
        <v>38.286435185189475</v>
      </c>
    </row>
    <row r="2909" spans="1:5" x14ac:dyDescent="0.25">
      <c r="A2909" t="s">
        <v>18</v>
      </c>
      <c r="B2909" t="s">
        <v>27</v>
      </c>
      <c r="C2909" s="1">
        <v>45797.735844907409</v>
      </c>
      <c r="D2909" s="1">
        <v>45869.8125</v>
      </c>
      <c r="E2909" s="2">
        <f t="shared" si="45"/>
        <v>72.076655092590954</v>
      </c>
    </row>
    <row r="2910" spans="1:5" x14ac:dyDescent="0.25">
      <c r="A2910" t="s">
        <v>22</v>
      </c>
      <c r="B2910" t="s">
        <v>14</v>
      </c>
      <c r="C2910" s="1">
        <v>45898.786504629628</v>
      </c>
      <c r="D2910" s="1">
        <v>45945.550694444442</v>
      </c>
      <c r="E2910" s="2">
        <f t="shared" si="45"/>
        <v>46.764189814814017</v>
      </c>
    </row>
    <row r="2911" spans="1:5" x14ac:dyDescent="0.25">
      <c r="A2911" t="s">
        <v>15</v>
      </c>
      <c r="B2911" t="s">
        <v>38</v>
      </c>
      <c r="C2911" s="1">
        <v>46130.340416666673</v>
      </c>
      <c r="D2911" s="1">
        <v>46174.655555555553</v>
      </c>
      <c r="E2911" s="2">
        <f t="shared" si="45"/>
        <v>44.315138888880028</v>
      </c>
    </row>
    <row r="2912" spans="1:5" x14ac:dyDescent="0.25">
      <c r="A2912" t="s">
        <v>15</v>
      </c>
      <c r="B2912" t="s">
        <v>38</v>
      </c>
      <c r="C2912" s="1">
        <v>46115.618958333333</v>
      </c>
      <c r="D2912" s="1">
        <v>46160.418055555558</v>
      </c>
      <c r="E2912" s="2">
        <f t="shared" si="45"/>
        <v>44.7990972222251</v>
      </c>
    </row>
    <row r="2913" spans="1:5" x14ac:dyDescent="0.25">
      <c r="A2913" t="s">
        <v>10</v>
      </c>
      <c r="B2913" t="s">
        <v>25</v>
      </c>
      <c r="C2913" s="1">
        <v>45791.128333333327</v>
      </c>
      <c r="D2913" s="1">
        <v>45817.912499999999</v>
      </c>
      <c r="E2913" s="2">
        <f t="shared" si="45"/>
        <v>26.784166666671808</v>
      </c>
    </row>
    <row r="2914" spans="1:5" x14ac:dyDescent="0.25">
      <c r="A2914" t="s">
        <v>12</v>
      </c>
      <c r="B2914" t="s">
        <v>13</v>
      </c>
      <c r="C2914" s="1">
        <v>46200.142048611109</v>
      </c>
      <c r="D2914" s="1">
        <v>46257.863888888889</v>
      </c>
      <c r="E2914" s="2">
        <f t="shared" si="45"/>
        <v>57.721840277779847</v>
      </c>
    </row>
    <row r="2915" spans="1:5" x14ac:dyDescent="0.25">
      <c r="A2915" t="s">
        <v>9</v>
      </c>
      <c r="B2915" t="s">
        <v>8</v>
      </c>
      <c r="C2915" s="1">
        <v>46178.641099537039</v>
      </c>
      <c r="D2915" s="1">
        <v>46226.362500000003</v>
      </c>
      <c r="E2915" s="2">
        <f t="shared" si="45"/>
        <v>47.721400462964084</v>
      </c>
    </row>
    <row r="2916" spans="1:5" x14ac:dyDescent="0.25">
      <c r="A2916" t="s">
        <v>15</v>
      </c>
      <c r="B2916" t="s">
        <v>13</v>
      </c>
      <c r="C2916" s="1">
        <v>46106.9375</v>
      </c>
      <c r="D2916" s="1">
        <v>46145.782638888893</v>
      </c>
      <c r="E2916" s="2">
        <f t="shared" si="45"/>
        <v>38.845138888893416</v>
      </c>
    </row>
    <row r="2917" spans="1:5" x14ac:dyDescent="0.25">
      <c r="A2917" t="s">
        <v>15</v>
      </c>
      <c r="B2917" t="s">
        <v>38</v>
      </c>
      <c r="C2917" s="1">
        <v>46136.787268518521</v>
      </c>
      <c r="D2917" s="1">
        <v>46183.841666666667</v>
      </c>
      <c r="E2917" s="2">
        <f t="shared" si="45"/>
        <v>47.054398148145992</v>
      </c>
    </row>
    <row r="2918" spans="1:5" x14ac:dyDescent="0.25">
      <c r="A2918" t="s">
        <v>15</v>
      </c>
      <c r="B2918" t="s">
        <v>13</v>
      </c>
      <c r="C2918" s="1">
        <v>46157.243194444447</v>
      </c>
      <c r="D2918" s="1">
        <v>46202.015277777777</v>
      </c>
      <c r="E2918" s="2">
        <f t="shared" si="45"/>
        <v>44.772083333329647</v>
      </c>
    </row>
    <row r="2919" spans="1:5" x14ac:dyDescent="0.25">
      <c r="A2919" t="s">
        <v>42</v>
      </c>
      <c r="B2919" t="s">
        <v>19</v>
      </c>
      <c r="C2919" s="1">
        <v>45835.632280092592</v>
      </c>
      <c r="D2919" s="1">
        <v>45882.625</v>
      </c>
      <c r="E2919" s="2">
        <f t="shared" si="45"/>
        <v>46.992719907408173</v>
      </c>
    </row>
    <row r="2920" spans="1:5" x14ac:dyDescent="0.25">
      <c r="A2920" t="s">
        <v>18</v>
      </c>
      <c r="B2920" t="s">
        <v>27</v>
      </c>
      <c r="C2920" s="1">
        <v>45719.916666666657</v>
      </c>
      <c r="D2920" s="1">
        <v>45791.845833333333</v>
      </c>
      <c r="E2920" s="2">
        <f t="shared" si="45"/>
        <v>71.929166666675883</v>
      </c>
    </row>
    <row r="2921" spans="1:5" x14ac:dyDescent="0.25">
      <c r="A2921" t="s">
        <v>19</v>
      </c>
      <c r="B2921" t="s">
        <v>11</v>
      </c>
      <c r="C2921" s="1">
        <v>46156.143750000003</v>
      </c>
      <c r="D2921" s="1">
        <v>46204.538888888892</v>
      </c>
      <c r="E2921" s="2">
        <f t="shared" si="45"/>
        <v>48.395138888889051</v>
      </c>
    </row>
    <row r="2922" spans="1:5" x14ac:dyDescent="0.25">
      <c r="A2922" t="s">
        <v>15</v>
      </c>
      <c r="B2922" t="s">
        <v>13</v>
      </c>
      <c r="C2922" s="1">
        <v>46093.517361111109</v>
      </c>
      <c r="D2922" s="1">
        <v>46131.701388888891</v>
      </c>
      <c r="E2922" s="2">
        <f t="shared" si="45"/>
        <v>38.184027777781012</v>
      </c>
    </row>
    <row r="2923" spans="1:5" x14ac:dyDescent="0.25">
      <c r="A2923" t="s">
        <v>10</v>
      </c>
      <c r="B2923" t="s">
        <v>11</v>
      </c>
      <c r="C2923" s="1">
        <v>45879.047152777777</v>
      </c>
      <c r="D2923" s="1">
        <v>45909.908333333333</v>
      </c>
      <c r="E2923" s="2">
        <f t="shared" si="45"/>
        <v>30.86118055555562</v>
      </c>
    </row>
    <row r="2924" spans="1:5" x14ac:dyDescent="0.25">
      <c r="A2924" t="s">
        <v>34</v>
      </c>
      <c r="B2924" t="s">
        <v>13</v>
      </c>
      <c r="C2924" s="1">
        <v>45858.368171296293</v>
      </c>
      <c r="D2924" s="1">
        <v>45883.708333333343</v>
      </c>
      <c r="E2924" s="2">
        <f t="shared" si="45"/>
        <v>25.340162037049595</v>
      </c>
    </row>
    <row r="2925" spans="1:5" x14ac:dyDescent="0.25">
      <c r="A2925" t="s">
        <v>22</v>
      </c>
      <c r="B2925" t="s">
        <v>14</v>
      </c>
      <c r="C2925" s="1">
        <v>45844.233738425923</v>
      </c>
      <c r="D2925" s="1">
        <v>45889.818055555559</v>
      </c>
      <c r="E2925" s="2">
        <f t="shared" si="45"/>
        <v>45.584317129636474</v>
      </c>
    </row>
    <row r="2926" spans="1:5" x14ac:dyDescent="0.25">
      <c r="A2926" t="s">
        <v>8</v>
      </c>
      <c r="B2926" t="s">
        <v>13</v>
      </c>
      <c r="C2926" s="1">
        <v>45720</v>
      </c>
      <c r="D2926" s="1">
        <v>45758</v>
      </c>
      <c r="E2926" s="2">
        <f t="shared" si="45"/>
        <v>38</v>
      </c>
    </row>
    <row r="2927" spans="1:5" x14ac:dyDescent="0.25">
      <c r="A2927" t="s">
        <v>15</v>
      </c>
      <c r="B2927" t="s">
        <v>13</v>
      </c>
      <c r="C2927" s="1">
        <v>45813.607060185182</v>
      </c>
      <c r="D2927" s="1">
        <v>45850.555555555547</v>
      </c>
      <c r="E2927" s="2">
        <f t="shared" si="45"/>
        <v>36.948495370364981</v>
      </c>
    </row>
    <row r="2928" spans="1:5" x14ac:dyDescent="0.25">
      <c r="A2928" t="s">
        <v>40</v>
      </c>
      <c r="B2928" t="s">
        <v>37</v>
      </c>
      <c r="C2928" s="1">
        <v>45961.645833333343</v>
      </c>
      <c r="D2928" s="1">
        <v>45975.616666666669</v>
      </c>
      <c r="E2928" s="2">
        <f t="shared" si="45"/>
        <v>13.970833333325572</v>
      </c>
    </row>
    <row r="2929" spans="1:5" x14ac:dyDescent="0.25">
      <c r="A2929" t="s">
        <v>34</v>
      </c>
      <c r="B2929" t="s">
        <v>13</v>
      </c>
      <c r="C2929" s="1">
        <v>45998.1</v>
      </c>
      <c r="D2929" s="1">
        <v>46030.548611111109</v>
      </c>
      <c r="E2929" s="2">
        <f t="shared" si="45"/>
        <v>32.448611111110949</v>
      </c>
    </row>
    <row r="2930" spans="1:5" x14ac:dyDescent="0.25">
      <c r="A2930" t="s">
        <v>10</v>
      </c>
      <c r="B2930" t="s">
        <v>11</v>
      </c>
      <c r="C2930" s="1">
        <v>45761.239583333343</v>
      </c>
      <c r="D2930" s="1">
        <v>45790.239583333343</v>
      </c>
      <c r="E2930" s="2">
        <f t="shared" si="45"/>
        <v>29</v>
      </c>
    </row>
    <row r="2931" spans="1:5" x14ac:dyDescent="0.25">
      <c r="A2931" t="s">
        <v>8</v>
      </c>
      <c r="B2931" t="s">
        <v>13</v>
      </c>
      <c r="C2931" s="1">
        <v>45720</v>
      </c>
      <c r="D2931" s="1">
        <v>45758</v>
      </c>
      <c r="E2931" s="2">
        <f t="shared" si="45"/>
        <v>38</v>
      </c>
    </row>
    <row r="2932" spans="1:5" x14ac:dyDescent="0.25">
      <c r="A2932" t="s">
        <v>10</v>
      </c>
      <c r="B2932" t="s">
        <v>11</v>
      </c>
      <c r="C2932" s="1">
        <v>46041.48333333333</v>
      </c>
      <c r="D2932" s="1">
        <v>46071.913888888892</v>
      </c>
      <c r="E2932" s="2">
        <f t="shared" si="45"/>
        <v>30.430555555562023</v>
      </c>
    </row>
    <row r="2933" spans="1:5" x14ac:dyDescent="0.25">
      <c r="A2933" t="s">
        <v>61</v>
      </c>
      <c r="B2933" t="s">
        <v>13</v>
      </c>
      <c r="C2933" s="1">
        <v>45982.813472222217</v>
      </c>
      <c r="D2933" s="1">
        <v>46025.690972222219</v>
      </c>
      <c r="E2933" s="2">
        <f t="shared" si="45"/>
        <v>42.877500000002328</v>
      </c>
    </row>
    <row r="2934" spans="1:5" x14ac:dyDescent="0.25">
      <c r="A2934" t="s">
        <v>40</v>
      </c>
      <c r="B2934" t="s">
        <v>37</v>
      </c>
      <c r="C2934" s="1">
        <v>45961.645833333343</v>
      </c>
      <c r="D2934" s="1">
        <v>45975.616666666669</v>
      </c>
      <c r="E2934" s="2">
        <f t="shared" si="45"/>
        <v>13.970833333325572</v>
      </c>
    </row>
    <row r="2935" spans="1:5" x14ac:dyDescent="0.25">
      <c r="A2935" t="s">
        <v>15</v>
      </c>
      <c r="B2935" t="s">
        <v>38</v>
      </c>
      <c r="C2935" s="1">
        <v>46171.477083333331</v>
      </c>
      <c r="D2935" s="1">
        <v>46226.684027777781</v>
      </c>
      <c r="E2935" s="2">
        <f t="shared" si="45"/>
        <v>55.206944444449618</v>
      </c>
    </row>
    <row r="2936" spans="1:5" x14ac:dyDescent="0.25">
      <c r="A2936" t="s">
        <v>13</v>
      </c>
      <c r="B2936" t="s">
        <v>8</v>
      </c>
      <c r="C2936" s="1">
        <v>46260.056261574071</v>
      </c>
      <c r="D2936" s="1">
        <v>46282.479166666657</v>
      </c>
      <c r="E2936" s="2">
        <f t="shared" si="45"/>
        <v>22.422905092586007</v>
      </c>
    </row>
    <row r="2937" spans="1:5" x14ac:dyDescent="0.25">
      <c r="A2937" t="s">
        <v>15</v>
      </c>
      <c r="B2937" t="s">
        <v>38</v>
      </c>
      <c r="C2937" s="1">
        <v>46130.326388888891</v>
      </c>
      <c r="D2937" s="1">
        <v>46174.655555555553</v>
      </c>
      <c r="E2937" s="2">
        <f t="shared" si="45"/>
        <v>44.329166666662786</v>
      </c>
    </row>
    <row r="2938" spans="1:5" x14ac:dyDescent="0.25">
      <c r="A2938" t="s">
        <v>12</v>
      </c>
      <c r="B2938" t="s">
        <v>13</v>
      </c>
      <c r="C2938" s="1">
        <v>46159.524513888893</v>
      </c>
      <c r="D2938" s="1">
        <v>46208.722222222219</v>
      </c>
      <c r="E2938" s="2">
        <f t="shared" si="45"/>
        <v>49.197708333325863</v>
      </c>
    </row>
    <row r="2939" spans="1:5" x14ac:dyDescent="0.25">
      <c r="A2939" t="s">
        <v>13</v>
      </c>
      <c r="B2939" t="s">
        <v>8</v>
      </c>
      <c r="C2939" s="1">
        <v>46241.037499999999</v>
      </c>
      <c r="D2939" s="1">
        <v>46260.691666666673</v>
      </c>
      <c r="E2939" s="2">
        <f t="shared" si="45"/>
        <v>19.654166666674428</v>
      </c>
    </row>
    <row r="2940" spans="1:5" x14ac:dyDescent="0.25">
      <c r="A2940" t="s">
        <v>15</v>
      </c>
      <c r="B2940" t="s">
        <v>38</v>
      </c>
      <c r="C2940" s="1">
        <v>46115.618958333333</v>
      </c>
      <c r="D2940" s="1">
        <v>46160.418055555558</v>
      </c>
      <c r="E2940" s="2">
        <f t="shared" si="45"/>
        <v>44.7990972222251</v>
      </c>
    </row>
    <row r="2941" spans="1:5" x14ac:dyDescent="0.25">
      <c r="A2941" t="s">
        <v>22</v>
      </c>
      <c r="B2941" t="s">
        <v>14</v>
      </c>
      <c r="C2941" s="1">
        <v>45776.180555555547</v>
      </c>
      <c r="D2941" s="1">
        <v>45822.563888888893</v>
      </c>
      <c r="E2941" s="2">
        <f t="shared" si="45"/>
        <v>46.383333333345945</v>
      </c>
    </row>
    <row r="2942" spans="1:5" x14ac:dyDescent="0.25">
      <c r="A2942" t="s">
        <v>14</v>
      </c>
      <c r="B2942" t="s">
        <v>34</v>
      </c>
      <c r="C2942" s="1">
        <v>45850.465138888889</v>
      </c>
      <c r="D2942" s="1">
        <v>45878.37222222222</v>
      </c>
      <c r="E2942" s="2">
        <f t="shared" si="45"/>
        <v>27.907083333331684</v>
      </c>
    </row>
    <row r="2943" spans="1:5" x14ac:dyDescent="0.25">
      <c r="A2943" t="s">
        <v>22</v>
      </c>
      <c r="B2943" t="s">
        <v>14</v>
      </c>
      <c r="C2943" s="1">
        <v>45768.991863425923</v>
      </c>
      <c r="D2943" s="1">
        <v>45822.563888888893</v>
      </c>
      <c r="E2943" s="2">
        <f t="shared" si="45"/>
        <v>53.572025462970487</v>
      </c>
    </row>
    <row r="2944" spans="1:5" x14ac:dyDescent="0.25">
      <c r="A2944" t="s">
        <v>15</v>
      </c>
      <c r="B2944" t="s">
        <v>38</v>
      </c>
      <c r="C2944" s="1">
        <v>46115.555555555547</v>
      </c>
      <c r="D2944" s="1">
        <v>46160.418055555558</v>
      </c>
      <c r="E2944" s="2">
        <f t="shared" si="45"/>
        <v>44.862500000010186</v>
      </c>
    </row>
    <row r="2945" spans="1:5" x14ac:dyDescent="0.25">
      <c r="A2945" t="s">
        <v>22</v>
      </c>
      <c r="B2945" t="s">
        <v>14</v>
      </c>
      <c r="C2945" s="1">
        <v>45797.074236111112</v>
      </c>
      <c r="D2945" s="1">
        <v>45847.831250000003</v>
      </c>
      <c r="E2945" s="2">
        <f t="shared" si="45"/>
        <v>50.757013888891379</v>
      </c>
    </row>
    <row r="2946" spans="1:5" x14ac:dyDescent="0.25">
      <c r="A2946" t="s">
        <v>13</v>
      </c>
      <c r="B2946" t="s">
        <v>8</v>
      </c>
      <c r="C2946" s="1">
        <v>46229.21597222222</v>
      </c>
      <c r="D2946" s="1">
        <v>46260.691666666673</v>
      </c>
      <c r="E2946" s="2">
        <f t="shared" ref="E2946:E3009" si="46">D2946-C2946</f>
        <v>31.475694444452529</v>
      </c>
    </row>
    <row r="2947" spans="1:5" x14ac:dyDescent="0.25">
      <c r="A2947" t="s">
        <v>61</v>
      </c>
      <c r="B2947" t="s">
        <v>13</v>
      </c>
      <c r="C2947" s="1">
        <v>45982.813472222217</v>
      </c>
      <c r="D2947" s="1">
        <v>46025.690972222219</v>
      </c>
      <c r="E2947" s="2">
        <f t="shared" si="46"/>
        <v>42.877500000002328</v>
      </c>
    </row>
    <row r="2948" spans="1:5" x14ac:dyDescent="0.25">
      <c r="A2948" t="s">
        <v>7</v>
      </c>
      <c r="B2948" t="s">
        <v>13</v>
      </c>
      <c r="C2948" s="1">
        <v>46216.840046296304</v>
      </c>
      <c r="D2948" s="1">
        <v>46251.747928240737</v>
      </c>
      <c r="E2948" s="2">
        <f t="shared" si="46"/>
        <v>34.907881944433029</v>
      </c>
    </row>
    <row r="2949" spans="1:5" x14ac:dyDescent="0.25">
      <c r="A2949" t="s">
        <v>22</v>
      </c>
      <c r="B2949" t="s">
        <v>14</v>
      </c>
      <c r="C2949" s="1">
        <v>45873.847222222219</v>
      </c>
      <c r="D2949" s="1">
        <v>45919.29</v>
      </c>
      <c r="E2949" s="2">
        <f t="shared" si="46"/>
        <v>45.442777777781885</v>
      </c>
    </row>
    <row r="2950" spans="1:5" x14ac:dyDescent="0.25">
      <c r="A2950" t="s">
        <v>15</v>
      </c>
      <c r="B2950" t="s">
        <v>38</v>
      </c>
      <c r="C2950" s="1">
        <v>46150.069444444453</v>
      </c>
      <c r="D2950" s="1">
        <v>46196.245833333327</v>
      </c>
      <c r="E2950" s="2">
        <f t="shared" si="46"/>
        <v>46.176388888874499</v>
      </c>
    </row>
    <row r="2951" spans="1:5" x14ac:dyDescent="0.25">
      <c r="A2951" t="s">
        <v>8</v>
      </c>
      <c r="B2951" t="s">
        <v>19</v>
      </c>
      <c r="C2951" s="1">
        <v>46232.863125000003</v>
      </c>
      <c r="D2951" s="1">
        <v>46277.481944444437</v>
      </c>
      <c r="E2951" s="2">
        <f t="shared" si="46"/>
        <v>44.618819444433029</v>
      </c>
    </row>
    <row r="2952" spans="1:5" x14ac:dyDescent="0.25">
      <c r="A2952" t="s">
        <v>15</v>
      </c>
      <c r="B2952" t="s">
        <v>38</v>
      </c>
      <c r="C2952" s="1">
        <v>46232.95076388889</v>
      </c>
      <c r="D2952" s="1">
        <v>46279.83085648148</v>
      </c>
      <c r="E2952" s="2">
        <f t="shared" si="46"/>
        <v>46.88009259258979</v>
      </c>
    </row>
    <row r="2953" spans="1:5" x14ac:dyDescent="0.25">
      <c r="A2953" t="s">
        <v>12</v>
      </c>
      <c r="B2953" t="s">
        <v>13</v>
      </c>
      <c r="C2953" s="1">
        <v>46152.279861111107</v>
      </c>
      <c r="D2953" s="1">
        <v>46202.015277777777</v>
      </c>
      <c r="E2953" s="2">
        <f t="shared" si="46"/>
        <v>49.735416666670062</v>
      </c>
    </row>
    <row r="2954" spans="1:5" x14ac:dyDescent="0.25">
      <c r="A2954" t="s">
        <v>42</v>
      </c>
      <c r="B2954" t="s">
        <v>19</v>
      </c>
      <c r="C2954" s="1">
        <v>45898.65625</v>
      </c>
      <c r="D2954" s="1">
        <v>45938.542361111111</v>
      </c>
      <c r="E2954" s="2">
        <f t="shared" si="46"/>
        <v>39.886111111110949</v>
      </c>
    </row>
    <row r="2955" spans="1:5" x14ac:dyDescent="0.25">
      <c r="A2955" t="s">
        <v>42</v>
      </c>
      <c r="B2955" t="s">
        <v>19</v>
      </c>
      <c r="C2955" s="1">
        <v>45932.35833333333</v>
      </c>
      <c r="D2955" s="1">
        <v>45980.32916666667</v>
      </c>
      <c r="E2955" s="2">
        <f t="shared" si="46"/>
        <v>47.970833333340124</v>
      </c>
    </row>
    <row r="2956" spans="1:5" x14ac:dyDescent="0.25">
      <c r="A2956" t="s">
        <v>15</v>
      </c>
      <c r="B2956" t="s">
        <v>38</v>
      </c>
      <c r="C2956" s="1">
        <v>46232.938194444447</v>
      </c>
      <c r="D2956" s="1">
        <v>46276.415277777778</v>
      </c>
      <c r="E2956" s="2">
        <f t="shared" si="46"/>
        <v>43.477083333331393</v>
      </c>
    </row>
    <row r="2957" spans="1:5" x14ac:dyDescent="0.25">
      <c r="A2957" t="s">
        <v>15</v>
      </c>
      <c r="B2957" t="s">
        <v>13</v>
      </c>
      <c r="C2957" s="1">
        <v>46093.517361111109</v>
      </c>
      <c r="D2957" s="1">
        <v>46131.701388888891</v>
      </c>
      <c r="E2957" s="2">
        <f t="shared" si="46"/>
        <v>38.184027777781012</v>
      </c>
    </row>
    <row r="2958" spans="1:5" x14ac:dyDescent="0.25">
      <c r="A2958" t="s">
        <v>61</v>
      </c>
      <c r="B2958" t="s">
        <v>13</v>
      </c>
      <c r="C2958" s="1">
        <v>45964.791666666657</v>
      </c>
      <c r="D2958" s="1">
        <v>46006.416527777779</v>
      </c>
      <c r="E2958" s="2">
        <f t="shared" si="46"/>
        <v>41.6248611111223</v>
      </c>
    </row>
    <row r="2959" spans="1:5" x14ac:dyDescent="0.25">
      <c r="A2959" t="s">
        <v>40</v>
      </c>
      <c r="B2959" t="s">
        <v>37</v>
      </c>
      <c r="C2959" s="1">
        <v>45872.71875</v>
      </c>
      <c r="D2959" s="1">
        <v>45881.964363425926</v>
      </c>
      <c r="E2959" s="2">
        <f t="shared" si="46"/>
        <v>9.2456134259264218</v>
      </c>
    </row>
    <row r="2960" spans="1:5" x14ac:dyDescent="0.25">
      <c r="A2960" t="s">
        <v>15</v>
      </c>
      <c r="B2960" t="s">
        <v>18</v>
      </c>
      <c r="C2960" s="1">
        <v>46157.232638888891</v>
      </c>
      <c r="D2960" s="1">
        <v>46210.369444444441</v>
      </c>
      <c r="E2960" s="2">
        <f t="shared" si="46"/>
        <v>53.136805555550382</v>
      </c>
    </row>
    <row r="2961" spans="1:5" x14ac:dyDescent="0.25">
      <c r="A2961" t="s">
        <v>8</v>
      </c>
      <c r="B2961" t="s">
        <v>13</v>
      </c>
      <c r="C2961" s="1">
        <v>45880.894247685188</v>
      </c>
      <c r="D2961" s="1">
        <v>45903.324999999997</v>
      </c>
      <c r="E2961" s="2">
        <f t="shared" si="46"/>
        <v>22.43075231480907</v>
      </c>
    </row>
    <row r="2962" spans="1:5" x14ac:dyDescent="0.25">
      <c r="A2962" t="s">
        <v>8</v>
      </c>
      <c r="B2962" t="s">
        <v>27</v>
      </c>
      <c r="C2962" s="1">
        <v>46160.644444444442</v>
      </c>
      <c r="D2962" s="1">
        <v>46227.588194444441</v>
      </c>
      <c r="E2962" s="2">
        <f t="shared" si="46"/>
        <v>66.943749999998545</v>
      </c>
    </row>
    <row r="2963" spans="1:5" x14ac:dyDescent="0.25">
      <c r="A2963" t="s">
        <v>15</v>
      </c>
      <c r="B2963" t="s">
        <v>38</v>
      </c>
      <c r="C2963" s="1">
        <v>46164.476388888892</v>
      </c>
      <c r="D2963" s="1">
        <v>46213.482638888891</v>
      </c>
      <c r="E2963" s="2">
        <f t="shared" si="46"/>
        <v>49.006249999998545</v>
      </c>
    </row>
    <row r="2964" spans="1:5" x14ac:dyDescent="0.25">
      <c r="A2964" t="s">
        <v>34</v>
      </c>
      <c r="B2964" t="s">
        <v>13</v>
      </c>
      <c r="C2964" s="1">
        <v>46167.447222222218</v>
      </c>
      <c r="D2964" s="1">
        <v>46191.282638888893</v>
      </c>
      <c r="E2964" s="2">
        <f t="shared" si="46"/>
        <v>23.835416666675883</v>
      </c>
    </row>
    <row r="2965" spans="1:5" x14ac:dyDescent="0.25">
      <c r="A2965" t="s">
        <v>8</v>
      </c>
      <c r="B2965" t="s">
        <v>19</v>
      </c>
      <c r="C2965" s="1">
        <v>46183.945138888892</v>
      </c>
      <c r="D2965" s="1">
        <v>46233.241666666669</v>
      </c>
      <c r="E2965" s="2">
        <f t="shared" si="46"/>
        <v>49.296527777776646</v>
      </c>
    </row>
    <row r="2966" spans="1:5" x14ac:dyDescent="0.25">
      <c r="A2966" t="s">
        <v>34</v>
      </c>
      <c r="B2966" t="s">
        <v>13</v>
      </c>
      <c r="C2966" s="1">
        <v>46261.480173611111</v>
      </c>
      <c r="D2966" s="1">
        <v>46284.493923611109</v>
      </c>
      <c r="E2966" s="2">
        <f t="shared" si="46"/>
        <v>23.013749999998254</v>
      </c>
    </row>
    <row r="2967" spans="1:5" x14ac:dyDescent="0.25">
      <c r="A2967" t="s">
        <v>14</v>
      </c>
      <c r="B2967" t="s">
        <v>22</v>
      </c>
      <c r="C2967" s="1">
        <v>46207.320833333331</v>
      </c>
      <c r="D2967" s="1">
        <v>46275.918055555558</v>
      </c>
      <c r="E2967" s="2">
        <f t="shared" si="46"/>
        <v>68.597222222226264</v>
      </c>
    </row>
    <row r="2968" spans="1:5" x14ac:dyDescent="0.25">
      <c r="A2968" t="s">
        <v>12</v>
      </c>
      <c r="B2968" t="s">
        <v>13</v>
      </c>
      <c r="C2968" s="1">
        <v>46171.899525462963</v>
      </c>
      <c r="D2968" s="1">
        <v>46222.259722222218</v>
      </c>
      <c r="E2968" s="2">
        <f t="shared" si="46"/>
        <v>50.360196759254904</v>
      </c>
    </row>
    <row r="2969" spans="1:5" x14ac:dyDescent="0.25">
      <c r="A2969" t="s">
        <v>22</v>
      </c>
      <c r="B2969" t="s">
        <v>14</v>
      </c>
      <c r="C2969" s="1">
        <v>45898.770833333343</v>
      </c>
      <c r="D2969" s="1">
        <v>45945.550694444442</v>
      </c>
      <c r="E2969" s="2">
        <f t="shared" si="46"/>
        <v>46.779861111099308</v>
      </c>
    </row>
    <row r="2970" spans="1:5" x14ac:dyDescent="0.25">
      <c r="A2970" t="s">
        <v>15</v>
      </c>
      <c r="B2970" t="s">
        <v>13</v>
      </c>
      <c r="C2970" s="1">
        <v>45988.254166666673</v>
      </c>
      <c r="D2970" s="1">
        <v>46025.690972222219</v>
      </c>
      <c r="E2970" s="2">
        <f t="shared" si="46"/>
        <v>37.436805555546016</v>
      </c>
    </row>
    <row r="2971" spans="1:5" x14ac:dyDescent="0.25">
      <c r="A2971" t="s">
        <v>8</v>
      </c>
      <c r="B2971" t="s">
        <v>13</v>
      </c>
      <c r="C2971" s="1">
        <v>46004.862500000003</v>
      </c>
      <c r="D2971" s="1">
        <v>46034.067361111112</v>
      </c>
      <c r="E2971" s="2">
        <f t="shared" si="46"/>
        <v>29.204861111109494</v>
      </c>
    </row>
    <row r="2972" spans="1:5" x14ac:dyDescent="0.25">
      <c r="A2972" t="s">
        <v>8</v>
      </c>
      <c r="B2972" t="s">
        <v>13</v>
      </c>
      <c r="C2972" s="1">
        <v>45828.983159722222</v>
      </c>
      <c r="D2972" s="1">
        <v>45862.43472222222</v>
      </c>
      <c r="E2972" s="2">
        <f t="shared" si="46"/>
        <v>33.451562499998545</v>
      </c>
    </row>
    <row r="2973" spans="1:5" x14ac:dyDescent="0.25">
      <c r="A2973" t="s">
        <v>13</v>
      </c>
      <c r="B2973" t="s">
        <v>8</v>
      </c>
      <c r="C2973" s="1">
        <v>46202.470833333333</v>
      </c>
      <c r="D2973" s="1">
        <v>46224.243055555547</v>
      </c>
      <c r="E2973" s="2">
        <f t="shared" si="46"/>
        <v>21.772222222214623</v>
      </c>
    </row>
    <row r="2974" spans="1:5" x14ac:dyDescent="0.25">
      <c r="A2974" t="s">
        <v>15</v>
      </c>
      <c r="B2974" t="s">
        <v>13</v>
      </c>
      <c r="C2974" s="1">
        <v>46086.0625</v>
      </c>
      <c r="D2974" s="1">
        <v>46125.76458333333</v>
      </c>
      <c r="E2974" s="2">
        <f t="shared" si="46"/>
        <v>39.702083333329938</v>
      </c>
    </row>
    <row r="2975" spans="1:5" x14ac:dyDescent="0.25">
      <c r="A2975" t="s">
        <v>46</v>
      </c>
      <c r="B2975" t="s">
        <v>11</v>
      </c>
      <c r="C2975" s="1">
        <v>46130.172222222223</v>
      </c>
      <c r="D2975" s="1">
        <v>46138.18472222222</v>
      </c>
      <c r="E2975" s="2">
        <f t="shared" si="46"/>
        <v>8.0124999999970896</v>
      </c>
    </row>
    <row r="2976" spans="1:5" x14ac:dyDescent="0.25">
      <c r="A2976" t="s">
        <v>15</v>
      </c>
      <c r="B2976" t="s">
        <v>13</v>
      </c>
      <c r="C2976" s="1">
        <v>45919.1</v>
      </c>
      <c r="D2976" s="1">
        <v>45963.020833333343</v>
      </c>
      <c r="E2976" s="2">
        <f t="shared" si="46"/>
        <v>43.92083333334449</v>
      </c>
    </row>
    <row r="2977" spans="1:5" x14ac:dyDescent="0.25">
      <c r="A2977" t="s">
        <v>15</v>
      </c>
      <c r="B2977" t="s">
        <v>13</v>
      </c>
      <c r="C2977" s="1">
        <v>46046.9375</v>
      </c>
      <c r="D2977" s="1">
        <v>46097.254166666673</v>
      </c>
      <c r="E2977" s="2">
        <f t="shared" si="46"/>
        <v>50.316666666672972</v>
      </c>
    </row>
    <row r="2978" spans="1:5" x14ac:dyDescent="0.25">
      <c r="A2978" t="s">
        <v>15</v>
      </c>
      <c r="B2978" t="s">
        <v>38</v>
      </c>
      <c r="C2978" s="1">
        <v>46115.618958333333</v>
      </c>
      <c r="D2978" s="1">
        <v>46160.418055555558</v>
      </c>
      <c r="E2978" s="2">
        <f t="shared" si="46"/>
        <v>44.7990972222251</v>
      </c>
    </row>
    <row r="2979" spans="1:5" x14ac:dyDescent="0.25">
      <c r="A2979" t="s">
        <v>15</v>
      </c>
      <c r="B2979" t="s">
        <v>18</v>
      </c>
      <c r="C2979" s="1">
        <v>46232.938194444447</v>
      </c>
      <c r="D2979" s="1">
        <v>46269.724999999999</v>
      </c>
      <c r="E2979" s="2">
        <f t="shared" si="46"/>
        <v>36.786805555551837</v>
      </c>
    </row>
    <row r="2980" spans="1:5" x14ac:dyDescent="0.25">
      <c r="A2980" t="s">
        <v>10</v>
      </c>
      <c r="B2980" t="s">
        <v>11</v>
      </c>
      <c r="C2980" s="1">
        <v>46076.787499999999</v>
      </c>
      <c r="D2980" s="1">
        <v>46106.112500000003</v>
      </c>
      <c r="E2980" s="2">
        <f t="shared" si="46"/>
        <v>29.325000000004366</v>
      </c>
    </row>
    <row r="2981" spans="1:5" x14ac:dyDescent="0.25">
      <c r="A2981" t="s">
        <v>15</v>
      </c>
      <c r="B2981" t="s">
        <v>13</v>
      </c>
      <c r="C2981" s="1">
        <v>45926.76666666667</v>
      </c>
      <c r="D2981" s="1">
        <v>45970.866666666669</v>
      </c>
      <c r="E2981" s="2">
        <f t="shared" si="46"/>
        <v>44.099999999998545</v>
      </c>
    </row>
    <row r="2982" spans="1:5" x14ac:dyDescent="0.25">
      <c r="A2982" t="s">
        <v>60</v>
      </c>
      <c r="B2982" t="s">
        <v>13</v>
      </c>
      <c r="C2982" s="1">
        <v>45964.791666666657</v>
      </c>
      <c r="D2982" s="1">
        <v>46006.436111111107</v>
      </c>
      <c r="E2982" s="2">
        <f t="shared" si="46"/>
        <v>41.644444444449618</v>
      </c>
    </row>
    <row r="2983" spans="1:5" x14ac:dyDescent="0.25">
      <c r="A2983" t="s">
        <v>12</v>
      </c>
      <c r="B2983" t="s">
        <v>13</v>
      </c>
      <c r="C2983" s="1">
        <v>46164.898611111108</v>
      </c>
      <c r="D2983" s="1">
        <v>46216.136111111111</v>
      </c>
      <c r="E2983" s="2">
        <f t="shared" si="46"/>
        <v>51.23750000000291</v>
      </c>
    </row>
    <row r="2984" spans="1:5" x14ac:dyDescent="0.25">
      <c r="A2984" t="s">
        <v>15</v>
      </c>
      <c r="B2984" t="s">
        <v>13</v>
      </c>
      <c r="C2984" s="1">
        <v>45959.658333333333</v>
      </c>
      <c r="D2984" s="1">
        <v>45998.316666666673</v>
      </c>
      <c r="E2984" s="2">
        <f t="shared" si="46"/>
        <v>38.658333333340124</v>
      </c>
    </row>
    <row r="2985" spans="1:5" x14ac:dyDescent="0.25">
      <c r="A2985" t="s">
        <v>35</v>
      </c>
      <c r="B2985" t="s">
        <v>51</v>
      </c>
      <c r="C2985" s="1">
        <v>46199.737233796302</v>
      </c>
      <c r="D2985" s="1">
        <v>46244.708333333343</v>
      </c>
      <c r="E2985" s="2">
        <f t="shared" si="46"/>
        <v>44.971099537040573</v>
      </c>
    </row>
    <row r="2986" spans="1:5" x14ac:dyDescent="0.25">
      <c r="A2986" t="s">
        <v>15</v>
      </c>
      <c r="B2986" t="s">
        <v>38</v>
      </c>
      <c r="C2986" s="1">
        <v>46130.340416666673</v>
      </c>
      <c r="D2986" s="1">
        <v>46174.655555555553</v>
      </c>
      <c r="E2986" s="2">
        <f t="shared" si="46"/>
        <v>44.315138888880028</v>
      </c>
    </row>
    <row r="2987" spans="1:5" x14ac:dyDescent="0.25">
      <c r="A2987" t="s">
        <v>13</v>
      </c>
      <c r="B2987" t="s">
        <v>8</v>
      </c>
      <c r="C2987" s="1">
        <v>46202.470833333333</v>
      </c>
      <c r="D2987" s="1">
        <v>46224.243055555547</v>
      </c>
      <c r="E2987" s="2">
        <f t="shared" si="46"/>
        <v>21.772222222214623</v>
      </c>
    </row>
    <row r="2988" spans="1:5" x14ac:dyDescent="0.25">
      <c r="A2988" t="s">
        <v>12</v>
      </c>
      <c r="B2988" t="s">
        <v>13</v>
      </c>
      <c r="C2988" s="1">
        <v>46159.524513888893</v>
      </c>
      <c r="D2988" s="1">
        <v>46208.722222222219</v>
      </c>
      <c r="E2988" s="2">
        <f t="shared" si="46"/>
        <v>49.197708333325863</v>
      </c>
    </row>
    <row r="2989" spans="1:5" x14ac:dyDescent="0.25">
      <c r="A2989" t="s">
        <v>13</v>
      </c>
      <c r="B2989" t="s">
        <v>8</v>
      </c>
      <c r="C2989" s="1">
        <v>46241.037499999999</v>
      </c>
      <c r="D2989" s="1">
        <v>46260.691666666673</v>
      </c>
      <c r="E2989" s="2">
        <f t="shared" si="46"/>
        <v>19.654166666674428</v>
      </c>
    </row>
    <row r="2990" spans="1:5" x14ac:dyDescent="0.25">
      <c r="A2990" t="s">
        <v>15</v>
      </c>
      <c r="B2990" t="s">
        <v>38</v>
      </c>
      <c r="C2990" s="1">
        <v>46164.476388888892</v>
      </c>
      <c r="D2990" s="1">
        <v>46213.482638888891</v>
      </c>
      <c r="E2990" s="2">
        <f t="shared" si="46"/>
        <v>49.006249999998545</v>
      </c>
    </row>
    <row r="2991" spans="1:5" x14ac:dyDescent="0.25">
      <c r="A2991" t="s">
        <v>15</v>
      </c>
      <c r="B2991" t="s">
        <v>13</v>
      </c>
      <c r="C2991" s="1">
        <v>46192.579826388886</v>
      </c>
      <c r="D2991" s="1">
        <v>46230.048611111109</v>
      </c>
      <c r="E2991" s="2">
        <f t="shared" si="46"/>
        <v>37.468784722223063</v>
      </c>
    </row>
    <row r="2992" spans="1:5" x14ac:dyDescent="0.25">
      <c r="A2992" t="s">
        <v>15</v>
      </c>
      <c r="B2992" t="s">
        <v>13</v>
      </c>
      <c r="C2992" s="1">
        <v>46192.579826388886</v>
      </c>
      <c r="D2992" s="1">
        <v>46230.048611111109</v>
      </c>
      <c r="E2992" s="2">
        <f t="shared" si="46"/>
        <v>37.468784722223063</v>
      </c>
    </row>
    <row r="2993" spans="1:5" x14ac:dyDescent="0.25">
      <c r="A2993" t="s">
        <v>15</v>
      </c>
      <c r="B2993" t="s">
        <v>13</v>
      </c>
      <c r="C2993" s="1">
        <v>46177.465486111112</v>
      </c>
      <c r="D2993" s="1">
        <v>46216.136111111111</v>
      </c>
      <c r="E2993" s="2">
        <f t="shared" si="46"/>
        <v>38.670624999998836</v>
      </c>
    </row>
    <row r="2994" spans="1:5" x14ac:dyDescent="0.25">
      <c r="A2994" t="s">
        <v>42</v>
      </c>
      <c r="B2994" t="s">
        <v>19</v>
      </c>
      <c r="C2994" s="1">
        <v>45919.007893518523</v>
      </c>
      <c r="D2994" s="1">
        <v>45959.587500000001</v>
      </c>
      <c r="E2994" s="2">
        <f t="shared" si="46"/>
        <v>40.57960648147855</v>
      </c>
    </row>
    <row r="2995" spans="1:5" x14ac:dyDescent="0.25">
      <c r="A2995" t="s">
        <v>42</v>
      </c>
      <c r="B2995" t="s">
        <v>19</v>
      </c>
      <c r="C2995" s="1">
        <v>45919.007893518523</v>
      </c>
      <c r="D2995" s="1">
        <v>45959.587500000001</v>
      </c>
      <c r="E2995" s="2">
        <f t="shared" si="46"/>
        <v>40.57960648147855</v>
      </c>
    </row>
    <row r="2996" spans="1:5" x14ac:dyDescent="0.25">
      <c r="A2996" t="s">
        <v>13</v>
      </c>
      <c r="B2996" t="s">
        <v>8</v>
      </c>
      <c r="C2996" s="1">
        <v>46260.056261574071</v>
      </c>
      <c r="D2996" s="1">
        <v>46282.479166666657</v>
      </c>
      <c r="E2996" s="2">
        <f t="shared" si="46"/>
        <v>22.422905092586007</v>
      </c>
    </row>
    <row r="2997" spans="1:5" x14ac:dyDescent="0.25">
      <c r="A2997" t="s">
        <v>15</v>
      </c>
      <c r="B2997" t="s">
        <v>13</v>
      </c>
      <c r="C2997" s="1">
        <v>46177.45416666667</v>
      </c>
      <c r="D2997" s="1">
        <v>46216.136111111111</v>
      </c>
      <c r="E2997" s="2">
        <f t="shared" si="46"/>
        <v>38.681944444440887</v>
      </c>
    </row>
    <row r="2998" spans="1:5" x14ac:dyDescent="0.25">
      <c r="A2998" t="s">
        <v>13</v>
      </c>
      <c r="B2998" t="s">
        <v>8</v>
      </c>
      <c r="C2998" s="1">
        <v>46260.05568287037</v>
      </c>
      <c r="D2998" s="1">
        <v>46282.479166666657</v>
      </c>
      <c r="E2998" s="2">
        <f t="shared" si="46"/>
        <v>22.423483796286746</v>
      </c>
    </row>
    <row r="2999" spans="1:5" x14ac:dyDescent="0.25">
      <c r="A2999" t="s">
        <v>34</v>
      </c>
      <c r="B2999" t="s">
        <v>8</v>
      </c>
      <c r="C2999" s="1">
        <v>45790.270833333343</v>
      </c>
      <c r="D2999" s="1">
        <v>45819</v>
      </c>
      <c r="E2999" s="2">
        <f t="shared" si="46"/>
        <v>28.729166666656965</v>
      </c>
    </row>
    <row r="3000" spans="1:5" x14ac:dyDescent="0.25">
      <c r="A3000" t="s">
        <v>22</v>
      </c>
      <c r="B3000" t="s">
        <v>51</v>
      </c>
      <c r="C3000" s="1">
        <v>46097.521527777782</v>
      </c>
      <c r="D3000" s="1">
        <v>46153.469444444447</v>
      </c>
      <c r="E3000" s="2">
        <f t="shared" si="46"/>
        <v>55.947916666664241</v>
      </c>
    </row>
    <row r="3001" spans="1:5" x14ac:dyDescent="0.25">
      <c r="A3001" t="s">
        <v>8</v>
      </c>
      <c r="B3001" t="s">
        <v>18</v>
      </c>
      <c r="C3001" s="1">
        <v>46108.068055555559</v>
      </c>
      <c r="D3001" s="1">
        <v>46135.934027777781</v>
      </c>
      <c r="E3001" s="2">
        <f t="shared" si="46"/>
        <v>27.865972222221899</v>
      </c>
    </row>
    <row r="3002" spans="1:5" x14ac:dyDescent="0.25">
      <c r="A3002" t="s">
        <v>34</v>
      </c>
      <c r="B3002" t="s">
        <v>8</v>
      </c>
      <c r="C3002" s="1">
        <v>46183.6</v>
      </c>
      <c r="D3002" s="1">
        <v>46211.615972222222</v>
      </c>
      <c r="E3002" s="2">
        <f t="shared" si="46"/>
        <v>28.015972222223354</v>
      </c>
    </row>
    <row r="3003" spans="1:5" x14ac:dyDescent="0.25">
      <c r="A3003" t="s">
        <v>22</v>
      </c>
      <c r="B3003" t="s">
        <v>19</v>
      </c>
      <c r="C3003" s="1">
        <v>45865.990277777782</v>
      </c>
      <c r="D3003" s="1">
        <v>45920.620833333327</v>
      </c>
      <c r="E3003" s="2">
        <f t="shared" si="46"/>
        <v>54.630555555544561</v>
      </c>
    </row>
    <row r="3004" spans="1:5" x14ac:dyDescent="0.25">
      <c r="A3004" t="s">
        <v>8</v>
      </c>
      <c r="B3004" t="s">
        <v>44</v>
      </c>
      <c r="C3004" s="1">
        <v>45716.915972222218</v>
      </c>
      <c r="D3004" s="1">
        <v>45751.784722222219</v>
      </c>
      <c r="E3004" s="2">
        <f t="shared" si="46"/>
        <v>34.868750000001455</v>
      </c>
    </row>
    <row r="3005" spans="1:5" x14ac:dyDescent="0.25">
      <c r="A3005" t="s">
        <v>22</v>
      </c>
      <c r="B3005" t="s">
        <v>19</v>
      </c>
      <c r="C3005" s="1">
        <v>45844.217361111107</v>
      </c>
      <c r="D3005" s="1">
        <v>45897.883333333331</v>
      </c>
      <c r="E3005" s="2">
        <f t="shared" si="46"/>
        <v>53.665972222224809</v>
      </c>
    </row>
    <row r="3006" spans="1:5" x14ac:dyDescent="0.25">
      <c r="A3006" t="s">
        <v>22</v>
      </c>
      <c r="B3006" t="s">
        <v>51</v>
      </c>
      <c r="C3006" s="1">
        <v>46205.704861111109</v>
      </c>
      <c r="D3006" s="1">
        <v>46263.675000000003</v>
      </c>
      <c r="E3006" s="2">
        <f t="shared" si="46"/>
        <v>57.970138888893416</v>
      </c>
    </row>
    <row r="3007" spans="1:5" x14ac:dyDescent="0.25">
      <c r="A3007" t="s">
        <v>34</v>
      </c>
      <c r="B3007" t="s">
        <v>8</v>
      </c>
      <c r="C3007" s="1">
        <v>45916.521527777782</v>
      </c>
      <c r="D3007" s="1">
        <v>45947.013888888891</v>
      </c>
      <c r="E3007" s="2">
        <f t="shared" si="46"/>
        <v>30.492361111108039</v>
      </c>
    </row>
    <row r="3008" spans="1:5" x14ac:dyDescent="0.25">
      <c r="A3008" t="s">
        <v>8</v>
      </c>
      <c r="B3008" t="s">
        <v>18</v>
      </c>
      <c r="C3008" s="1">
        <v>45898.745138888888</v>
      </c>
      <c r="D3008" s="1">
        <v>45933.436805555553</v>
      </c>
      <c r="E3008" s="2">
        <f t="shared" si="46"/>
        <v>34.691666666665697</v>
      </c>
    </row>
    <row r="3009" spans="1:5" x14ac:dyDescent="0.25">
      <c r="A3009" t="s">
        <v>22</v>
      </c>
      <c r="B3009" t="s">
        <v>51</v>
      </c>
      <c r="C3009" s="1">
        <v>45754.15625</v>
      </c>
      <c r="D3009" s="1">
        <v>45811</v>
      </c>
      <c r="E3009" s="2">
        <f t="shared" si="46"/>
        <v>56.84375</v>
      </c>
    </row>
    <row r="3010" spans="1:5" x14ac:dyDescent="0.25">
      <c r="A3010" t="s">
        <v>8</v>
      </c>
      <c r="B3010" t="s">
        <v>18</v>
      </c>
      <c r="C3010" s="1">
        <v>46122.729861111111</v>
      </c>
      <c r="D3010" s="1">
        <v>46149.688888888893</v>
      </c>
      <c r="E3010" s="2">
        <f t="shared" ref="E3010:E3073" si="47">D3010-C3010</f>
        <v>26.959027777782467</v>
      </c>
    </row>
    <row r="3011" spans="1:5" x14ac:dyDescent="0.25">
      <c r="A3011" t="s">
        <v>6</v>
      </c>
      <c r="B3011" t="s">
        <v>8</v>
      </c>
      <c r="C3011" s="1">
        <v>45948.252083333333</v>
      </c>
      <c r="D3011" s="1">
        <v>45985.127083333333</v>
      </c>
      <c r="E3011" s="2">
        <f t="shared" si="47"/>
        <v>36.875</v>
      </c>
    </row>
    <row r="3012" spans="1:5" x14ac:dyDescent="0.25">
      <c r="A3012" t="s">
        <v>22</v>
      </c>
      <c r="B3012" t="s">
        <v>19</v>
      </c>
      <c r="C3012" s="1">
        <v>45790.489583333343</v>
      </c>
      <c r="D3012" s="1">
        <v>45839.894444444442</v>
      </c>
      <c r="E3012" s="2">
        <f t="shared" si="47"/>
        <v>49.404861111099308</v>
      </c>
    </row>
    <row r="3013" spans="1:5" x14ac:dyDescent="0.25">
      <c r="A3013" t="s">
        <v>22</v>
      </c>
      <c r="B3013" t="s">
        <v>19</v>
      </c>
      <c r="C3013" s="1">
        <v>45803.65625</v>
      </c>
      <c r="D3013" s="1">
        <v>45854.040972222218</v>
      </c>
      <c r="E3013" s="2">
        <f t="shared" si="47"/>
        <v>50.384722222217533</v>
      </c>
    </row>
    <row r="3014" spans="1:5" x14ac:dyDescent="0.25">
      <c r="A3014" t="s">
        <v>8</v>
      </c>
      <c r="B3014" t="s">
        <v>44</v>
      </c>
      <c r="C3014" s="1">
        <v>45814.03125</v>
      </c>
      <c r="D3014" s="1">
        <v>45852.310416666667</v>
      </c>
      <c r="E3014" s="2">
        <f t="shared" si="47"/>
        <v>38.279166666667152</v>
      </c>
    </row>
    <row r="3015" spans="1:5" x14ac:dyDescent="0.25">
      <c r="A3015" t="s">
        <v>22</v>
      </c>
      <c r="B3015" t="s">
        <v>19</v>
      </c>
      <c r="C3015" s="1">
        <v>45883.51458333333</v>
      </c>
      <c r="D3015" s="1">
        <v>45944.42291666667</v>
      </c>
      <c r="E3015" s="2">
        <f t="shared" si="47"/>
        <v>60.908333333340124</v>
      </c>
    </row>
    <row r="3016" spans="1:5" x14ac:dyDescent="0.25">
      <c r="A3016" t="s">
        <v>8</v>
      </c>
      <c r="B3016" t="s">
        <v>18</v>
      </c>
      <c r="C3016" s="1">
        <v>46108.068055555559</v>
      </c>
      <c r="D3016" s="1">
        <v>46135.934027777781</v>
      </c>
      <c r="E3016" s="2">
        <f t="shared" si="47"/>
        <v>27.865972222221899</v>
      </c>
    </row>
    <row r="3017" spans="1:5" x14ac:dyDescent="0.25">
      <c r="A3017" t="s">
        <v>6</v>
      </c>
      <c r="B3017" t="s">
        <v>8</v>
      </c>
      <c r="C3017" s="1">
        <v>45987.333333333343</v>
      </c>
      <c r="D3017" s="1">
        <v>46034.272916666669</v>
      </c>
      <c r="E3017" s="2">
        <f t="shared" si="47"/>
        <v>46.939583333325572</v>
      </c>
    </row>
    <row r="3018" spans="1:5" x14ac:dyDescent="0.25">
      <c r="A3018" t="s">
        <v>22</v>
      </c>
      <c r="B3018" t="s">
        <v>19</v>
      </c>
      <c r="C3018" s="1">
        <v>45898.765972222223</v>
      </c>
      <c r="D3018" s="1">
        <v>45954.644444444442</v>
      </c>
      <c r="E3018" s="2">
        <f t="shared" si="47"/>
        <v>55.878472222218988</v>
      </c>
    </row>
    <row r="3019" spans="1:5" x14ac:dyDescent="0.25">
      <c r="A3019" t="s">
        <v>22</v>
      </c>
      <c r="B3019" t="s">
        <v>19</v>
      </c>
      <c r="C3019" s="1">
        <v>45908.133333333331</v>
      </c>
      <c r="D3019" s="1">
        <v>45968.824305555558</v>
      </c>
      <c r="E3019" s="2">
        <f t="shared" si="47"/>
        <v>60.690972222226264</v>
      </c>
    </row>
    <row r="3020" spans="1:5" x14ac:dyDescent="0.25">
      <c r="A3020" t="s">
        <v>8</v>
      </c>
      <c r="B3020" t="s">
        <v>18</v>
      </c>
      <c r="C3020" s="1">
        <v>46080.052083333343</v>
      </c>
      <c r="D3020" s="1">
        <v>46120.261805555558</v>
      </c>
      <c r="E3020" s="2">
        <f t="shared" si="47"/>
        <v>40.209722222214623</v>
      </c>
    </row>
    <row r="3021" spans="1:5" x14ac:dyDescent="0.25">
      <c r="A3021" t="s">
        <v>22</v>
      </c>
      <c r="B3021" t="s">
        <v>19</v>
      </c>
      <c r="C3021" s="1">
        <v>45873.851388888892</v>
      </c>
      <c r="D3021" s="1">
        <v>45931.597916666673</v>
      </c>
      <c r="E3021" s="2">
        <f t="shared" si="47"/>
        <v>57.746527777781012</v>
      </c>
    </row>
    <row r="3022" spans="1:5" x14ac:dyDescent="0.25">
      <c r="A3022" t="s">
        <v>8</v>
      </c>
      <c r="B3022" t="s">
        <v>18</v>
      </c>
      <c r="C3022" s="1">
        <v>46101.188194444447</v>
      </c>
      <c r="D3022" s="1">
        <v>46129.805555555547</v>
      </c>
      <c r="E3022" s="2">
        <f t="shared" si="47"/>
        <v>28.617361111100763</v>
      </c>
    </row>
    <row r="3023" spans="1:5" x14ac:dyDescent="0.25">
      <c r="A3023" t="s">
        <v>22</v>
      </c>
      <c r="B3023" t="s">
        <v>51</v>
      </c>
      <c r="C3023" s="1">
        <v>45665.041666666657</v>
      </c>
      <c r="D3023" s="1">
        <v>45711</v>
      </c>
      <c r="E3023" s="2">
        <f t="shared" si="47"/>
        <v>45.958333333343035</v>
      </c>
    </row>
    <row r="3024" spans="1:5" x14ac:dyDescent="0.25">
      <c r="A3024" t="s">
        <v>6</v>
      </c>
      <c r="B3024" t="s">
        <v>8</v>
      </c>
      <c r="C3024" s="1">
        <v>45811.428472222222</v>
      </c>
      <c r="D3024" s="1">
        <v>45854.631944444453</v>
      </c>
      <c r="E3024" s="2">
        <f t="shared" si="47"/>
        <v>43.20347222223063</v>
      </c>
    </row>
    <row r="3025" spans="1:5" x14ac:dyDescent="0.25">
      <c r="A3025" t="s">
        <v>22</v>
      </c>
      <c r="B3025" t="s">
        <v>19</v>
      </c>
      <c r="C3025" s="1">
        <v>45817.678472222222</v>
      </c>
      <c r="D3025" s="1">
        <v>45869.829861111109</v>
      </c>
      <c r="E3025" s="2">
        <f t="shared" si="47"/>
        <v>52.151388888887595</v>
      </c>
    </row>
    <row r="3026" spans="1:5" x14ac:dyDescent="0.25">
      <c r="A3026" t="s">
        <v>19</v>
      </c>
      <c r="B3026" t="s">
        <v>54</v>
      </c>
      <c r="C3026" s="1">
        <v>46142.989583333343</v>
      </c>
      <c r="D3026" s="1">
        <v>46185.07916666667</v>
      </c>
      <c r="E3026" s="2">
        <f t="shared" si="47"/>
        <v>42.089583333327028</v>
      </c>
    </row>
    <row r="3027" spans="1:5" x14ac:dyDescent="0.25">
      <c r="A3027" t="s">
        <v>6</v>
      </c>
      <c r="B3027" t="s">
        <v>8</v>
      </c>
      <c r="C3027" s="1">
        <v>46091.99722222222</v>
      </c>
      <c r="D3027" s="1">
        <v>46139.593055555553</v>
      </c>
      <c r="E3027" s="2">
        <f t="shared" si="47"/>
        <v>47.595833333332848</v>
      </c>
    </row>
    <row r="3028" spans="1:5" x14ac:dyDescent="0.25">
      <c r="A3028" t="s">
        <v>14</v>
      </c>
      <c r="B3028" t="s">
        <v>22</v>
      </c>
      <c r="C3028" s="1">
        <v>45760.90625</v>
      </c>
      <c r="D3028" s="1">
        <v>45808.809548611112</v>
      </c>
      <c r="E3028" s="2">
        <f t="shared" si="47"/>
        <v>47.903298611112405</v>
      </c>
    </row>
    <row r="3029" spans="1:5" x14ac:dyDescent="0.25">
      <c r="A3029" t="s">
        <v>22</v>
      </c>
      <c r="B3029" t="s">
        <v>51</v>
      </c>
      <c r="C3029" s="1">
        <v>45883.51458333333</v>
      </c>
      <c r="D3029" s="1">
        <v>45940.92291666667</v>
      </c>
      <c r="E3029" s="2">
        <f t="shared" si="47"/>
        <v>57.408333333340124</v>
      </c>
    </row>
    <row r="3030" spans="1:5" x14ac:dyDescent="0.25">
      <c r="A3030" t="s">
        <v>22</v>
      </c>
      <c r="B3030" t="s">
        <v>19</v>
      </c>
      <c r="C3030" s="1">
        <v>45852.130555555559</v>
      </c>
      <c r="D3030" s="1">
        <v>45909.9375</v>
      </c>
      <c r="E3030" s="2">
        <f t="shared" si="47"/>
        <v>57.806944444440887</v>
      </c>
    </row>
    <row r="3031" spans="1:5" x14ac:dyDescent="0.25">
      <c r="A3031" t="s">
        <v>22</v>
      </c>
      <c r="B3031" t="s">
        <v>19</v>
      </c>
      <c r="C3031" s="1">
        <v>45984.224305555559</v>
      </c>
      <c r="D3031" s="1">
        <v>46038.279861111107</v>
      </c>
      <c r="E3031" s="2">
        <f t="shared" si="47"/>
        <v>54.055555555547471</v>
      </c>
    </row>
    <row r="3032" spans="1:5" x14ac:dyDescent="0.25">
      <c r="A3032" t="s">
        <v>22</v>
      </c>
      <c r="B3032" t="s">
        <v>51</v>
      </c>
      <c r="C3032" s="1">
        <v>45957.61041666667</v>
      </c>
      <c r="D3032" s="1">
        <v>46010.878472222219</v>
      </c>
      <c r="E3032" s="2">
        <f t="shared" si="47"/>
        <v>53.268055555548926</v>
      </c>
    </row>
    <row r="3033" spans="1:5" x14ac:dyDescent="0.25">
      <c r="A3033" t="s">
        <v>6</v>
      </c>
      <c r="B3033" t="s">
        <v>8</v>
      </c>
      <c r="C3033" s="1">
        <v>45859.069444444453</v>
      </c>
      <c r="D3033" s="1">
        <v>45895.902083333327</v>
      </c>
      <c r="E3033" s="2">
        <f t="shared" si="47"/>
        <v>36.832638888874499</v>
      </c>
    </row>
    <row r="3034" spans="1:5" x14ac:dyDescent="0.25">
      <c r="A3034" t="s">
        <v>22</v>
      </c>
      <c r="B3034" t="s">
        <v>51</v>
      </c>
      <c r="C3034" s="1">
        <v>45873.851388888892</v>
      </c>
      <c r="D3034" s="1">
        <v>45931.1875</v>
      </c>
      <c r="E3034" s="2">
        <f t="shared" si="47"/>
        <v>57.336111111108039</v>
      </c>
    </row>
    <row r="3035" spans="1:5" x14ac:dyDescent="0.25">
      <c r="A3035" t="s">
        <v>7</v>
      </c>
      <c r="B3035" t="s">
        <v>25</v>
      </c>
      <c r="C3035" s="1">
        <v>46182.188587962963</v>
      </c>
      <c r="D3035" s="1">
        <v>46253.418749999997</v>
      </c>
      <c r="E3035" s="2">
        <f t="shared" si="47"/>
        <v>71.230162037034461</v>
      </c>
    </row>
    <row r="3036" spans="1:5" x14ac:dyDescent="0.25">
      <c r="A3036" t="s">
        <v>22</v>
      </c>
      <c r="B3036" t="s">
        <v>19</v>
      </c>
      <c r="C3036" s="1">
        <v>45844.217361111107</v>
      </c>
      <c r="D3036" s="1">
        <v>45897.883333333331</v>
      </c>
      <c r="E3036" s="2">
        <f t="shared" si="47"/>
        <v>53.665972222224809</v>
      </c>
    </row>
    <row r="3037" spans="1:5" x14ac:dyDescent="0.25">
      <c r="A3037" t="s">
        <v>45</v>
      </c>
      <c r="B3037" t="s">
        <v>19</v>
      </c>
      <c r="C3037" s="1">
        <v>46041.717361111107</v>
      </c>
      <c r="D3037" s="1">
        <v>46082.257638888892</v>
      </c>
      <c r="E3037" s="2">
        <f t="shared" si="47"/>
        <v>40.540277777785377</v>
      </c>
    </row>
    <row r="3038" spans="1:5" x14ac:dyDescent="0.25">
      <c r="A3038" t="s">
        <v>7</v>
      </c>
      <c r="B3038" t="s">
        <v>25</v>
      </c>
      <c r="C3038" s="1">
        <v>46189.305162037039</v>
      </c>
      <c r="D3038" s="1">
        <v>46253.418749999997</v>
      </c>
      <c r="E3038" s="2">
        <f t="shared" si="47"/>
        <v>64.113587962958263</v>
      </c>
    </row>
    <row r="3039" spans="1:5" x14ac:dyDescent="0.25">
      <c r="A3039" t="s">
        <v>6</v>
      </c>
      <c r="B3039" t="s">
        <v>8</v>
      </c>
      <c r="C3039" s="1">
        <v>46008.304166666669</v>
      </c>
      <c r="D3039" s="1">
        <v>46048.317361111112</v>
      </c>
      <c r="E3039" s="2">
        <f t="shared" si="47"/>
        <v>40.013194444443798</v>
      </c>
    </row>
    <row r="3040" spans="1:5" x14ac:dyDescent="0.25">
      <c r="A3040" t="s">
        <v>22</v>
      </c>
      <c r="B3040" t="s">
        <v>19</v>
      </c>
      <c r="C3040" s="1">
        <v>45823.977083333331</v>
      </c>
      <c r="D3040" s="1">
        <v>45875.595138888893</v>
      </c>
      <c r="E3040" s="2">
        <f t="shared" si="47"/>
        <v>51.618055555562023</v>
      </c>
    </row>
    <row r="3041" spans="1:5" x14ac:dyDescent="0.25">
      <c r="A3041" t="s">
        <v>22</v>
      </c>
      <c r="B3041" t="s">
        <v>51</v>
      </c>
      <c r="C3041" s="1">
        <v>45831.472916666673</v>
      </c>
      <c r="D3041" s="1">
        <v>45882.65347222222</v>
      </c>
      <c r="E3041" s="2">
        <f t="shared" si="47"/>
        <v>51.180555555547471</v>
      </c>
    </row>
    <row r="3042" spans="1:5" x14ac:dyDescent="0.25">
      <c r="A3042" t="s">
        <v>19</v>
      </c>
      <c r="B3042" t="s">
        <v>8</v>
      </c>
      <c r="C3042" s="1">
        <v>46178.535416666673</v>
      </c>
      <c r="D3042" s="1">
        <v>46201.631249999999</v>
      </c>
      <c r="E3042" s="2">
        <f t="shared" si="47"/>
        <v>23.095833333325572</v>
      </c>
    </row>
    <row r="3043" spans="1:5" x14ac:dyDescent="0.25">
      <c r="A3043" t="s">
        <v>22</v>
      </c>
      <c r="B3043" t="s">
        <v>51</v>
      </c>
      <c r="C3043" s="1">
        <v>46124.74722222222</v>
      </c>
      <c r="D3043" s="1">
        <v>46186.743750000001</v>
      </c>
      <c r="E3043" s="2">
        <f t="shared" si="47"/>
        <v>61.996527777781012</v>
      </c>
    </row>
    <row r="3044" spans="1:5" x14ac:dyDescent="0.25">
      <c r="A3044" t="s">
        <v>12</v>
      </c>
      <c r="B3044" t="s">
        <v>18</v>
      </c>
      <c r="C3044" s="1">
        <v>46184.716666666667</v>
      </c>
      <c r="D3044" s="1">
        <v>46229.455555555563</v>
      </c>
      <c r="E3044" s="2">
        <f t="shared" si="47"/>
        <v>44.738888888896327</v>
      </c>
    </row>
    <row r="3045" spans="1:5" x14ac:dyDescent="0.25">
      <c r="A3045" t="s">
        <v>5</v>
      </c>
      <c r="B3045" t="s">
        <v>55</v>
      </c>
      <c r="C3045" s="1">
        <v>45671.134722222218</v>
      </c>
      <c r="D3045" s="1">
        <v>45698.391747685193</v>
      </c>
      <c r="E3045" s="2">
        <f t="shared" si="47"/>
        <v>27.257025462975434</v>
      </c>
    </row>
    <row r="3046" spans="1:5" x14ac:dyDescent="0.25">
      <c r="A3046" t="s">
        <v>12</v>
      </c>
      <c r="B3046" t="s">
        <v>18</v>
      </c>
      <c r="C3046" s="1">
        <v>46236.319085648152</v>
      </c>
      <c r="D3046" s="1">
        <v>46279.172222222223</v>
      </c>
      <c r="E3046" s="2">
        <f t="shared" si="47"/>
        <v>42.853136574070959</v>
      </c>
    </row>
    <row r="3047" spans="1:5" x14ac:dyDescent="0.25">
      <c r="A3047" t="s">
        <v>12</v>
      </c>
      <c r="B3047" t="s">
        <v>18</v>
      </c>
      <c r="C3047" s="1">
        <v>46236.319085648152</v>
      </c>
      <c r="D3047" s="1">
        <v>46279.172222222223</v>
      </c>
      <c r="E3047" s="2">
        <f t="shared" si="47"/>
        <v>42.853136574070959</v>
      </c>
    </row>
    <row r="3048" spans="1:5" x14ac:dyDescent="0.25">
      <c r="A3048" t="s">
        <v>5</v>
      </c>
      <c r="B3048" t="s">
        <v>8</v>
      </c>
      <c r="C3048" s="1">
        <v>45695.8125</v>
      </c>
      <c r="D3048" s="1">
        <v>45724.874305555553</v>
      </c>
      <c r="E3048" s="2">
        <f t="shared" si="47"/>
        <v>29.061805555553292</v>
      </c>
    </row>
    <row r="3049" spans="1:5" x14ac:dyDescent="0.25">
      <c r="A3049" t="s">
        <v>5</v>
      </c>
      <c r="B3049" t="s">
        <v>8</v>
      </c>
      <c r="C3049" s="1">
        <v>45731.86041666667</v>
      </c>
      <c r="D3049" s="1">
        <v>45761.418541666673</v>
      </c>
      <c r="E3049" s="2">
        <f t="shared" si="47"/>
        <v>29.558125000003201</v>
      </c>
    </row>
    <row r="3050" spans="1:5" x14ac:dyDescent="0.25">
      <c r="A3050" t="s">
        <v>5</v>
      </c>
      <c r="B3050" t="s">
        <v>8</v>
      </c>
      <c r="C3050" s="1">
        <v>45674.279166666667</v>
      </c>
      <c r="D3050" s="1">
        <v>45702.654166666667</v>
      </c>
      <c r="E3050" s="2">
        <f t="shared" si="47"/>
        <v>28.375</v>
      </c>
    </row>
    <row r="3051" spans="1:5" x14ac:dyDescent="0.25">
      <c r="A3051" t="s">
        <v>5</v>
      </c>
      <c r="B3051" t="s">
        <v>55</v>
      </c>
      <c r="C3051" s="1">
        <v>45681.773611111108</v>
      </c>
      <c r="D3051" s="1">
        <v>45713.216666666667</v>
      </c>
      <c r="E3051" s="2">
        <f t="shared" si="47"/>
        <v>31.443055555559113</v>
      </c>
    </row>
    <row r="3052" spans="1:5" x14ac:dyDescent="0.25">
      <c r="A3052" t="s">
        <v>14</v>
      </c>
      <c r="B3052" t="s">
        <v>34</v>
      </c>
      <c r="C3052" s="1">
        <v>45787.665972222218</v>
      </c>
      <c r="D3052" s="1">
        <v>45815.629166666673</v>
      </c>
      <c r="E3052" s="2">
        <f t="shared" si="47"/>
        <v>27.963194444455439</v>
      </c>
    </row>
    <row r="3053" spans="1:5" x14ac:dyDescent="0.25">
      <c r="A3053" t="s">
        <v>15</v>
      </c>
      <c r="B3053" t="s">
        <v>13</v>
      </c>
      <c r="C3053" s="1">
        <v>45891.537199074082</v>
      </c>
      <c r="D3053" s="1">
        <v>45928.04791666667</v>
      </c>
      <c r="E3053" s="2">
        <f t="shared" si="47"/>
        <v>36.510717592587753</v>
      </c>
    </row>
    <row r="3054" spans="1:5" x14ac:dyDescent="0.25">
      <c r="A3054" t="s">
        <v>10</v>
      </c>
      <c r="B3054" t="s">
        <v>11</v>
      </c>
      <c r="C3054" s="1">
        <v>46020.191666666673</v>
      </c>
      <c r="D3054" s="1">
        <v>46049.9375</v>
      </c>
      <c r="E3054" s="2">
        <f t="shared" si="47"/>
        <v>29.745833333327028</v>
      </c>
    </row>
    <row r="3055" spans="1:5" x14ac:dyDescent="0.25">
      <c r="A3055" t="s">
        <v>22</v>
      </c>
      <c r="B3055" t="s">
        <v>19</v>
      </c>
      <c r="C3055" s="1">
        <v>45679.163194444453</v>
      </c>
      <c r="D3055" s="1">
        <v>45755.54792824074</v>
      </c>
      <c r="E3055" s="2">
        <f t="shared" si="47"/>
        <v>76.384733796287037</v>
      </c>
    </row>
    <row r="3056" spans="1:5" x14ac:dyDescent="0.25">
      <c r="A3056" t="s">
        <v>15</v>
      </c>
      <c r="B3056" t="s">
        <v>13</v>
      </c>
      <c r="C3056" s="1">
        <v>46079.291666666657</v>
      </c>
      <c r="D3056" s="1">
        <v>46119.570833333331</v>
      </c>
      <c r="E3056" s="2">
        <f t="shared" si="47"/>
        <v>40.279166666674428</v>
      </c>
    </row>
    <row r="3057" spans="1:5" x14ac:dyDescent="0.25">
      <c r="A3057" t="s">
        <v>10</v>
      </c>
      <c r="B3057" t="s">
        <v>11</v>
      </c>
      <c r="C3057" s="1">
        <v>46041.48333333333</v>
      </c>
      <c r="D3057" s="1">
        <v>46071.913888888892</v>
      </c>
      <c r="E3057" s="2">
        <f t="shared" si="47"/>
        <v>30.430555555562023</v>
      </c>
    </row>
    <row r="3058" spans="1:5" x14ac:dyDescent="0.25">
      <c r="A3058" t="s">
        <v>7</v>
      </c>
      <c r="B3058" t="s">
        <v>20</v>
      </c>
      <c r="C3058" s="1">
        <v>45936.885416666657</v>
      </c>
      <c r="D3058" s="1">
        <v>45987.324999999997</v>
      </c>
      <c r="E3058" s="2">
        <f t="shared" si="47"/>
        <v>50.439583333340124</v>
      </c>
    </row>
    <row r="3059" spans="1:5" x14ac:dyDescent="0.25">
      <c r="A3059" t="s">
        <v>15</v>
      </c>
      <c r="B3059" t="s">
        <v>38</v>
      </c>
      <c r="C3059" s="1">
        <v>46017.091666666667</v>
      </c>
      <c r="D3059" s="1">
        <v>46064.000694444447</v>
      </c>
      <c r="E3059" s="2">
        <f t="shared" si="47"/>
        <v>46.909027777779556</v>
      </c>
    </row>
    <row r="3060" spans="1:5" x14ac:dyDescent="0.25">
      <c r="A3060" t="s">
        <v>15</v>
      </c>
      <c r="B3060" t="s">
        <v>38</v>
      </c>
      <c r="C3060" s="1">
        <v>46059.645833333343</v>
      </c>
      <c r="D3060" s="1">
        <v>46104.324999999997</v>
      </c>
      <c r="E3060" s="2">
        <f t="shared" si="47"/>
        <v>44.679166666654055</v>
      </c>
    </row>
    <row r="3061" spans="1:5" x14ac:dyDescent="0.25">
      <c r="A3061" t="s">
        <v>15</v>
      </c>
      <c r="B3061" t="s">
        <v>38</v>
      </c>
      <c r="C3061" s="1">
        <v>46037.900694444441</v>
      </c>
      <c r="D3061" s="1">
        <v>46083.218055555553</v>
      </c>
      <c r="E3061" s="2">
        <f t="shared" si="47"/>
        <v>45.317361111112405</v>
      </c>
    </row>
    <row r="3062" spans="1:5" x14ac:dyDescent="0.25">
      <c r="A3062" t="s">
        <v>8</v>
      </c>
      <c r="B3062" t="s">
        <v>13</v>
      </c>
      <c r="C3062" s="1">
        <v>45926.987500000003</v>
      </c>
      <c r="D3062" s="1">
        <v>45951.145833333343</v>
      </c>
      <c r="E3062" s="2">
        <f t="shared" si="47"/>
        <v>24.158333333340124</v>
      </c>
    </row>
    <row r="3063" spans="1:5" x14ac:dyDescent="0.25">
      <c r="A3063" t="s">
        <v>15</v>
      </c>
      <c r="B3063" t="s">
        <v>38</v>
      </c>
      <c r="C3063" s="1">
        <v>46123.006377314807</v>
      </c>
      <c r="D3063" s="1">
        <v>46167.224999999999</v>
      </c>
      <c r="E3063" s="2">
        <f t="shared" si="47"/>
        <v>44.218622685191804</v>
      </c>
    </row>
    <row r="3064" spans="1:5" x14ac:dyDescent="0.25">
      <c r="A3064" t="s">
        <v>11</v>
      </c>
      <c r="B3064" t="s">
        <v>21</v>
      </c>
      <c r="C3064" s="1">
        <v>46018.379166666673</v>
      </c>
      <c r="D3064" s="1">
        <v>46028.392361111109</v>
      </c>
      <c r="E3064" s="2">
        <f t="shared" si="47"/>
        <v>10.013194444436522</v>
      </c>
    </row>
    <row r="3065" spans="1:5" x14ac:dyDescent="0.25">
      <c r="A3065" t="s">
        <v>34</v>
      </c>
      <c r="B3065" t="s">
        <v>13</v>
      </c>
      <c r="C3065" s="1">
        <v>46189.27244212963</v>
      </c>
      <c r="D3065" s="1">
        <v>46214.01458333333</v>
      </c>
      <c r="E3065" s="2">
        <f t="shared" si="47"/>
        <v>24.742141203700157</v>
      </c>
    </row>
    <row r="3066" spans="1:5" x14ac:dyDescent="0.25">
      <c r="A3066" t="s">
        <v>7</v>
      </c>
      <c r="B3066" t="s">
        <v>13</v>
      </c>
      <c r="C3066" s="1">
        <v>46153.309733796297</v>
      </c>
      <c r="D3066" s="1">
        <v>46189.715277777781</v>
      </c>
      <c r="E3066" s="2">
        <f t="shared" si="47"/>
        <v>36.405543981483788</v>
      </c>
    </row>
    <row r="3067" spans="1:5" x14ac:dyDescent="0.25">
      <c r="A3067" t="s">
        <v>15</v>
      </c>
      <c r="B3067" t="s">
        <v>38</v>
      </c>
      <c r="C3067" s="1">
        <v>46086.5625</v>
      </c>
      <c r="D3067" s="1">
        <v>46132.223611111112</v>
      </c>
      <c r="E3067" s="2">
        <f t="shared" si="47"/>
        <v>45.661111111112405</v>
      </c>
    </row>
    <row r="3068" spans="1:5" x14ac:dyDescent="0.25">
      <c r="A3068" t="s">
        <v>22</v>
      </c>
      <c r="B3068" t="s">
        <v>14</v>
      </c>
      <c r="C3068" s="1">
        <v>45838.036805555559</v>
      </c>
      <c r="D3068" s="1">
        <v>45889.818055555559</v>
      </c>
      <c r="E3068" s="2">
        <f t="shared" si="47"/>
        <v>51.78125</v>
      </c>
    </row>
    <row r="3069" spans="1:5" x14ac:dyDescent="0.25">
      <c r="A3069" t="s">
        <v>7</v>
      </c>
      <c r="B3069" t="s">
        <v>20</v>
      </c>
      <c r="C3069" s="1">
        <v>45859.961805555547</v>
      </c>
      <c r="D3069" s="1">
        <v>45917.244444444441</v>
      </c>
      <c r="E3069" s="2">
        <f t="shared" si="47"/>
        <v>57.282638888893416</v>
      </c>
    </row>
    <row r="3070" spans="1:5" x14ac:dyDescent="0.25">
      <c r="A3070" t="s">
        <v>7</v>
      </c>
      <c r="B3070" t="s">
        <v>20</v>
      </c>
      <c r="C3070" s="1">
        <v>45887.809027777781</v>
      </c>
      <c r="D3070" s="1">
        <v>45952.567361111112</v>
      </c>
      <c r="E3070" s="2">
        <f t="shared" si="47"/>
        <v>64.758333333331393</v>
      </c>
    </row>
    <row r="3071" spans="1:5" x14ac:dyDescent="0.25">
      <c r="A3071" t="s">
        <v>15</v>
      </c>
      <c r="B3071" t="s">
        <v>18</v>
      </c>
      <c r="C3071" s="1">
        <v>46177.45416666667</v>
      </c>
      <c r="D3071" s="1">
        <v>46246.278900462959</v>
      </c>
      <c r="E3071" s="2">
        <f t="shared" si="47"/>
        <v>68.824733796289365</v>
      </c>
    </row>
    <row r="3072" spans="1:5" x14ac:dyDescent="0.25">
      <c r="A3072" t="s">
        <v>15</v>
      </c>
      <c r="B3072" t="s">
        <v>38</v>
      </c>
      <c r="C3072" s="1">
        <v>46109.229166666657</v>
      </c>
      <c r="D3072" s="1">
        <v>46153.0625</v>
      </c>
      <c r="E3072" s="2">
        <f t="shared" si="47"/>
        <v>43.833333333343035</v>
      </c>
    </row>
    <row r="3073" spans="1:5" x14ac:dyDescent="0.25">
      <c r="A3073" t="s">
        <v>15</v>
      </c>
      <c r="B3073" t="s">
        <v>38</v>
      </c>
      <c r="C3073" s="1">
        <v>46024.241666666669</v>
      </c>
      <c r="D3073" s="1">
        <v>46070.679166666669</v>
      </c>
      <c r="E3073" s="2">
        <f t="shared" si="47"/>
        <v>46.4375</v>
      </c>
    </row>
    <row r="3074" spans="1:5" x14ac:dyDescent="0.25">
      <c r="A3074" t="s">
        <v>15</v>
      </c>
      <c r="B3074" t="s">
        <v>38</v>
      </c>
      <c r="C3074" s="1">
        <v>46095.359722222223</v>
      </c>
      <c r="D3074" s="1">
        <v>46139.943055555559</v>
      </c>
      <c r="E3074" s="2">
        <f t="shared" ref="E3074:E3137" si="48">D3074-C3074</f>
        <v>44.583333333335759</v>
      </c>
    </row>
    <row r="3075" spans="1:5" x14ac:dyDescent="0.25">
      <c r="A3075" t="s">
        <v>10</v>
      </c>
      <c r="B3075" t="s">
        <v>11</v>
      </c>
      <c r="C3075" s="1">
        <v>45748.609097222223</v>
      </c>
      <c r="D3075" s="1">
        <v>45777.362500000003</v>
      </c>
      <c r="E3075" s="2">
        <f t="shared" si="48"/>
        <v>28.753402777780138</v>
      </c>
    </row>
    <row r="3076" spans="1:5" x14ac:dyDescent="0.25">
      <c r="A3076" t="s">
        <v>11</v>
      </c>
      <c r="B3076" t="s">
        <v>64</v>
      </c>
      <c r="C3076" s="1">
        <v>45809.333321759259</v>
      </c>
      <c r="D3076" s="1">
        <v>45823.629166666673</v>
      </c>
      <c r="E3076" s="2">
        <f t="shared" si="48"/>
        <v>14.295844907413993</v>
      </c>
    </row>
    <row r="3077" spans="1:5" x14ac:dyDescent="0.25">
      <c r="A3077" t="s">
        <v>34</v>
      </c>
      <c r="B3077" t="s">
        <v>13</v>
      </c>
      <c r="C3077" s="1">
        <v>46006.223611111112</v>
      </c>
      <c r="D3077" s="1">
        <v>46037.704861111109</v>
      </c>
      <c r="E3077" s="2">
        <f t="shared" si="48"/>
        <v>31.48124999999709</v>
      </c>
    </row>
    <row r="3078" spans="1:5" x14ac:dyDescent="0.25">
      <c r="A3078" t="s">
        <v>22</v>
      </c>
      <c r="B3078" t="s">
        <v>19</v>
      </c>
      <c r="C3078" s="1">
        <v>45712.171527777777</v>
      </c>
      <c r="D3078" s="1">
        <v>45778.55</v>
      </c>
      <c r="E3078" s="2">
        <f t="shared" si="48"/>
        <v>66.378472222226264</v>
      </c>
    </row>
    <row r="3079" spans="1:5" x14ac:dyDescent="0.25">
      <c r="A3079" t="s">
        <v>11</v>
      </c>
      <c r="B3079" t="s">
        <v>21</v>
      </c>
      <c r="C3079" s="1">
        <v>46059.073611111111</v>
      </c>
      <c r="D3079" s="1">
        <v>46070.507638888892</v>
      </c>
      <c r="E3079" s="2">
        <f t="shared" si="48"/>
        <v>11.434027777781012</v>
      </c>
    </row>
    <row r="3080" spans="1:5" x14ac:dyDescent="0.25">
      <c r="A3080" t="s">
        <v>34</v>
      </c>
      <c r="B3080" t="s">
        <v>13</v>
      </c>
      <c r="C3080" s="1">
        <v>46079.626388888893</v>
      </c>
      <c r="D3080" s="1">
        <v>46113.236805555563</v>
      </c>
      <c r="E3080" s="2">
        <f t="shared" si="48"/>
        <v>33.610416666670062</v>
      </c>
    </row>
    <row r="3081" spans="1:5" x14ac:dyDescent="0.25">
      <c r="A3081" t="s">
        <v>8</v>
      </c>
      <c r="B3081" t="s">
        <v>19</v>
      </c>
      <c r="C3081" s="1">
        <v>46232.863125000003</v>
      </c>
      <c r="D3081" s="1">
        <v>46277.464548611111</v>
      </c>
      <c r="E3081" s="2">
        <f t="shared" si="48"/>
        <v>44.601423611107748</v>
      </c>
    </row>
    <row r="3082" spans="1:5" x14ac:dyDescent="0.25">
      <c r="A3082" t="s">
        <v>22</v>
      </c>
      <c r="B3082" t="s">
        <v>19</v>
      </c>
      <c r="C3082" s="1">
        <v>45775.8749537037</v>
      </c>
      <c r="D3082" s="1">
        <v>45842.425000000003</v>
      </c>
      <c r="E3082" s="2">
        <f t="shared" si="48"/>
        <v>66.550046296302753</v>
      </c>
    </row>
    <row r="3083" spans="1:5" x14ac:dyDescent="0.25">
      <c r="A3083" t="s">
        <v>15</v>
      </c>
      <c r="B3083" t="s">
        <v>38</v>
      </c>
      <c r="C3083" s="1">
        <v>45975.229166666657</v>
      </c>
      <c r="D3083" s="1">
        <v>46020.341666666667</v>
      </c>
      <c r="E3083" s="2">
        <f t="shared" si="48"/>
        <v>45.112500000010186</v>
      </c>
    </row>
    <row r="3084" spans="1:5" x14ac:dyDescent="0.25">
      <c r="A3084" t="s">
        <v>15</v>
      </c>
      <c r="B3084" t="s">
        <v>38</v>
      </c>
      <c r="C3084" s="1">
        <v>46037.900694444441</v>
      </c>
      <c r="D3084" s="1">
        <v>46083.218055555553</v>
      </c>
      <c r="E3084" s="2">
        <f t="shared" si="48"/>
        <v>45.317361111112405</v>
      </c>
    </row>
    <row r="3085" spans="1:5" x14ac:dyDescent="0.25">
      <c r="A3085" t="s">
        <v>15</v>
      </c>
      <c r="B3085" t="s">
        <v>38</v>
      </c>
      <c r="C3085" s="1">
        <v>46024.241666666669</v>
      </c>
      <c r="D3085" s="1">
        <v>46070.679166666669</v>
      </c>
      <c r="E3085" s="2">
        <f t="shared" si="48"/>
        <v>46.4375</v>
      </c>
    </row>
    <row r="3086" spans="1:5" x14ac:dyDescent="0.25">
      <c r="A3086" t="s">
        <v>15</v>
      </c>
      <c r="B3086" t="s">
        <v>18</v>
      </c>
      <c r="C3086" s="1">
        <v>46177.46466435185</v>
      </c>
      <c r="D3086" s="1">
        <v>46246.305555555547</v>
      </c>
      <c r="E3086" s="2">
        <f t="shared" si="48"/>
        <v>68.840891203697538</v>
      </c>
    </row>
    <row r="3087" spans="1:5" x14ac:dyDescent="0.25">
      <c r="A3087" t="s">
        <v>15</v>
      </c>
      <c r="B3087" t="s">
        <v>38</v>
      </c>
      <c r="C3087" s="1">
        <v>46123.006377314807</v>
      </c>
      <c r="D3087" s="1">
        <v>46167.224999999999</v>
      </c>
      <c r="E3087" s="2">
        <f t="shared" si="48"/>
        <v>44.218622685191804</v>
      </c>
    </row>
    <row r="3088" spans="1:5" x14ac:dyDescent="0.25">
      <c r="A3088" t="s">
        <v>34</v>
      </c>
      <c r="B3088" t="s">
        <v>13</v>
      </c>
      <c r="C3088" s="1">
        <v>46013.058333333327</v>
      </c>
      <c r="D3088" s="1">
        <v>46044.574305555558</v>
      </c>
      <c r="E3088" s="2">
        <f t="shared" si="48"/>
        <v>31.51597222223063</v>
      </c>
    </row>
    <row r="3089" spans="1:5" x14ac:dyDescent="0.25">
      <c r="A3089" t="s">
        <v>22</v>
      </c>
      <c r="B3089" t="s">
        <v>14</v>
      </c>
      <c r="C3089" s="1">
        <v>45679.163194444453</v>
      </c>
      <c r="D3089" s="1">
        <v>45735.804166666669</v>
      </c>
      <c r="E3089" s="2">
        <f t="shared" si="48"/>
        <v>56.640972222216078</v>
      </c>
    </row>
    <row r="3090" spans="1:5" x14ac:dyDescent="0.25">
      <c r="A3090" t="s">
        <v>11</v>
      </c>
      <c r="B3090" t="s">
        <v>37</v>
      </c>
      <c r="C3090" s="1">
        <v>45896.645833333343</v>
      </c>
      <c r="D3090" s="1">
        <v>45912.51666666667</v>
      </c>
      <c r="E3090" s="2">
        <f t="shared" si="48"/>
        <v>15.870833333327028</v>
      </c>
    </row>
    <row r="3091" spans="1:5" x14ac:dyDescent="0.25">
      <c r="A3091" t="s">
        <v>10</v>
      </c>
      <c r="B3091" t="s">
        <v>11</v>
      </c>
      <c r="C3091" s="1">
        <v>45675.009027777778</v>
      </c>
      <c r="D3091" s="1">
        <v>45706.679166666669</v>
      </c>
      <c r="E3091" s="2">
        <f t="shared" si="48"/>
        <v>31.670138888890506</v>
      </c>
    </row>
    <row r="3092" spans="1:5" x14ac:dyDescent="0.25">
      <c r="A3092" t="s">
        <v>8</v>
      </c>
      <c r="B3092" t="s">
        <v>13</v>
      </c>
      <c r="C3092" s="1">
        <v>45720</v>
      </c>
      <c r="D3092" s="1">
        <v>45758</v>
      </c>
      <c r="E3092" s="2">
        <f t="shared" si="48"/>
        <v>38</v>
      </c>
    </row>
    <row r="3093" spans="1:5" x14ac:dyDescent="0.25">
      <c r="A3093" t="s">
        <v>11</v>
      </c>
      <c r="B3093" t="s">
        <v>37</v>
      </c>
      <c r="C3093" s="1">
        <v>45907.253472222219</v>
      </c>
      <c r="D3093" s="1">
        <v>45924.195833333331</v>
      </c>
      <c r="E3093" s="2">
        <f t="shared" si="48"/>
        <v>16.942361111112405</v>
      </c>
    </row>
    <row r="3094" spans="1:5" x14ac:dyDescent="0.25">
      <c r="A3094" t="s">
        <v>42</v>
      </c>
      <c r="B3094" t="s">
        <v>19</v>
      </c>
      <c r="C3094" s="1">
        <v>45954.767604166656</v>
      </c>
      <c r="D3094" s="1">
        <v>46001.208333333343</v>
      </c>
      <c r="E3094" s="2">
        <f t="shared" si="48"/>
        <v>46.440729166686651</v>
      </c>
    </row>
    <row r="3095" spans="1:5" x14ac:dyDescent="0.25">
      <c r="A3095" t="s">
        <v>22</v>
      </c>
      <c r="B3095" t="s">
        <v>19</v>
      </c>
      <c r="C3095" s="1">
        <v>45776.180555555547</v>
      </c>
      <c r="D3095" s="1">
        <v>45842.425000000003</v>
      </c>
      <c r="E3095" s="2">
        <f t="shared" si="48"/>
        <v>66.244444444455439</v>
      </c>
    </row>
    <row r="3096" spans="1:5" x14ac:dyDescent="0.25">
      <c r="A3096" t="s">
        <v>15</v>
      </c>
      <c r="B3096" t="s">
        <v>38</v>
      </c>
      <c r="C3096" s="1">
        <v>46109.229166666657</v>
      </c>
      <c r="D3096" s="1">
        <v>46153.0625</v>
      </c>
      <c r="E3096" s="2">
        <f t="shared" si="48"/>
        <v>43.833333333343035</v>
      </c>
    </row>
    <row r="3097" spans="1:5" x14ac:dyDescent="0.25">
      <c r="A3097" t="s">
        <v>15</v>
      </c>
      <c r="B3097" t="s">
        <v>38</v>
      </c>
      <c r="C3097" s="1">
        <v>46101.166666666657</v>
      </c>
      <c r="D3097" s="1">
        <v>46145.947916666657</v>
      </c>
      <c r="E3097" s="2">
        <f t="shared" si="48"/>
        <v>44.78125</v>
      </c>
    </row>
    <row r="3098" spans="1:5" x14ac:dyDescent="0.25">
      <c r="A3098" t="s">
        <v>15</v>
      </c>
      <c r="B3098" t="s">
        <v>13</v>
      </c>
      <c r="C3098" s="1">
        <v>46046.9375</v>
      </c>
      <c r="D3098" s="1">
        <v>46097.254166666673</v>
      </c>
      <c r="E3098" s="2">
        <f t="shared" si="48"/>
        <v>50.316666666672972</v>
      </c>
    </row>
    <row r="3099" spans="1:5" x14ac:dyDescent="0.25">
      <c r="A3099" t="s">
        <v>19</v>
      </c>
      <c r="B3099" t="s">
        <v>11</v>
      </c>
      <c r="C3099" s="1">
        <v>46200.736250000002</v>
      </c>
      <c r="D3099" s="1">
        <v>46245.868750000001</v>
      </c>
      <c r="E3099" s="2">
        <f t="shared" si="48"/>
        <v>45.132499999999709</v>
      </c>
    </row>
    <row r="3100" spans="1:5" x14ac:dyDescent="0.25">
      <c r="A3100" t="s">
        <v>15</v>
      </c>
      <c r="B3100" t="s">
        <v>18</v>
      </c>
      <c r="C3100" s="1">
        <v>46157.243194444447</v>
      </c>
      <c r="D3100" s="1">
        <v>46210.369444444441</v>
      </c>
      <c r="E3100" s="2">
        <f t="shared" si="48"/>
        <v>53.126249999993888</v>
      </c>
    </row>
    <row r="3101" spans="1:5" x14ac:dyDescent="0.25">
      <c r="A3101" t="s">
        <v>15</v>
      </c>
      <c r="B3101" t="s">
        <v>38</v>
      </c>
      <c r="C3101" s="1">
        <v>46123.006377314807</v>
      </c>
      <c r="D3101" s="1">
        <v>46167.224999999999</v>
      </c>
      <c r="E3101" s="2">
        <f t="shared" si="48"/>
        <v>44.218622685191804</v>
      </c>
    </row>
    <row r="3102" spans="1:5" x14ac:dyDescent="0.25">
      <c r="A3102" t="s">
        <v>22</v>
      </c>
      <c r="B3102" t="s">
        <v>14</v>
      </c>
      <c r="C3102" s="1">
        <v>45831.487615740742</v>
      </c>
      <c r="D3102" s="1">
        <v>45875.784722222219</v>
      </c>
      <c r="E3102" s="2">
        <f t="shared" si="48"/>
        <v>44.297106481477385</v>
      </c>
    </row>
    <row r="3103" spans="1:5" x14ac:dyDescent="0.25">
      <c r="A3103" t="s">
        <v>22</v>
      </c>
      <c r="B3103" t="s">
        <v>19</v>
      </c>
      <c r="C3103" s="1">
        <v>45719.043969907398</v>
      </c>
      <c r="D3103" s="1">
        <v>45794</v>
      </c>
      <c r="E3103" s="2">
        <f t="shared" si="48"/>
        <v>74.956030092602305</v>
      </c>
    </row>
    <row r="3104" spans="1:5" x14ac:dyDescent="0.25">
      <c r="A3104" t="s">
        <v>22</v>
      </c>
      <c r="B3104" t="s">
        <v>19</v>
      </c>
      <c r="C3104" s="1">
        <v>45748.209074074082</v>
      </c>
      <c r="D3104" s="1">
        <v>45816.841666666667</v>
      </c>
      <c r="E3104" s="2">
        <f t="shared" si="48"/>
        <v>68.632592592584842</v>
      </c>
    </row>
    <row r="3105" spans="1:5" x14ac:dyDescent="0.25">
      <c r="A3105" t="s">
        <v>19</v>
      </c>
      <c r="B3105" t="s">
        <v>11</v>
      </c>
      <c r="C3105" s="1">
        <v>46233.271064814813</v>
      </c>
      <c r="D3105" s="1">
        <v>46274.031782407408</v>
      </c>
      <c r="E3105" s="2">
        <f t="shared" si="48"/>
        <v>40.760717592595029</v>
      </c>
    </row>
    <row r="3106" spans="1:5" x14ac:dyDescent="0.25">
      <c r="A3106" t="s">
        <v>15</v>
      </c>
      <c r="B3106" t="s">
        <v>13</v>
      </c>
      <c r="C3106" s="1">
        <v>46037.984722222223</v>
      </c>
      <c r="D3106" s="1">
        <v>46086.87222222222</v>
      </c>
      <c r="E3106" s="2">
        <f t="shared" si="48"/>
        <v>48.88749999999709</v>
      </c>
    </row>
    <row r="3107" spans="1:5" x14ac:dyDescent="0.25">
      <c r="A3107" t="s">
        <v>34</v>
      </c>
      <c r="B3107" t="s">
        <v>13</v>
      </c>
      <c r="C3107" s="1">
        <v>45908.512499999997</v>
      </c>
      <c r="D3107" s="1">
        <v>45933.445833333331</v>
      </c>
      <c r="E3107" s="2">
        <f t="shared" si="48"/>
        <v>24.933333333334303</v>
      </c>
    </row>
    <row r="3108" spans="1:5" x14ac:dyDescent="0.25">
      <c r="A3108" t="s">
        <v>15</v>
      </c>
      <c r="B3108" t="s">
        <v>38</v>
      </c>
      <c r="C3108" s="1">
        <v>46115.618958333333</v>
      </c>
      <c r="D3108" s="1">
        <v>46160.418055555558</v>
      </c>
      <c r="E3108" s="2">
        <f t="shared" si="48"/>
        <v>44.7990972222251</v>
      </c>
    </row>
    <row r="3109" spans="1:5" x14ac:dyDescent="0.25">
      <c r="A3109" t="s">
        <v>22</v>
      </c>
      <c r="B3109" t="s">
        <v>14</v>
      </c>
      <c r="C3109" s="1">
        <v>45776.180555555547</v>
      </c>
      <c r="D3109" s="1">
        <v>45822.563888888893</v>
      </c>
      <c r="E3109" s="2">
        <f t="shared" si="48"/>
        <v>46.383333333345945</v>
      </c>
    </row>
    <row r="3110" spans="1:5" x14ac:dyDescent="0.25">
      <c r="A3110" t="s">
        <v>27</v>
      </c>
      <c r="B3110" t="s">
        <v>8</v>
      </c>
      <c r="C3110" s="1">
        <v>46187.359247685177</v>
      </c>
      <c r="D3110" s="1">
        <v>46249.770833333343</v>
      </c>
      <c r="E3110" s="2">
        <f t="shared" si="48"/>
        <v>62.411585648165783</v>
      </c>
    </row>
    <row r="3111" spans="1:5" x14ac:dyDescent="0.25">
      <c r="A3111" t="s">
        <v>42</v>
      </c>
      <c r="B3111" t="s">
        <v>19</v>
      </c>
      <c r="C3111" s="1">
        <v>45792.81690972222</v>
      </c>
      <c r="D3111" s="1">
        <v>45839.883333333331</v>
      </c>
      <c r="E3111" s="2">
        <f t="shared" si="48"/>
        <v>47.066423611111531</v>
      </c>
    </row>
    <row r="3112" spans="1:5" x14ac:dyDescent="0.25">
      <c r="A3112" t="s">
        <v>15</v>
      </c>
      <c r="B3112" t="s">
        <v>13</v>
      </c>
      <c r="C3112" s="1">
        <v>45884.946064814823</v>
      </c>
      <c r="D3112" s="1">
        <v>45921.26666666667</v>
      </c>
      <c r="E3112" s="2">
        <f t="shared" si="48"/>
        <v>36.320601851846732</v>
      </c>
    </row>
    <row r="3113" spans="1:5" x14ac:dyDescent="0.25">
      <c r="A3113" t="s">
        <v>8</v>
      </c>
      <c r="B3113" t="s">
        <v>13</v>
      </c>
      <c r="C3113" s="1">
        <v>45942.489583333343</v>
      </c>
      <c r="D3113" s="1">
        <v>45964.758333333331</v>
      </c>
      <c r="E3113" s="2">
        <f t="shared" si="48"/>
        <v>22.268749999988358</v>
      </c>
    </row>
    <row r="3114" spans="1:5" x14ac:dyDescent="0.25">
      <c r="A3114" t="s">
        <v>61</v>
      </c>
      <c r="B3114" t="s">
        <v>62</v>
      </c>
      <c r="C3114" s="1">
        <v>45964.791666666657</v>
      </c>
      <c r="D3114" s="1">
        <v>46010.024861111109</v>
      </c>
      <c r="E3114" s="2">
        <f t="shared" si="48"/>
        <v>45.233194444452238</v>
      </c>
    </row>
    <row r="3115" spans="1:5" x14ac:dyDescent="0.25">
      <c r="A3115" t="s">
        <v>11</v>
      </c>
      <c r="B3115" t="s">
        <v>21</v>
      </c>
      <c r="C3115" s="1">
        <v>45822.05</v>
      </c>
      <c r="D3115" s="1">
        <v>45832.541666666657</v>
      </c>
      <c r="E3115" s="2">
        <f t="shared" si="48"/>
        <v>10.491666666654055</v>
      </c>
    </row>
    <row r="3116" spans="1:5" x14ac:dyDescent="0.25">
      <c r="A3116" t="s">
        <v>11</v>
      </c>
      <c r="B3116" t="s">
        <v>37</v>
      </c>
      <c r="C3116" s="1">
        <v>45971.175902777781</v>
      </c>
      <c r="D3116" s="1">
        <v>45992.474999999999</v>
      </c>
      <c r="E3116" s="2">
        <f t="shared" si="48"/>
        <v>21.299097222217824</v>
      </c>
    </row>
    <row r="3117" spans="1:5" x14ac:dyDescent="0.25">
      <c r="A3117" t="s">
        <v>22</v>
      </c>
      <c r="B3117" t="s">
        <v>19</v>
      </c>
      <c r="C3117" s="1">
        <v>45712.171527777777</v>
      </c>
      <c r="D3117" s="1">
        <v>45778.55</v>
      </c>
      <c r="E3117" s="2">
        <f t="shared" si="48"/>
        <v>66.378472222226264</v>
      </c>
    </row>
    <row r="3118" spans="1:5" x14ac:dyDescent="0.25">
      <c r="A3118" t="s">
        <v>15</v>
      </c>
      <c r="B3118" t="s">
        <v>13</v>
      </c>
      <c r="C3118" s="1">
        <v>45813.595833333333</v>
      </c>
      <c r="D3118" s="1">
        <v>45850.555555555547</v>
      </c>
      <c r="E3118" s="2">
        <f t="shared" si="48"/>
        <v>36.959722222214623</v>
      </c>
    </row>
    <row r="3119" spans="1:5" x14ac:dyDescent="0.25">
      <c r="A3119" t="s">
        <v>15</v>
      </c>
      <c r="B3119" t="s">
        <v>13</v>
      </c>
      <c r="C3119" s="1">
        <v>46064.895833333343</v>
      </c>
      <c r="D3119" s="1">
        <v>46115.525694444441</v>
      </c>
      <c r="E3119" s="2">
        <f t="shared" si="48"/>
        <v>50.629861111097853</v>
      </c>
    </row>
    <row r="3120" spans="1:5" x14ac:dyDescent="0.25">
      <c r="A3120" t="s">
        <v>34</v>
      </c>
      <c r="B3120" t="s">
        <v>13</v>
      </c>
      <c r="C3120" s="1">
        <v>45985.14166666667</v>
      </c>
      <c r="D3120" s="1">
        <v>46009.745833333327</v>
      </c>
      <c r="E3120" s="2">
        <f t="shared" si="48"/>
        <v>24.604166666656965</v>
      </c>
    </row>
    <row r="3121" spans="1:5" x14ac:dyDescent="0.25">
      <c r="A3121" t="s">
        <v>8</v>
      </c>
      <c r="B3121" t="s">
        <v>13</v>
      </c>
      <c r="C3121" s="1">
        <v>45926.987500000003</v>
      </c>
      <c r="D3121" s="1">
        <v>45951.145833333343</v>
      </c>
      <c r="E3121" s="2">
        <f t="shared" si="48"/>
        <v>24.158333333340124</v>
      </c>
    </row>
    <row r="3122" spans="1:5" x14ac:dyDescent="0.25">
      <c r="A3122" t="s">
        <v>22</v>
      </c>
      <c r="B3122" t="s">
        <v>19</v>
      </c>
      <c r="C3122" s="1">
        <v>45763.1875</v>
      </c>
      <c r="D3122" s="1">
        <v>45816.841666666667</v>
      </c>
      <c r="E3122" s="2">
        <f t="shared" si="48"/>
        <v>53.654166666667152</v>
      </c>
    </row>
    <row r="3123" spans="1:5" x14ac:dyDescent="0.25">
      <c r="A3123" t="s">
        <v>40</v>
      </c>
      <c r="B3123" t="s">
        <v>37</v>
      </c>
      <c r="C3123" s="1">
        <v>45758.230104166672</v>
      </c>
      <c r="D3123" s="1">
        <v>45771.855173611111</v>
      </c>
      <c r="E3123" s="2">
        <f t="shared" si="48"/>
        <v>13.62506944443885</v>
      </c>
    </row>
    <row r="3124" spans="1:5" x14ac:dyDescent="0.25">
      <c r="A3124" t="s">
        <v>15</v>
      </c>
      <c r="B3124" t="s">
        <v>38</v>
      </c>
      <c r="C3124" s="1">
        <v>46052.8125</v>
      </c>
      <c r="D3124" s="1">
        <v>46097.245833333327</v>
      </c>
      <c r="E3124" s="2">
        <f t="shared" si="48"/>
        <v>44.433333333327028</v>
      </c>
    </row>
    <row r="3125" spans="1:5" x14ac:dyDescent="0.25">
      <c r="A3125" t="s">
        <v>15</v>
      </c>
      <c r="B3125" t="s">
        <v>38</v>
      </c>
      <c r="C3125" s="1">
        <v>46109.229166666657</v>
      </c>
      <c r="D3125" s="1">
        <v>46153.0625</v>
      </c>
      <c r="E3125" s="2">
        <f t="shared" si="48"/>
        <v>43.833333333343035</v>
      </c>
    </row>
    <row r="3126" spans="1:5" x14ac:dyDescent="0.25">
      <c r="A3126" t="s">
        <v>15</v>
      </c>
      <c r="B3126" t="s">
        <v>38</v>
      </c>
      <c r="C3126" s="1">
        <v>46003.495833333327</v>
      </c>
      <c r="D3126" s="1">
        <v>46050.574305555558</v>
      </c>
      <c r="E3126" s="2">
        <f t="shared" si="48"/>
        <v>47.07847222223063</v>
      </c>
    </row>
    <row r="3127" spans="1:5" x14ac:dyDescent="0.25">
      <c r="A3127" t="s">
        <v>15</v>
      </c>
      <c r="B3127" t="s">
        <v>38</v>
      </c>
      <c r="C3127" s="1">
        <v>46109.229166666657</v>
      </c>
      <c r="D3127" s="1">
        <v>46153.0625</v>
      </c>
      <c r="E3127" s="2">
        <f t="shared" si="48"/>
        <v>43.833333333343035</v>
      </c>
    </row>
    <row r="3128" spans="1:5" x14ac:dyDescent="0.25">
      <c r="A3128" t="s">
        <v>15</v>
      </c>
      <c r="B3128" t="s">
        <v>38</v>
      </c>
      <c r="C3128" s="1">
        <v>46066.779861111107</v>
      </c>
      <c r="D3128" s="1">
        <v>46111.243750000001</v>
      </c>
      <c r="E3128" s="2">
        <f t="shared" si="48"/>
        <v>44.463888888894871</v>
      </c>
    </row>
    <row r="3129" spans="1:5" x14ac:dyDescent="0.25">
      <c r="A3129" t="s">
        <v>15</v>
      </c>
      <c r="B3129" t="s">
        <v>18</v>
      </c>
      <c r="C3129" s="1">
        <v>46226.007013888891</v>
      </c>
      <c r="D3129" s="1">
        <v>46269.724999999999</v>
      </c>
      <c r="E3129" s="2">
        <f t="shared" si="48"/>
        <v>43.717986111107166</v>
      </c>
    </row>
    <row r="3130" spans="1:5" x14ac:dyDescent="0.25">
      <c r="A3130" t="s">
        <v>11</v>
      </c>
      <c r="B3130" t="s">
        <v>21</v>
      </c>
      <c r="C3130" s="1">
        <v>45981.870833333327</v>
      </c>
      <c r="D3130" s="1">
        <v>45993.4375</v>
      </c>
      <c r="E3130" s="2">
        <f t="shared" si="48"/>
        <v>11.566666666672972</v>
      </c>
    </row>
    <row r="3131" spans="1:5" x14ac:dyDescent="0.25">
      <c r="A3131" t="s">
        <v>46</v>
      </c>
      <c r="B3131" t="s">
        <v>11</v>
      </c>
      <c r="C3131" s="1">
        <v>46009.616666666669</v>
      </c>
      <c r="D3131" s="1">
        <v>46017.209722222222</v>
      </c>
      <c r="E3131" s="2">
        <f t="shared" si="48"/>
        <v>7.5930555555532919</v>
      </c>
    </row>
    <row r="3132" spans="1:5" x14ac:dyDescent="0.25">
      <c r="A3132" t="s">
        <v>15</v>
      </c>
      <c r="B3132" t="s">
        <v>18</v>
      </c>
      <c r="C3132" s="1">
        <v>46232.95076388889</v>
      </c>
      <c r="D3132" s="1">
        <v>46269.724999999999</v>
      </c>
      <c r="E3132" s="2">
        <f t="shared" si="48"/>
        <v>36.774236111108621</v>
      </c>
    </row>
    <row r="3133" spans="1:5" x14ac:dyDescent="0.25">
      <c r="A3133" t="s">
        <v>15</v>
      </c>
      <c r="B3133" t="s">
        <v>38</v>
      </c>
      <c r="C3133" s="1">
        <v>46164.476388888892</v>
      </c>
      <c r="D3133" s="1">
        <v>46213.482638888891</v>
      </c>
      <c r="E3133" s="2">
        <f t="shared" si="48"/>
        <v>49.006249999998545</v>
      </c>
    </row>
    <row r="3134" spans="1:5" x14ac:dyDescent="0.25">
      <c r="A3134" t="s">
        <v>61</v>
      </c>
      <c r="B3134" t="s">
        <v>13</v>
      </c>
      <c r="C3134" s="1">
        <v>45975.54583333333</v>
      </c>
      <c r="D3134" s="1">
        <v>46025.690972222219</v>
      </c>
      <c r="E3134" s="2">
        <f t="shared" si="48"/>
        <v>50.145138888889051</v>
      </c>
    </row>
    <row r="3135" spans="1:5" x14ac:dyDescent="0.25">
      <c r="A3135" t="s">
        <v>22</v>
      </c>
      <c r="B3135" t="s">
        <v>14</v>
      </c>
      <c r="C3135" s="1">
        <v>45902.186631944453</v>
      </c>
      <c r="D3135" s="1">
        <v>45945.550694444442</v>
      </c>
      <c r="E3135" s="2">
        <f t="shared" si="48"/>
        <v>43.364062499989814</v>
      </c>
    </row>
    <row r="3136" spans="1:5" x14ac:dyDescent="0.25">
      <c r="A3136" t="s">
        <v>7</v>
      </c>
      <c r="B3136" t="s">
        <v>13</v>
      </c>
      <c r="C3136" s="1">
        <v>45894.600208333337</v>
      </c>
      <c r="D3136" s="1">
        <v>45932.777083333327</v>
      </c>
      <c r="E3136" s="2">
        <f t="shared" si="48"/>
        <v>38.176874999990105</v>
      </c>
    </row>
    <row r="3137" spans="1:5" x14ac:dyDescent="0.25">
      <c r="A3137" t="s">
        <v>15</v>
      </c>
      <c r="B3137" t="s">
        <v>13</v>
      </c>
      <c r="C3137" s="1">
        <v>45798.966666666667</v>
      </c>
      <c r="D3137" s="1">
        <v>45836.48333333333</v>
      </c>
      <c r="E3137" s="2">
        <f t="shared" si="48"/>
        <v>37.516666666662786</v>
      </c>
    </row>
    <row r="3138" spans="1:5" x14ac:dyDescent="0.25">
      <c r="A3138" t="s">
        <v>40</v>
      </c>
      <c r="B3138" t="s">
        <v>37</v>
      </c>
      <c r="C3138" s="1">
        <v>45948.3125</v>
      </c>
      <c r="D3138" s="1">
        <v>45962.379166666673</v>
      </c>
      <c r="E3138" s="2">
        <f t="shared" ref="E3138:E3201" si="49">D3138-C3138</f>
        <v>14.066666666672972</v>
      </c>
    </row>
    <row r="3139" spans="1:5" x14ac:dyDescent="0.25">
      <c r="A3139" t="s">
        <v>11</v>
      </c>
      <c r="B3139" t="s">
        <v>37</v>
      </c>
      <c r="C3139" s="1">
        <v>45663.672048611108</v>
      </c>
      <c r="D3139" s="1">
        <v>45678.612500000003</v>
      </c>
      <c r="E3139" s="2">
        <f t="shared" si="49"/>
        <v>14.940451388894871</v>
      </c>
    </row>
    <row r="3140" spans="1:5" x14ac:dyDescent="0.25">
      <c r="A3140" t="s">
        <v>11</v>
      </c>
      <c r="B3140" t="s">
        <v>37</v>
      </c>
      <c r="C3140" s="1">
        <v>45663.672048611108</v>
      </c>
      <c r="D3140" s="1">
        <v>45678.612500000003</v>
      </c>
      <c r="E3140" s="2">
        <f t="shared" si="49"/>
        <v>14.940451388894871</v>
      </c>
    </row>
    <row r="3141" spans="1:5" x14ac:dyDescent="0.25">
      <c r="A3141" t="s">
        <v>22</v>
      </c>
      <c r="B3141" t="s">
        <v>14</v>
      </c>
      <c r="C3141" s="1">
        <v>45748.209074074082</v>
      </c>
      <c r="D3141" s="1">
        <v>45791.824999999997</v>
      </c>
      <c r="E3141" s="2">
        <f t="shared" si="49"/>
        <v>43.61592592591478</v>
      </c>
    </row>
    <row r="3142" spans="1:5" x14ac:dyDescent="0.25">
      <c r="A3142" t="s">
        <v>22</v>
      </c>
      <c r="B3142" t="s">
        <v>19</v>
      </c>
      <c r="C3142" s="1">
        <v>45763.170138888891</v>
      </c>
      <c r="D3142" s="1">
        <v>45816.841666666667</v>
      </c>
      <c r="E3142" s="2">
        <f t="shared" si="49"/>
        <v>53.671527777776646</v>
      </c>
    </row>
    <row r="3143" spans="1:5" x14ac:dyDescent="0.25">
      <c r="A3143" t="s">
        <v>34</v>
      </c>
      <c r="B3143" t="s">
        <v>13</v>
      </c>
      <c r="C3143" s="1">
        <v>46173.881585648152</v>
      </c>
      <c r="D3143" s="1">
        <v>46198.293055555558</v>
      </c>
      <c r="E3143" s="2">
        <f t="shared" si="49"/>
        <v>24.411469907405262</v>
      </c>
    </row>
    <row r="3144" spans="1:5" x14ac:dyDescent="0.25">
      <c r="A3144" t="s">
        <v>19</v>
      </c>
      <c r="B3144" t="s">
        <v>11</v>
      </c>
      <c r="C3144" s="1">
        <v>46170.96875</v>
      </c>
      <c r="D3144" s="1">
        <v>46210.826388888891</v>
      </c>
      <c r="E3144" s="2">
        <f t="shared" si="49"/>
        <v>39.857638888890506</v>
      </c>
    </row>
    <row r="3145" spans="1:5" x14ac:dyDescent="0.25">
      <c r="A3145" t="s">
        <v>11</v>
      </c>
      <c r="B3145" t="s">
        <v>37</v>
      </c>
      <c r="C3145" s="1">
        <v>46068.003078703703</v>
      </c>
      <c r="D3145" s="1">
        <v>46081.656944444447</v>
      </c>
      <c r="E3145" s="2">
        <f t="shared" si="49"/>
        <v>13.65386574074364</v>
      </c>
    </row>
    <row r="3146" spans="1:5" x14ac:dyDescent="0.25">
      <c r="A3146" t="s">
        <v>46</v>
      </c>
      <c r="B3146" t="s">
        <v>11</v>
      </c>
      <c r="C3146" s="1">
        <v>46060.26666666667</v>
      </c>
      <c r="D3146" s="1">
        <v>46068.976388888892</v>
      </c>
      <c r="E3146" s="2">
        <f t="shared" si="49"/>
        <v>8.7097222222218988</v>
      </c>
    </row>
    <row r="3147" spans="1:5" x14ac:dyDescent="0.25">
      <c r="A3147" t="s">
        <v>11</v>
      </c>
      <c r="B3147" t="s">
        <v>37</v>
      </c>
      <c r="C3147" s="1">
        <v>45663.672048611108</v>
      </c>
      <c r="D3147" s="1">
        <v>45678.612500000003</v>
      </c>
      <c r="E3147" s="2">
        <f t="shared" si="49"/>
        <v>14.940451388894871</v>
      </c>
    </row>
    <row r="3148" spans="1:5" x14ac:dyDescent="0.25">
      <c r="A3148" t="s">
        <v>11</v>
      </c>
      <c r="B3148" t="s">
        <v>37</v>
      </c>
      <c r="C3148" s="1">
        <v>45945.308333333327</v>
      </c>
      <c r="D3148" s="1">
        <v>45962.379166666673</v>
      </c>
      <c r="E3148" s="2">
        <f t="shared" si="49"/>
        <v>17.070833333345945</v>
      </c>
    </row>
    <row r="3149" spans="1:5" x14ac:dyDescent="0.25">
      <c r="A3149" t="s">
        <v>15</v>
      </c>
      <c r="B3149" t="s">
        <v>38</v>
      </c>
      <c r="C3149" s="1">
        <v>46136.763888888891</v>
      </c>
      <c r="D3149" s="1">
        <v>46183.841666666667</v>
      </c>
      <c r="E3149" s="2">
        <f t="shared" si="49"/>
        <v>47.077777777776646</v>
      </c>
    </row>
    <row r="3150" spans="1:5" x14ac:dyDescent="0.25">
      <c r="A3150" t="s">
        <v>7</v>
      </c>
      <c r="B3150" t="s">
        <v>18</v>
      </c>
      <c r="C3150" s="1">
        <v>45874.21875</v>
      </c>
      <c r="D3150" s="1">
        <v>45937.341666666667</v>
      </c>
      <c r="E3150" s="2">
        <f t="shared" si="49"/>
        <v>63.122916666667152</v>
      </c>
    </row>
    <row r="3151" spans="1:5" x14ac:dyDescent="0.25">
      <c r="A3151" t="s">
        <v>14</v>
      </c>
      <c r="B3151" t="s">
        <v>22</v>
      </c>
      <c r="C3151" s="1">
        <v>46060.155555555553</v>
      </c>
      <c r="D3151" s="1">
        <v>46100.311111111107</v>
      </c>
      <c r="E3151" s="2">
        <f t="shared" si="49"/>
        <v>40.155555555553292</v>
      </c>
    </row>
    <row r="3152" spans="1:5" x14ac:dyDescent="0.25">
      <c r="A3152" t="s">
        <v>22</v>
      </c>
      <c r="B3152" t="s">
        <v>19</v>
      </c>
      <c r="C3152" s="1">
        <v>45726.157638888893</v>
      </c>
      <c r="D3152" s="1">
        <v>45794.54583333333</v>
      </c>
      <c r="E3152" s="2">
        <f t="shared" si="49"/>
        <v>68.388194444436522</v>
      </c>
    </row>
    <row r="3153" spans="1:5" x14ac:dyDescent="0.25">
      <c r="A3153" t="s">
        <v>10</v>
      </c>
      <c r="B3153" t="s">
        <v>11</v>
      </c>
      <c r="C3153" s="1">
        <v>45670.137696759259</v>
      </c>
      <c r="D3153" s="1">
        <v>45693.404166666667</v>
      </c>
      <c r="E3153" s="2">
        <f t="shared" si="49"/>
        <v>23.266469907408464</v>
      </c>
    </row>
    <row r="3154" spans="1:5" x14ac:dyDescent="0.25">
      <c r="A3154" t="s">
        <v>11</v>
      </c>
      <c r="B3154" t="s">
        <v>13</v>
      </c>
      <c r="C3154" s="1">
        <v>45843.096412037034</v>
      </c>
      <c r="D3154" s="1">
        <v>45871.25</v>
      </c>
      <c r="E3154" s="2">
        <f t="shared" si="49"/>
        <v>28.153587962966412</v>
      </c>
    </row>
    <row r="3155" spans="1:5" x14ac:dyDescent="0.25">
      <c r="A3155" t="s">
        <v>11</v>
      </c>
      <c r="B3155" t="s">
        <v>37</v>
      </c>
      <c r="C3155" s="1">
        <v>45663.672048611108</v>
      </c>
      <c r="D3155" s="1">
        <v>45678.612500000003</v>
      </c>
      <c r="E3155" s="2">
        <f t="shared" si="49"/>
        <v>14.940451388894871</v>
      </c>
    </row>
    <row r="3156" spans="1:5" x14ac:dyDescent="0.25">
      <c r="A3156" t="s">
        <v>22</v>
      </c>
      <c r="B3156" t="s">
        <v>19</v>
      </c>
      <c r="C3156" s="1">
        <v>45719.029166666667</v>
      </c>
      <c r="D3156" s="1">
        <v>45794</v>
      </c>
      <c r="E3156" s="2">
        <f t="shared" si="49"/>
        <v>74.970833333332848</v>
      </c>
    </row>
    <row r="3157" spans="1:5" x14ac:dyDescent="0.25">
      <c r="A3157" t="s">
        <v>34</v>
      </c>
      <c r="B3157" t="s">
        <v>13</v>
      </c>
      <c r="C3157" s="1">
        <v>45992.475694444453</v>
      </c>
      <c r="D3157" s="1">
        <v>46024.011111111111</v>
      </c>
      <c r="E3157" s="2">
        <f t="shared" si="49"/>
        <v>31.535416666658421</v>
      </c>
    </row>
    <row r="3158" spans="1:5" x14ac:dyDescent="0.25">
      <c r="A3158" t="s">
        <v>15</v>
      </c>
      <c r="B3158" t="s">
        <v>13</v>
      </c>
      <c r="C3158" s="1">
        <v>45833.637499999997</v>
      </c>
      <c r="D3158" s="1">
        <v>45872.5</v>
      </c>
      <c r="E3158" s="2">
        <f t="shared" si="49"/>
        <v>38.86250000000291</v>
      </c>
    </row>
    <row r="3159" spans="1:5" x14ac:dyDescent="0.25">
      <c r="A3159" t="s">
        <v>40</v>
      </c>
      <c r="B3159" t="s">
        <v>37</v>
      </c>
      <c r="C3159" s="1">
        <v>45974.5625</v>
      </c>
      <c r="D3159" s="1">
        <v>45992.474999999999</v>
      </c>
      <c r="E3159" s="2">
        <f t="shared" si="49"/>
        <v>17.912499999998545</v>
      </c>
    </row>
    <row r="3160" spans="1:5" x14ac:dyDescent="0.25">
      <c r="A3160" t="s">
        <v>11</v>
      </c>
      <c r="B3160" t="s">
        <v>37</v>
      </c>
      <c r="C3160" s="1">
        <v>46088.862500000003</v>
      </c>
      <c r="D3160" s="1">
        <v>46101.335416666669</v>
      </c>
      <c r="E3160" s="2">
        <f t="shared" si="49"/>
        <v>12.472916666665697</v>
      </c>
    </row>
    <row r="3161" spans="1:5" x14ac:dyDescent="0.25">
      <c r="A3161" t="s">
        <v>11</v>
      </c>
      <c r="B3161" t="s">
        <v>21</v>
      </c>
      <c r="C3161" s="1">
        <v>45737.912499999999</v>
      </c>
      <c r="D3161" s="1">
        <v>45750.008333333331</v>
      </c>
      <c r="E3161" s="2">
        <f t="shared" si="49"/>
        <v>12.095833333332848</v>
      </c>
    </row>
    <row r="3162" spans="1:5" x14ac:dyDescent="0.25">
      <c r="A3162" t="s">
        <v>46</v>
      </c>
      <c r="B3162" t="s">
        <v>11</v>
      </c>
      <c r="C3162" s="1">
        <v>45976.95</v>
      </c>
      <c r="D3162" s="1">
        <v>45986.95</v>
      </c>
      <c r="E3162" s="2">
        <f t="shared" si="49"/>
        <v>10</v>
      </c>
    </row>
    <row r="3163" spans="1:5" x14ac:dyDescent="0.25">
      <c r="A3163" t="s">
        <v>11</v>
      </c>
      <c r="B3163" t="s">
        <v>37</v>
      </c>
      <c r="C3163" s="1">
        <v>46068.003078703703</v>
      </c>
      <c r="D3163" s="1">
        <v>46081.708333333343</v>
      </c>
      <c r="E3163" s="2">
        <f t="shared" si="49"/>
        <v>13.705254629639967</v>
      </c>
    </row>
    <row r="3164" spans="1:5" x14ac:dyDescent="0.25">
      <c r="A3164" t="s">
        <v>15</v>
      </c>
      <c r="B3164" t="s">
        <v>13</v>
      </c>
      <c r="C3164" s="1">
        <v>46198.539953703701</v>
      </c>
      <c r="D3164" s="1">
        <v>46236.826388888891</v>
      </c>
      <c r="E3164" s="2">
        <f t="shared" si="49"/>
        <v>38.286435185189475</v>
      </c>
    </row>
    <row r="3165" spans="1:5" x14ac:dyDescent="0.25">
      <c r="A3165" t="s">
        <v>15</v>
      </c>
      <c r="B3165" t="s">
        <v>38</v>
      </c>
      <c r="C3165" s="1">
        <v>46158.291666666657</v>
      </c>
      <c r="D3165" s="1">
        <v>46202.320162037038</v>
      </c>
      <c r="E3165" s="2">
        <f t="shared" si="49"/>
        <v>44.028495370381279</v>
      </c>
    </row>
    <row r="3166" spans="1:5" x14ac:dyDescent="0.25">
      <c r="A3166" t="s">
        <v>11</v>
      </c>
      <c r="B3166" t="s">
        <v>21</v>
      </c>
      <c r="C3166" s="1">
        <v>46003.366666666669</v>
      </c>
      <c r="D3166" s="1">
        <v>46014.820833333331</v>
      </c>
      <c r="E3166" s="2">
        <f t="shared" si="49"/>
        <v>11.454166666662786</v>
      </c>
    </row>
    <row r="3167" spans="1:5" x14ac:dyDescent="0.25">
      <c r="A3167" t="s">
        <v>18</v>
      </c>
      <c r="B3167" t="s">
        <v>27</v>
      </c>
      <c r="C3167" s="1">
        <v>45663.288194444453</v>
      </c>
      <c r="D3167" s="1">
        <v>45735.613009259258</v>
      </c>
      <c r="E3167" s="2">
        <f t="shared" si="49"/>
        <v>72.324814814804995</v>
      </c>
    </row>
    <row r="3168" spans="1:5" x14ac:dyDescent="0.25">
      <c r="A3168" t="s">
        <v>11</v>
      </c>
      <c r="B3168" t="s">
        <v>21</v>
      </c>
      <c r="C3168" s="1">
        <v>46018.379166666673</v>
      </c>
      <c r="D3168" s="1">
        <v>46028.392361111109</v>
      </c>
      <c r="E3168" s="2">
        <f t="shared" si="49"/>
        <v>10.013194444436522</v>
      </c>
    </row>
    <row r="3169" spans="1:5" x14ac:dyDescent="0.25">
      <c r="A3169" t="s">
        <v>11</v>
      </c>
      <c r="B3169" t="s">
        <v>37</v>
      </c>
      <c r="C3169" s="1">
        <v>45907.253472222219</v>
      </c>
      <c r="D3169" s="1">
        <v>45924.195833333331</v>
      </c>
      <c r="E3169" s="2">
        <f t="shared" si="49"/>
        <v>16.942361111112405</v>
      </c>
    </row>
    <row r="3170" spans="1:5" x14ac:dyDescent="0.25">
      <c r="A3170" t="s">
        <v>35</v>
      </c>
      <c r="B3170" t="s">
        <v>51</v>
      </c>
      <c r="C3170" s="1">
        <v>46186.361111111109</v>
      </c>
      <c r="D3170" s="1">
        <v>46229.507638888892</v>
      </c>
      <c r="E3170" s="2">
        <f t="shared" si="49"/>
        <v>43.146527777782467</v>
      </c>
    </row>
    <row r="3171" spans="1:5" x14ac:dyDescent="0.25">
      <c r="A3171" t="s">
        <v>22</v>
      </c>
      <c r="B3171" t="s">
        <v>14</v>
      </c>
      <c r="C3171" s="1">
        <v>45809.54583333333</v>
      </c>
      <c r="D3171" s="1">
        <v>45854.8125</v>
      </c>
      <c r="E3171" s="2">
        <f t="shared" si="49"/>
        <v>45.266666666670062</v>
      </c>
    </row>
    <row r="3172" spans="1:5" x14ac:dyDescent="0.25">
      <c r="A3172" t="s">
        <v>10</v>
      </c>
      <c r="B3172" t="s">
        <v>11</v>
      </c>
      <c r="C3172" s="1">
        <v>45692.801770833343</v>
      </c>
      <c r="D3172" s="1">
        <v>45722.755555555559</v>
      </c>
      <c r="E3172" s="2">
        <f t="shared" si="49"/>
        <v>29.953784722216369</v>
      </c>
    </row>
    <row r="3173" spans="1:5" x14ac:dyDescent="0.25">
      <c r="A3173" t="s">
        <v>34</v>
      </c>
      <c r="B3173" t="s">
        <v>13</v>
      </c>
      <c r="C3173" s="1">
        <v>46161.190972222219</v>
      </c>
      <c r="D3173" s="1">
        <v>46184.606249999997</v>
      </c>
      <c r="E3173" s="2">
        <f t="shared" si="49"/>
        <v>23.415277777778101</v>
      </c>
    </row>
    <row r="3174" spans="1:5" x14ac:dyDescent="0.25">
      <c r="A3174" t="s">
        <v>10</v>
      </c>
      <c r="B3174" t="s">
        <v>25</v>
      </c>
      <c r="C3174" s="1">
        <v>46004.20416666667</v>
      </c>
      <c r="D3174" s="1">
        <v>46035.268750000003</v>
      </c>
      <c r="E3174" s="2">
        <f t="shared" si="49"/>
        <v>31.064583333332848</v>
      </c>
    </row>
    <row r="3175" spans="1:5" x14ac:dyDescent="0.25">
      <c r="A3175" t="s">
        <v>11</v>
      </c>
      <c r="B3175" t="s">
        <v>37</v>
      </c>
      <c r="C3175" s="1">
        <v>46124.32671296296</v>
      </c>
      <c r="D3175" s="1">
        <v>46141.252083333333</v>
      </c>
      <c r="E3175" s="2">
        <f t="shared" si="49"/>
        <v>16.925370370372548</v>
      </c>
    </row>
    <row r="3176" spans="1:5" x14ac:dyDescent="0.25">
      <c r="A3176" t="s">
        <v>34</v>
      </c>
      <c r="B3176" t="s">
        <v>13</v>
      </c>
      <c r="C3176" s="1">
        <v>46153.245787037027</v>
      </c>
      <c r="D3176" s="1">
        <v>46179.444444444453</v>
      </c>
      <c r="E3176" s="2">
        <f t="shared" si="49"/>
        <v>26.198657407425344</v>
      </c>
    </row>
    <row r="3177" spans="1:5" x14ac:dyDescent="0.25">
      <c r="A3177" t="s">
        <v>11</v>
      </c>
      <c r="B3177" t="s">
        <v>21</v>
      </c>
      <c r="C3177" s="1">
        <v>45948.32916666667</v>
      </c>
      <c r="D3177" s="1">
        <v>45959.15</v>
      </c>
      <c r="E3177" s="2">
        <f t="shared" si="49"/>
        <v>10.820833333331393</v>
      </c>
    </row>
    <row r="3178" spans="1:5" x14ac:dyDescent="0.25">
      <c r="A3178" t="s">
        <v>15</v>
      </c>
      <c r="B3178" t="s">
        <v>13</v>
      </c>
      <c r="C3178" s="1">
        <v>45870.779166666667</v>
      </c>
      <c r="D3178" s="1">
        <v>45906.515972222223</v>
      </c>
      <c r="E3178" s="2">
        <f t="shared" si="49"/>
        <v>35.736805555556202</v>
      </c>
    </row>
    <row r="3179" spans="1:5" x14ac:dyDescent="0.25">
      <c r="A3179" t="s">
        <v>11</v>
      </c>
      <c r="B3179" t="s">
        <v>37</v>
      </c>
      <c r="C3179" s="1">
        <v>45752.929166666669</v>
      </c>
      <c r="D3179" s="1">
        <v>45771.879166666673</v>
      </c>
      <c r="E3179" s="2">
        <f t="shared" si="49"/>
        <v>18.950000000004366</v>
      </c>
    </row>
    <row r="3180" spans="1:5" x14ac:dyDescent="0.25">
      <c r="A3180" t="s">
        <v>11</v>
      </c>
      <c r="B3180" t="s">
        <v>21</v>
      </c>
      <c r="C3180" s="1">
        <v>46262.874305555553</v>
      </c>
      <c r="D3180" s="1">
        <v>46274.116157407407</v>
      </c>
      <c r="E3180" s="2">
        <f t="shared" si="49"/>
        <v>11.241851851853426</v>
      </c>
    </row>
    <row r="3181" spans="1:5" x14ac:dyDescent="0.25">
      <c r="A3181" t="s">
        <v>7</v>
      </c>
      <c r="B3181" t="s">
        <v>13</v>
      </c>
      <c r="C3181" s="1">
        <v>46182.175000000003</v>
      </c>
      <c r="D3181" s="1">
        <v>46218.583333333343</v>
      </c>
      <c r="E3181" s="2">
        <f t="shared" si="49"/>
        <v>36.408333333340124</v>
      </c>
    </row>
    <row r="3182" spans="1:5" x14ac:dyDescent="0.25">
      <c r="A3182" t="s">
        <v>7</v>
      </c>
      <c r="B3182" t="s">
        <v>13</v>
      </c>
      <c r="C3182" s="1">
        <v>46230.834131944437</v>
      </c>
      <c r="D3182" s="1">
        <v>46265.556250000001</v>
      </c>
      <c r="E3182" s="2">
        <f t="shared" si="49"/>
        <v>34.722118055564351</v>
      </c>
    </row>
    <row r="3183" spans="1:5" x14ac:dyDescent="0.25">
      <c r="A3183" t="s">
        <v>8</v>
      </c>
      <c r="B3183" t="s">
        <v>13</v>
      </c>
      <c r="C3183" s="1">
        <v>45894.390162037038</v>
      </c>
      <c r="D3183" s="1">
        <v>45916.362500000003</v>
      </c>
      <c r="E3183" s="2">
        <f t="shared" si="49"/>
        <v>21.972337962964957</v>
      </c>
    </row>
    <row r="3184" spans="1:5" x14ac:dyDescent="0.25">
      <c r="A3184" t="s">
        <v>11</v>
      </c>
      <c r="B3184" t="s">
        <v>37</v>
      </c>
      <c r="C3184" s="1">
        <v>46098.109027777777</v>
      </c>
      <c r="D3184" s="1">
        <v>46116.626388888893</v>
      </c>
      <c r="E3184" s="2">
        <f t="shared" si="49"/>
        <v>18.51736111111677</v>
      </c>
    </row>
    <row r="3185" spans="1:5" x14ac:dyDescent="0.25">
      <c r="A3185" t="s">
        <v>22</v>
      </c>
      <c r="B3185" t="s">
        <v>14</v>
      </c>
      <c r="C3185" s="1">
        <v>45902.175000000003</v>
      </c>
      <c r="D3185" s="1">
        <v>45945.550694444442</v>
      </c>
      <c r="E3185" s="2">
        <f t="shared" si="49"/>
        <v>43.375694444439432</v>
      </c>
    </row>
    <row r="3186" spans="1:5" x14ac:dyDescent="0.25">
      <c r="A3186" t="s">
        <v>11</v>
      </c>
      <c r="B3186" t="s">
        <v>37</v>
      </c>
      <c r="C3186" s="1">
        <v>46012.908333333333</v>
      </c>
      <c r="D3186" s="1">
        <v>46022.511805555558</v>
      </c>
      <c r="E3186" s="2">
        <f t="shared" si="49"/>
        <v>9.6034722222248092</v>
      </c>
    </row>
    <row r="3187" spans="1:5" x14ac:dyDescent="0.25">
      <c r="A3187" t="s">
        <v>11</v>
      </c>
      <c r="B3187" t="s">
        <v>37</v>
      </c>
      <c r="C3187" s="1">
        <v>45683.512754629628</v>
      </c>
      <c r="D3187" s="1">
        <v>45700.025000000001</v>
      </c>
      <c r="E3187" s="2">
        <f t="shared" si="49"/>
        <v>16.512245370373421</v>
      </c>
    </row>
    <row r="3188" spans="1:5" x14ac:dyDescent="0.25">
      <c r="A3188" t="s">
        <v>15</v>
      </c>
      <c r="B3188" t="s">
        <v>38</v>
      </c>
      <c r="C3188" s="1">
        <v>46164.476388888892</v>
      </c>
      <c r="D3188" s="1">
        <v>46213.482638888891</v>
      </c>
      <c r="E3188" s="2">
        <f t="shared" si="49"/>
        <v>49.006249999998545</v>
      </c>
    </row>
    <row r="3189" spans="1:5" x14ac:dyDescent="0.25">
      <c r="A3189" t="s">
        <v>22</v>
      </c>
      <c r="B3189" t="s">
        <v>19</v>
      </c>
      <c r="C3189" s="1">
        <v>45748.209074074082</v>
      </c>
      <c r="D3189" s="1">
        <v>45816.841666666667</v>
      </c>
      <c r="E3189" s="2">
        <f t="shared" si="49"/>
        <v>68.632592592584842</v>
      </c>
    </row>
    <row r="3190" spans="1:5" x14ac:dyDescent="0.25">
      <c r="A3190" t="s">
        <v>10</v>
      </c>
      <c r="B3190" t="s">
        <v>11</v>
      </c>
      <c r="C3190" s="1">
        <v>46097.92291666667</v>
      </c>
      <c r="D3190" s="1">
        <v>46127.34652777778</v>
      </c>
      <c r="E3190" s="2">
        <f t="shared" si="49"/>
        <v>29.423611111109494</v>
      </c>
    </row>
    <row r="3191" spans="1:5" x14ac:dyDescent="0.25">
      <c r="A3191" t="s">
        <v>15</v>
      </c>
      <c r="B3191" t="s">
        <v>13</v>
      </c>
      <c r="C3191" s="1">
        <v>45896.65</v>
      </c>
      <c r="D3191" s="1">
        <v>45935.045138888891</v>
      </c>
      <c r="E3191" s="2">
        <f t="shared" si="49"/>
        <v>38.395138888889051</v>
      </c>
    </row>
    <row r="3192" spans="1:5" x14ac:dyDescent="0.25">
      <c r="A3192" t="s">
        <v>15</v>
      </c>
      <c r="B3192" t="s">
        <v>13</v>
      </c>
      <c r="C3192" s="1">
        <v>45959.658333333333</v>
      </c>
      <c r="D3192" s="1">
        <v>45998.316666666673</v>
      </c>
      <c r="E3192" s="2">
        <f t="shared" si="49"/>
        <v>38.658333333340124</v>
      </c>
    </row>
    <row r="3193" spans="1:5" x14ac:dyDescent="0.25">
      <c r="A3193" t="s">
        <v>34</v>
      </c>
      <c r="B3193" t="s">
        <v>13</v>
      </c>
      <c r="C3193" s="1">
        <v>45943.17083333333</v>
      </c>
      <c r="D3193" s="1">
        <v>45967.658333333333</v>
      </c>
      <c r="E3193" s="2">
        <f t="shared" si="49"/>
        <v>24.48750000000291</v>
      </c>
    </row>
    <row r="3194" spans="1:5" x14ac:dyDescent="0.25">
      <c r="A3194" t="s">
        <v>7</v>
      </c>
      <c r="B3194" t="s">
        <v>13</v>
      </c>
      <c r="C3194" s="1">
        <v>46244.965115740742</v>
      </c>
      <c r="D3194" s="1">
        <v>46279.498611111107</v>
      </c>
      <c r="E3194" s="2">
        <f t="shared" si="49"/>
        <v>34.533495370364108</v>
      </c>
    </row>
    <row r="3195" spans="1:5" x14ac:dyDescent="0.25">
      <c r="A3195" t="s">
        <v>34</v>
      </c>
      <c r="B3195" t="s">
        <v>13</v>
      </c>
      <c r="C3195" s="1">
        <v>45858.354166666657</v>
      </c>
      <c r="D3195" s="1">
        <v>45883.708333333343</v>
      </c>
      <c r="E3195" s="2">
        <f t="shared" si="49"/>
        <v>25.354166666686069</v>
      </c>
    </row>
    <row r="3196" spans="1:5" x14ac:dyDescent="0.25">
      <c r="A3196" t="s">
        <v>11</v>
      </c>
      <c r="B3196" t="s">
        <v>37</v>
      </c>
      <c r="C3196" s="1">
        <v>45924.762499999997</v>
      </c>
      <c r="D3196" s="1">
        <v>45947.375</v>
      </c>
      <c r="E3196" s="2">
        <f t="shared" si="49"/>
        <v>22.61250000000291</v>
      </c>
    </row>
    <row r="3197" spans="1:5" x14ac:dyDescent="0.25">
      <c r="A3197" t="s">
        <v>15</v>
      </c>
      <c r="B3197" t="s">
        <v>38</v>
      </c>
      <c r="C3197" s="1">
        <v>46232.938194444447</v>
      </c>
      <c r="D3197" s="1">
        <v>46279.838194444441</v>
      </c>
      <c r="E3197" s="2">
        <f t="shared" si="49"/>
        <v>46.899999999994179</v>
      </c>
    </row>
    <row r="3198" spans="1:5" x14ac:dyDescent="0.25">
      <c r="A3198" t="s">
        <v>22</v>
      </c>
      <c r="B3198" t="s">
        <v>14</v>
      </c>
      <c r="C3198" s="1">
        <v>45733.027777777781</v>
      </c>
      <c r="D3198" s="1">
        <v>45778.17083333333</v>
      </c>
      <c r="E3198" s="2">
        <f t="shared" si="49"/>
        <v>45.143055555548926</v>
      </c>
    </row>
    <row r="3199" spans="1:5" x14ac:dyDescent="0.25">
      <c r="A3199" t="s">
        <v>22</v>
      </c>
      <c r="B3199" t="s">
        <v>14</v>
      </c>
      <c r="C3199" s="1">
        <v>45733.434027777781</v>
      </c>
      <c r="D3199" s="1">
        <v>45796.770474537043</v>
      </c>
      <c r="E3199" s="2">
        <f t="shared" si="49"/>
        <v>63.336446759261889</v>
      </c>
    </row>
    <row r="3200" spans="1:5" x14ac:dyDescent="0.25">
      <c r="A3200" t="s">
        <v>10</v>
      </c>
      <c r="B3200" t="s">
        <v>11</v>
      </c>
      <c r="C3200" s="1">
        <v>45723.691666666673</v>
      </c>
      <c r="D3200" s="1">
        <v>45755.904166666667</v>
      </c>
      <c r="E3200" s="2">
        <f t="shared" si="49"/>
        <v>32.212499999994179</v>
      </c>
    </row>
    <row r="3201" spans="1:5" x14ac:dyDescent="0.25">
      <c r="A3201" t="s">
        <v>40</v>
      </c>
      <c r="B3201" t="s">
        <v>37</v>
      </c>
      <c r="C3201" s="1">
        <v>45730.116666666669</v>
      </c>
      <c r="D3201" s="1">
        <v>45742.283333333333</v>
      </c>
      <c r="E3201" s="2">
        <f t="shared" si="49"/>
        <v>12.166666666664241</v>
      </c>
    </row>
    <row r="3202" spans="1:5" x14ac:dyDescent="0.25">
      <c r="A3202" t="s">
        <v>11</v>
      </c>
      <c r="B3202" t="s">
        <v>37</v>
      </c>
      <c r="C3202" s="1">
        <v>45683.512754629628</v>
      </c>
      <c r="D3202" s="1">
        <v>45700.025000000001</v>
      </c>
      <c r="E3202" s="2">
        <f t="shared" ref="E3202:E3265" si="50">D3202-C3202</f>
        <v>16.512245370373421</v>
      </c>
    </row>
    <row r="3203" spans="1:5" x14ac:dyDescent="0.25">
      <c r="A3203" t="s">
        <v>11</v>
      </c>
      <c r="B3203" t="s">
        <v>37</v>
      </c>
      <c r="C3203" s="1">
        <v>45991.25</v>
      </c>
      <c r="D3203" s="1">
        <v>46006.245833333327</v>
      </c>
      <c r="E3203" s="2">
        <f t="shared" si="50"/>
        <v>14.995833333327028</v>
      </c>
    </row>
    <row r="3204" spans="1:5" x14ac:dyDescent="0.25">
      <c r="A3204" t="s">
        <v>11</v>
      </c>
      <c r="B3204" t="s">
        <v>21</v>
      </c>
      <c r="C3204" s="1">
        <v>46165.075590277767</v>
      </c>
      <c r="D3204" s="1">
        <v>46175.602083333331</v>
      </c>
      <c r="E3204" s="2">
        <f t="shared" si="50"/>
        <v>10.52649305556406</v>
      </c>
    </row>
    <row r="3205" spans="1:5" x14ac:dyDescent="0.25">
      <c r="A3205" t="s">
        <v>22</v>
      </c>
      <c r="B3205" t="s">
        <v>19</v>
      </c>
      <c r="C3205" s="1">
        <v>45748.2</v>
      </c>
      <c r="D3205" s="1">
        <v>45816.841666666667</v>
      </c>
      <c r="E3205" s="2">
        <f t="shared" si="50"/>
        <v>68.641666666670062</v>
      </c>
    </row>
    <row r="3206" spans="1:5" x14ac:dyDescent="0.25">
      <c r="A3206" t="s">
        <v>22</v>
      </c>
      <c r="B3206" t="s">
        <v>53</v>
      </c>
      <c r="C3206" s="1">
        <v>45665.777777777781</v>
      </c>
      <c r="D3206" s="1">
        <v>45734.253425925926</v>
      </c>
      <c r="E3206" s="2">
        <f t="shared" si="50"/>
        <v>68.47564814814541</v>
      </c>
    </row>
    <row r="3207" spans="1:5" x14ac:dyDescent="0.25">
      <c r="A3207" t="s">
        <v>22</v>
      </c>
      <c r="B3207" t="s">
        <v>19</v>
      </c>
      <c r="C3207" s="1">
        <v>45776.180555555547</v>
      </c>
      <c r="D3207" s="1">
        <v>45842.425000000003</v>
      </c>
      <c r="E3207" s="2">
        <f t="shared" si="50"/>
        <v>66.244444444455439</v>
      </c>
    </row>
    <row r="3208" spans="1:5" x14ac:dyDescent="0.25">
      <c r="A3208" t="s">
        <v>11</v>
      </c>
      <c r="B3208" t="s">
        <v>37</v>
      </c>
      <c r="C3208" s="1">
        <v>45749.81527777778</v>
      </c>
      <c r="D3208" s="1">
        <v>45762.925000000003</v>
      </c>
      <c r="E3208" s="2">
        <f t="shared" si="50"/>
        <v>13.109722222223354</v>
      </c>
    </row>
    <row r="3209" spans="1:5" x14ac:dyDescent="0.25">
      <c r="A3209" t="s">
        <v>15</v>
      </c>
      <c r="B3209" t="s">
        <v>13</v>
      </c>
      <c r="C3209" s="1">
        <v>46241.367766203701</v>
      </c>
      <c r="D3209" s="1">
        <v>46278.374305555553</v>
      </c>
      <c r="E3209" s="2">
        <f t="shared" si="50"/>
        <v>37.006539351852552</v>
      </c>
    </row>
    <row r="3210" spans="1:5" x14ac:dyDescent="0.25">
      <c r="A3210" t="s">
        <v>11</v>
      </c>
      <c r="B3210" t="s">
        <v>21</v>
      </c>
      <c r="C3210" s="1">
        <v>46046.084722222222</v>
      </c>
      <c r="D3210" s="1">
        <v>46057.333333333343</v>
      </c>
      <c r="E3210" s="2">
        <f t="shared" si="50"/>
        <v>11.248611111121136</v>
      </c>
    </row>
    <row r="3211" spans="1:5" x14ac:dyDescent="0.25">
      <c r="A3211" t="s">
        <v>40</v>
      </c>
      <c r="B3211" t="s">
        <v>37</v>
      </c>
      <c r="C3211" s="1">
        <v>45723.902453703697</v>
      </c>
      <c r="D3211" s="1">
        <v>45734.345833333333</v>
      </c>
      <c r="E3211" s="2">
        <f t="shared" si="50"/>
        <v>10.443379629636183</v>
      </c>
    </row>
    <row r="3212" spans="1:5" x14ac:dyDescent="0.25">
      <c r="A3212" t="s">
        <v>28</v>
      </c>
      <c r="B3212" t="s">
        <v>30</v>
      </c>
      <c r="C3212" s="1">
        <v>45864.701388888891</v>
      </c>
      <c r="D3212" s="1">
        <v>45914.316666666673</v>
      </c>
      <c r="E3212" s="2">
        <f t="shared" si="50"/>
        <v>49.615277777782467</v>
      </c>
    </row>
    <row r="3213" spans="1:5" x14ac:dyDescent="0.25">
      <c r="A3213" t="s">
        <v>22</v>
      </c>
      <c r="B3213" t="s">
        <v>14</v>
      </c>
      <c r="C3213" s="1">
        <v>45726.180520833332</v>
      </c>
      <c r="D3213" s="1">
        <v>45771.811805555553</v>
      </c>
      <c r="E3213" s="2">
        <f t="shared" si="50"/>
        <v>45.631284722221608</v>
      </c>
    </row>
    <row r="3214" spans="1:5" x14ac:dyDescent="0.25">
      <c r="A3214" t="s">
        <v>34</v>
      </c>
      <c r="B3214" t="s">
        <v>13</v>
      </c>
      <c r="C3214" s="1">
        <v>46153.23333333333</v>
      </c>
      <c r="D3214" s="1">
        <v>46179.444444444453</v>
      </c>
      <c r="E3214" s="2">
        <f t="shared" si="50"/>
        <v>26.211111111122591</v>
      </c>
    </row>
    <row r="3215" spans="1:5" x14ac:dyDescent="0.25">
      <c r="A3215" t="s">
        <v>34</v>
      </c>
      <c r="B3215" t="s">
        <v>13</v>
      </c>
      <c r="C3215" s="1">
        <v>46135.04583333333</v>
      </c>
      <c r="D3215" s="1">
        <v>46153.532638888893</v>
      </c>
      <c r="E3215" s="2">
        <f t="shared" si="50"/>
        <v>18.486805555563478</v>
      </c>
    </row>
    <row r="3216" spans="1:5" x14ac:dyDescent="0.25">
      <c r="A3216" t="s">
        <v>22</v>
      </c>
      <c r="B3216" t="s">
        <v>14</v>
      </c>
      <c r="C3216" s="1">
        <v>45883.528611111113</v>
      </c>
      <c r="D3216" s="1">
        <v>45931.817361111112</v>
      </c>
      <c r="E3216" s="2">
        <f t="shared" si="50"/>
        <v>48.288749999999709</v>
      </c>
    </row>
    <row r="3217" spans="1:5" x14ac:dyDescent="0.25">
      <c r="A3217" t="s">
        <v>18</v>
      </c>
      <c r="B3217" t="s">
        <v>27</v>
      </c>
      <c r="C3217" s="1">
        <v>45725.714826388888</v>
      </c>
      <c r="D3217" s="1">
        <v>45812.76666666667</v>
      </c>
      <c r="E3217" s="2">
        <f t="shared" si="50"/>
        <v>87.051840277781594</v>
      </c>
    </row>
    <row r="3218" spans="1:5" x14ac:dyDescent="0.25">
      <c r="A3218" t="s">
        <v>13</v>
      </c>
      <c r="B3218" t="s">
        <v>8</v>
      </c>
      <c r="C3218" s="1">
        <v>46159.385000000002</v>
      </c>
      <c r="D3218" s="1">
        <v>46183.118750000001</v>
      </c>
      <c r="E3218" s="2">
        <f t="shared" si="50"/>
        <v>23.733749999999418</v>
      </c>
    </row>
    <row r="3219" spans="1:5" x14ac:dyDescent="0.25">
      <c r="A3219" t="s">
        <v>10</v>
      </c>
      <c r="B3219" t="s">
        <v>11</v>
      </c>
      <c r="C3219" s="1">
        <v>46013.066666666673</v>
      </c>
      <c r="D3219" s="1">
        <v>46043.607638888891</v>
      </c>
      <c r="E3219" s="2">
        <f t="shared" si="50"/>
        <v>30.540972222217533</v>
      </c>
    </row>
    <row r="3220" spans="1:5" x14ac:dyDescent="0.25">
      <c r="A3220" t="s">
        <v>15</v>
      </c>
      <c r="B3220" t="s">
        <v>13</v>
      </c>
      <c r="C3220" s="1">
        <v>45988.254166666673</v>
      </c>
      <c r="D3220" s="1">
        <v>46025.690972222219</v>
      </c>
      <c r="E3220" s="2">
        <f t="shared" si="50"/>
        <v>37.436805555546016</v>
      </c>
    </row>
    <row r="3221" spans="1:5" x14ac:dyDescent="0.25">
      <c r="A3221" t="s">
        <v>22</v>
      </c>
      <c r="B3221" t="s">
        <v>14</v>
      </c>
      <c r="C3221" s="1">
        <v>45712.171527777777</v>
      </c>
      <c r="D3221" s="1">
        <v>45756.854166666657</v>
      </c>
      <c r="E3221" s="2">
        <f t="shared" si="50"/>
        <v>44.682638888880319</v>
      </c>
    </row>
    <row r="3222" spans="1:5" x14ac:dyDescent="0.25">
      <c r="A3222" t="s">
        <v>8</v>
      </c>
      <c r="B3222" t="s">
        <v>13</v>
      </c>
      <c r="C3222" s="1">
        <v>45894.388888888891</v>
      </c>
      <c r="D3222" s="1">
        <v>45916.362500000003</v>
      </c>
      <c r="E3222" s="2">
        <f t="shared" si="50"/>
        <v>21.973611111112405</v>
      </c>
    </row>
    <row r="3223" spans="1:5" x14ac:dyDescent="0.25">
      <c r="A3223" t="s">
        <v>22</v>
      </c>
      <c r="B3223" t="s">
        <v>14</v>
      </c>
      <c r="C3223" s="1">
        <v>45712.171527777777</v>
      </c>
      <c r="D3223" s="1">
        <v>45756.854166666657</v>
      </c>
      <c r="E3223" s="2">
        <f t="shared" si="50"/>
        <v>44.682638888880319</v>
      </c>
    </row>
    <row r="3224" spans="1:5" x14ac:dyDescent="0.25">
      <c r="A3224" t="s">
        <v>13</v>
      </c>
      <c r="B3224" t="s">
        <v>8</v>
      </c>
      <c r="C3224" s="1">
        <v>46174.882118055553</v>
      </c>
      <c r="D3224" s="1">
        <v>46192.109722222223</v>
      </c>
      <c r="E3224" s="2">
        <f t="shared" si="50"/>
        <v>17.227604166670062</v>
      </c>
    </row>
    <row r="3225" spans="1:5" x14ac:dyDescent="0.25">
      <c r="A3225" t="s">
        <v>14</v>
      </c>
      <c r="B3225" t="s">
        <v>34</v>
      </c>
      <c r="C3225" s="1">
        <v>45815.137499999997</v>
      </c>
      <c r="D3225" s="1">
        <v>45843.662499999999</v>
      </c>
      <c r="E3225" s="2">
        <f t="shared" si="50"/>
        <v>28.525000000001455</v>
      </c>
    </row>
    <row r="3226" spans="1:5" x14ac:dyDescent="0.25">
      <c r="A3226" t="s">
        <v>40</v>
      </c>
      <c r="B3226" t="s">
        <v>37</v>
      </c>
      <c r="C3226" s="1">
        <v>45921.006944444453</v>
      </c>
      <c r="D3226" s="1">
        <v>45932.691666666673</v>
      </c>
      <c r="E3226" s="2">
        <f t="shared" si="50"/>
        <v>11.684722222220444</v>
      </c>
    </row>
    <row r="3227" spans="1:5" x14ac:dyDescent="0.25">
      <c r="A3227" t="s">
        <v>11</v>
      </c>
      <c r="B3227" t="s">
        <v>37</v>
      </c>
      <c r="C3227" s="1">
        <v>46110.554166666669</v>
      </c>
      <c r="D3227" s="1">
        <v>46127.342361111107</v>
      </c>
      <c r="E3227" s="2">
        <f t="shared" si="50"/>
        <v>16.788194444437977</v>
      </c>
    </row>
    <row r="3228" spans="1:5" x14ac:dyDescent="0.25">
      <c r="A3228" t="s">
        <v>22</v>
      </c>
      <c r="B3228" t="s">
        <v>14</v>
      </c>
      <c r="C3228" s="1">
        <v>45936.666666666657</v>
      </c>
      <c r="D3228" s="1">
        <v>45980.79583333333</v>
      </c>
      <c r="E3228" s="2">
        <f t="shared" si="50"/>
        <v>44.129166666672972</v>
      </c>
    </row>
    <row r="3229" spans="1:5" x14ac:dyDescent="0.25">
      <c r="A3229" t="s">
        <v>22</v>
      </c>
      <c r="B3229" t="s">
        <v>19</v>
      </c>
      <c r="C3229" s="1">
        <v>45673.771851851852</v>
      </c>
      <c r="D3229" s="1">
        <v>45742.020833333343</v>
      </c>
      <c r="E3229" s="2">
        <f t="shared" si="50"/>
        <v>68.248981481490773</v>
      </c>
    </row>
    <row r="3230" spans="1:5" x14ac:dyDescent="0.25">
      <c r="A3230" t="s">
        <v>10</v>
      </c>
      <c r="B3230" t="s">
        <v>11</v>
      </c>
      <c r="C3230" s="1">
        <v>45884.25</v>
      </c>
      <c r="D3230" s="1">
        <v>45918.07916666667</v>
      </c>
      <c r="E3230" s="2">
        <f t="shared" si="50"/>
        <v>33.829166666670062</v>
      </c>
    </row>
    <row r="3231" spans="1:5" x14ac:dyDescent="0.25">
      <c r="A3231" t="s">
        <v>11</v>
      </c>
      <c r="B3231" t="s">
        <v>37</v>
      </c>
      <c r="C3231" s="1">
        <v>45766.899282407408</v>
      </c>
      <c r="D3231" s="1">
        <v>45783.912395833337</v>
      </c>
      <c r="E3231" s="2">
        <f t="shared" si="50"/>
        <v>17.013113425928168</v>
      </c>
    </row>
    <row r="3232" spans="1:5" x14ac:dyDescent="0.25">
      <c r="A3232" t="s">
        <v>22</v>
      </c>
      <c r="B3232" t="s">
        <v>14</v>
      </c>
      <c r="C3232" s="1">
        <v>45768.991863425923</v>
      </c>
      <c r="D3232" s="1">
        <v>45822.563888888893</v>
      </c>
      <c r="E3232" s="2">
        <f t="shared" si="50"/>
        <v>53.572025462970487</v>
      </c>
    </row>
    <row r="3233" spans="1:5" x14ac:dyDescent="0.25">
      <c r="A3233" t="s">
        <v>42</v>
      </c>
      <c r="B3233" t="s">
        <v>19</v>
      </c>
      <c r="C3233" s="1">
        <v>45894.102939814817</v>
      </c>
      <c r="D3233" s="1">
        <v>45931.597916666673</v>
      </c>
      <c r="E3233" s="2">
        <f t="shared" si="50"/>
        <v>37.494976851856336</v>
      </c>
    </row>
    <row r="3234" spans="1:5" x14ac:dyDescent="0.25">
      <c r="A3234" t="s">
        <v>15</v>
      </c>
      <c r="B3234" t="s">
        <v>13</v>
      </c>
      <c r="C3234" s="1">
        <v>46093.517361111109</v>
      </c>
      <c r="D3234" s="1">
        <v>46131.701388888891</v>
      </c>
      <c r="E3234" s="2">
        <f t="shared" si="50"/>
        <v>38.184027777781012</v>
      </c>
    </row>
    <row r="3235" spans="1:5" x14ac:dyDescent="0.25">
      <c r="A3235" t="s">
        <v>15</v>
      </c>
      <c r="B3235" t="s">
        <v>38</v>
      </c>
      <c r="C3235" s="1">
        <v>46011.584548611107</v>
      </c>
      <c r="D3235" s="1">
        <v>46056.708333333343</v>
      </c>
      <c r="E3235" s="2">
        <f t="shared" si="50"/>
        <v>45.123784722236451</v>
      </c>
    </row>
    <row r="3236" spans="1:5" x14ac:dyDescent="0.25">
      <c r="A3236" t="s">
        <v>7</v>
      </c>
      <c r="B3236" t="s">
        <v>20</v>
      </c>
      <c r="C3236" s="1">
        <v>45978.756944444453</v>
      </c>
      <c r="D3236" s="1">
        <v>46038.643055555563</v>
      </c>
      <c r="E3236" s="2">
        <f t="shared" si="50"/>
        <v>59.886111111110949</v>
      </c>
    </row>
    <row r="3237" spans="1:5" x14ac:dyDescent="0.25">
      <c r="A3237" t="s">
        <v>40</v>
      </c>
      <c r="B3237" t="s">
        <v>37</v>
      </c>
      <c r="C3237" s="1">
        <v>45940.911041666674</v>
      </c>
      <c r="D3237" s="1">
        <v>45954.65</v>
      </c>
      <c r="E3237" s="2">
        <f t="shared" si="50"/>
        <v>13.738958333327901</v>
      </c>
    </row>
    <row r="3238" spans="1:5" x14ac:dyDescent="0.25">
      <c r="A3238" t="s">
        <v>34</v>
      </c>
      <c r="B3238" t="s">
        <v>13</v>
      </c>
      <c r="C3238" s="1">
        <v>46161.195972222216</v>
      </c>
      <c r="D3238" s="1">
        <v>46184.606249999997</v>
      </c>
      <c r="E3238" s="2">
        <f t="shared" si="50"/>
        <v>23.41027777778072</v>
      </c>
    </row>
    <row r="3239" spans="1:5" x14ac:dyDescent="0.25">
      <c r="A3239" t="s">
        <v>22</v>
      </c>
      <c r="B3239" t="s">
        <v>19</v>
      </c>
      <c r="C3239" s="1">
        <v>45733.453414351847</v>
      </c>
      <c r="D3239" s="1">
        <v>45815.247777777768</v>
      </c>
      <c r="E3239" s="2">
        <f t="shared" si="50"/>
        <v>81.794363425920892</v>
      </c>
    </row>
    <row r="3240" spans="1:5" x14ac:dyDescent="0.25">
      <c r="A3240" t="s">
        <v>8</v>
      </c>
      <c r="B3240" t="s">
        <v>13</v>
      </c>
      <c r="C3240" s="1">
        <v>45894.388888888891</v>
      </c>
      <c r="D3240" s="1">
        <v>45916.362500000003</v>
      </c>
      <c r="E3240" s="2">
        <f t="shared" si="50"/>
        <v>21.973611111112405</v>
      </c>
    </row>
    <row r="3241" spans="1:5" x14ac:dyDescent="0.25">
      <c r="A3241" t="s">
        <v>15</v>
      </c>
      <c r="B3241" t="s">
        <v>13</v>
      </c>
      <c r="C3241" s="1">
        <v>46226.007013888891</v>
      </c>
      <c r="D3241" s="1">
        <v>46271.23542824074</v>
      </c>
      <c r="E3241" s="2">
        <f t="shared" si="50"/>
        <v>45.228414351848187</v>
      </c>
    </row>
    <row r="3242" spans="1:5" x14ac:dyDescent="0.25">
      <c r="A3242" t="s">
        <v>15</v>
      </c>
      <c r="B3242" t="s">
        <v>13</v>
      </c>
      <c r="C3242" s="1">
        <v>46037.981307870366</v>
      </c>
      <c r="D3242" s="1">
        <v>46092.51458333333</v>
      </c>
      <c r="E3242" s="2">
        <f t="shared" si="50"/>
        <v>54.533275462963502</v>
      </c>
    </row>
    <row r="3243" spans="1:5" x14ac:dyDescent="0.25">
      <c r="A3243" t="s">
        <v>8</v>
      </c>
      <c r="B3243" t="s">
        <v>13</v>
      </c>
      <c r="C3243" s="1">
        <v>45942.489583333343</v>
      </c>
      <c r="D3243" s="1">
        <v>45964.758333333331</v>
      </c>
      <c r="E3243" s="2">
        <f t="shared" si="50"/>
        <v>22.268749999988358</v>
      </c>
    </row>
    <row r="3244" spans="1:5" x14ac:dyDescent="0.25">
      <c r="A3244" t="s">
        <v>22</v>
      </c>
      <c r="B3244" t="s">
        <v>14</v>
      </c>
      <c r="C3244" s="1">
        <v>45740.18445601852</v>
      </c>
      <c r="D3244" s="1">
        <v>45784.834722222222</v>
      </c>
      <c r="E3244" s="2">
        <f t="shared" si="50"/>
        <v>44.650266203701904</v>
      </c>
    </row>
    <row r="3245" spans="1:5" x14ac:dyDescent="0.25">
      <c r="A3245" t="s">
        <v>18</v>
      </c>
      <c r="B3245" t="s">
        <v>27</v>
      </c>
      <c r="C3245" s="1">
        <v>45663.288194444453</v>
      </c>
      <c r="D3245" s="1">
        <v>45735.613009259258</v>
      </c>
      <c r="E3245" s="2">
        <f t="shared" si="50"/>
        <v>72.324814814804995</v>
      </c>
    </row>
    <row r="3246" spans="1:5" x14ac:dyDescent="0.25">
      <c r="A3246" t="s">
        <v>13</v>
      </c>
      <c r="B3246" t="s">
        <v>8</v>
      </c>
      <c r="C3246" s="1">
        <v>46241.056006944447</v>
      </c>
      <c r="D3246" s="1">
        <v>46260.691666666673</v>
      </c>
      <c r="E3246" s="2">
        <f t="shared" si="50"/>
        <v>19.635659722225682</v>
      </c>
    </row>
    <row r="3247" spans="1:5" x14ac:dyDescent="0.25">
      <c r="A3247" t="s">
        <v>11</v>
      </c>
      <c r="B3247" t="s">
        <v>37</v>
      </c>
      <c r="C3247" s="1">
        <v>46098.109027777777</v>
      </c>
      <c r="D3247" s="1">
        <v>46116.626388888893</v>
      </c>
      <c r="E3247" s="2">
        <f t="shared" si="50"/>
        <v>18.51736111111677</v>
      </c>
    </row>
    <row r="3248" spans="1:5" x14ac:dyDescent="0.25">
      <c r="A3248" t="s">
        <v>15</v>
      </c>
      <c r="B3248" t="s">
        <v>13</v>
      </c>
      <c r="C3248" s="1">
        <v>45931.458333333343</v>
      </c>
      <c r="D3248" s="1">
        <v>45977.095833333333</v>
      </c>
      <c r="E3248" s="2">
        <f t="shared" si="50"/>
        <v>45.637499999989814</v>
      </c>
    </row>
    <row r="3249" spans="1:5" x14ac:dyDescent="0.25">
      <c r="A3249" t="s">
        <v>22</v>
      </c>
      <c r="B3249" t="s">
        <v>19</v>
      </c>
      <c r="C3249" s="1">
        <v>45763.170138888891</v>
      </c>
      <c r="D3249" s="1">
        <v>45816.841666666667</v>
      </c>
      <c r="E3249" s="2">
        <f t="shared" si="50"/>
        <v>53.671527777776646</v>
      </c>
    </row>
    <row r="3250" spans="1:5" x14ac:dyDescent="0.25">
      <c r="A3250" t="s">
        <v>15</v>
      </c>
      <c r="B3250" t="s">
        <v>13</v>
      </c>
      <c r="C3250" s="1">
        <v>46010.15</v>
      </c>
      <c r="D3250" s="1">
        <v>46048.311805555553</v>
      </c>
      <c r="E3250" s="2">
        <f t="shared" si="50"/>
        <v>38.161805555551837</v>
      </c>
    </row>
    <row r="3251" spans="1:5" x14ac:dyDescent="0.25">
      <c r="A3251" t="s">
        <v>14</v>
      </c>
      <c r="B3251" t="s">
        <v>34</v>
      </c>
      <c r="C3251" s="1">
        <v>45787.665972222218</v>
      </c>
      <c r="D3251" s="1">
        <v>45815.629166666673</v>
      </c>
      <c r="E3251" s="2">
        <f t="shared" si="50"/>
        <v>27.963194444455439</v>
      </c>
    </row>
    <row r="3252" spans="1:5" x14ac:dyDescent="0.25">
      <c r="A3252" t="s">
        <v>22</v>
      </c>
      <c r="B3252" t="s">
        <v>14</v>
      </c>
      <c r="C3252" s="1">
        <v>45883.528611111113</v>
      </c>
      <c r="D3252" s="1">
        <v>45931.817361111112</v>
      </c>
      <c r="E3252" s="2">
        <f t="shared" si="50"/>
        <v>48.288749999999709</v>
      </c>
    </row>
    <row r="3253" spans="1:5" x14ac:dyDescent="0.25">
      <c r="A3253" t="s">
        <v>10</v>
      </c>
      <c r="B3253" t="s">
        <v>11</v>
      </c>
      <c r="C3253" s="1">
        <v>45670.137708333343</v>
      </c>
      <c r="D3253" s="1">
        <v>45693.404166666667</v>
      </c>
      <c r="E3253" s="2">
        <f t="shared" si="50"/>
        <v>23.266458333324408</v>
      </c>
    </row>
    <row r="3254" spans="1:5" x14ac:dyDescent="0.25">
      <c r="A3254" t="s">
        <v>34</v>
      </c>
      <c r="B3254" t="s">
        <v>13</v>
      </c>
      <c r="C3254" s="1">
        <v>46062.730555555558</v>
      </c>
      <c r="D3254" s="1">
        <v>46101.017361111109</v>
      </c>
      <c r="E3254" s="2">
        <f t="shared" si="50"/>
        <v>38.286805555551837</v>
      </c>
    </row>
    <row r="3255" spans="1:5" x14ac:dyDescent="0.25">
      <c r="A3255" t="s">
        <v>10</v>
      </c>
      <c r="B3255" t="s">
        <v>11</v>
      </c>
      <c r="C3255" s="1">
        <v>45815.004166666673</v>
      </c>
      <c r="D3255" s="1">
        <v>45840.362500000003</v>
      </c>
      <c r="E3255" s="2">
        <f t="shared" si="50"/>
        <v>25.358333333329938</v>
      </c>
    </row>
    <row r="3256" spans="1:5" x14ac:dyDescent="0.25">
      <c r="A3256" t="s">
        <v>34</v>
      </c>
      <c r="B3256" t="s">
        <v>13</v>
      </c>
      <c r="C3256" s="1">
        <v>46254.072916666657</v>
      </c>
      <c r="D3256" s="1">
        <v>46277.713194444441</v>
      </c>
      <c r="E3256" s="2">
        <f t="shared" si="50"/>
        <v>23.640277777783922</v>
      </c>
    </row>
    <row r="3257" spans="1:5" x14ac:dyDescent="0.25">
      <c r="A3257" t="s">
        <v>34</v>
      </c>
      <c r="B3257" t="s">
        <v>13</v>
      </c>
      <c r="C3257" s="1">
        <v>46107.679861111108</v>
      </c>
      <c r="D3257" s="1">
        <v>46136.920138888891</v>
      </c>
      <c r="E3257" s="2">
        <f t="shared" si="50"/>
        <v>29.240277777782467</v>
      </c>
    </row>
    <row r="3258" spans="1:5" x14ac:dyDescent="0.25">
      <c r="A3258" t="s">
        <v>8</v>
      </c>
      <c r="B3258" t="s">
        <v>13</v>
      </c>
      <c r="C3258" s="1">
        <v>46046.001388888893</v>
      </c>
      <c r="D3258" s="1">
        <v>46077.995833333327</v>
      </c>
      <c r="E3258" s="2">
        <f t="shared" si="50"/>
        <v>31.994444444433611</v>
      </c>
    </row>
    <row r="3259" spans="1:5" x14ac:dyDescent="0.25">
      <c r="A3259" t="s">
        <v>22</v>
      </c>
      <c r="B3259" t="s">
        <v>14</v>
      </c>
      <c r="C3259" s="1">
        <v>45797.070833333331</v>
      </c>
      <c r="D3259" s="1">
        <v>45847.831250000003</v>
      </c>
      <c r="E3259" s="2">
        <f t="shared" si="50"/>
        <v>50.760416666671517</v>
      </c>
    </row>
    <row r="3260" spans="1:5" x14ac:dyDescent="0.25">
      <c r="A3260" t="s">
        <v>22</v>
      </c>
      <c r="B3260" t="s">
        <v>14</v>
      </c>
      <c r="C3260" s="1">
        <v>45754.168738425928</v>
      </c>
      <c r="D3260" s="1">
        <v>45812.804861111108</v>
      </c>
      <c r="E3260" s="2">
        <f t="shared" si="50"/>
        <v>58.636122685180453</v>
      </c>
    </row>
    <row r="3261" spans="1:5" x14ac:dyDescent="0.25">
      <c r="A3261" t="s">
        <v>18</v>
      </c>
      <c r="B3261" t="s">
        <v>27</v>
      </c>
      <c r="C3261" s="1">
        <v>45704.913194444453</v>
      </c>
      <c r="D3261" s="1">
        <v>45778.336805555547</v>
      </c>
      <c r="E3261" s="2">
        <f t="shared" si="50"/>
        <v>73.423611111094942</v>
      </c>
    </row>
    <row r="3262" spans="1:5" x14ac:dyDescent="0.25">
      <c r="A3262" t="s">
        <v>22</v>
      </c>
      <c r="B3262" t="s">
        <v>14</v>
      </c>
      <c r="C3262" s="1">
        <v>45943.099374999998</v>
      </c>
      <c r="D3262" s="1">
        <v>45987.533333333333</v>
      </c>
      <c r="E3262" s="2">
        <f t="shared" si="50"/>
        <v>44.433958333334886</v>
      </c>
    </row>
    <row r="3263" spans="1:5" x14ac:dyDescent="0.25">
      <c r="A3263" t="s">
        <v>11</v>
      </c>
      <c r="B3263" t="s">
        <v>37</v>
      </c>
      <c r="C3263" s="1">
        <v>45991.25</v>
      </c>
      <c r="D3263" s="1">
        <v>46006.245833333327</v>
      </c>
      <c r="E3263" s="2">
        <f t="shared" si="50"/>
        <v>14.995833333327028</v>
      </c>
    </row>
    <row r="3264" spans="1:5" x14ac:dyDescent="0.25">
      <c r="A3264" t="s">
        <v>11</v>
      </c>
      <c r="B3264" t="s">
        <v>21</v>
      </c>
      <c r="C3264" s="1">
        <v>46248.102083333331</v>
      </c>
      <c r="D3264" s="1">
        <v>46268.916666666657</v>
      </c>
      <c r="E3264" s="2">
        <f t="shared" si="50"/>
        <v>20.814583333325572</v>
      </c>
    </row>
    <row r="3265" spans="1:5" x14ac:dyDescent="0.25">
      <c r="A3265" t="s">
        <v>22</v>
      </c>
      <c r="B3265" t="s">
        <v>19</v>
      </c>
      <c r="C3265" s="1">
        <v>45775.8749537037</v>
      </c>
      <c r="D3265" s="1">
        <v>45842.425000000003</v>
      </c>
      <c r="E3265" s="2">
        <f t="shared" si="50"/>
        <v>66.550046296302753</v>
      </c>
    </row>
    <row r="3266" spans="1:5" x14ac:dyDescent="0.25">
      <c r="A3266" t="s">
        <v>8</v>
      </c>
      <c r="B3266" t="s">
        <v>13</v>
      </c>
      <c r="C3266" s="1">
        <v>45838.708333333343</v>
      </c>
      <c r="D3266" s="1">
        <v>45866.820833333331</v>
      </c>
      <c r="E3266" s="2">
        <f t="shared" ref="E3266:E3329" si="51">D3266-C3266</f>
        <v>28.112499999988358</v>
      </c>
    </row>
    <row r="3267" spans="1:5" x14ac:dyDescent="0.25">
      <c r="A3267" t="s">
        <v>22</v>
      </c>
      <c r="B3267" t="s">
        <v>19</v>
      </c>
      <c r="C3267" s="1">
        <v>45705.035416666673</v>
      </c>
      <c r="D3267" s="1">
        <v>45773.758333333331</v>
      </c>
      <c r="E3267" s="2">
        <f t="shared" si="51"/>
        <v>68.722916666658421</v>
      </c>
    </row>
    <row r="3268" spans="1:5" x14ac:dyDescent="0.25">
      <c r="A3268" t="s">
        <v>22</v>
      </c>
      <c r="B3268" t="s">
        <v>14</v>
      </c>
      <c r="C3268" s="1">
        <v>45929.566701388889</v>
      </c>
      <c r="D3268" s="1">
        <v>45974.012499999997</v>
      </c>
      <c r="E3268" s="2">
        <f t="shared" si="51"/>
        <v>44.44579861110833</v>
      </c>
    </row>
    <row r="3269" spans="1:5" x14ac:dyDescent="0.25">
      <c r="A3269" t="s">
        <v>22</v>
      </c>
      <c r="B3269" t="s">
        <v>19</v>
      </c>
      <c r="C3269" s="1">
        <v>45705.035416666673</v>
      </c>
      <c r="D3269" s="1">
        <v>45773.758333333331</v>
      </c>
      <c r="E3269" s="2">
        <f t="shared" si="51"/>
        <v>68.722916666658421</v>
      </c>
    </row>
    <row r="3270" spans="1:5" x14ac:dyDescent="0.25">
      <c r="A3270" t="s">
        <v>15</v>
      </c>
      <c r="B3270" t="s">
        <v>13</v>
      </c>
      <c r="C3270" s="1">
        <v>46099.5</v>
      </c>
      <c r="D3270" s="1">
        <v>46139.532638888893</v>
      </c>
      <c r="E3270" s="2">
        <f t="shared" si="51"/>
        <v>40.032638888893416</v>
      </c>
    </row>
    <row r="3271" spans="1:5" x14ac:dyDescent="0.25">
      <c r="A3271" t="s">
        <v>15</v>
      </c>
      <c r="B3271" t="s">
        <v>18</v>
      </c>
      <c r="C3271" s="1">
        <v>46157.243194444447</v>
      </c>
      <c r="D3271" s="1">
        <v>46210.369444444441</v>
      </c>
      <c r="E3271" s="2">
        <f t="shared" si="51"/>
        <v>53.126249999993888</v>
      </c>
    </row>
    <row r="3272" spans="1:5" x14ac:dyDescent="0.25">
      <c r="A3272" t="s">
        <v>34</v>
      </c>
      <c r="B3272" t="s">
        <v>13</v>
      </c>
      <c r="C3272" s="1">
        <v>46153.245787037027</v>
      </c>
      <c r="D3272" s="1">
        <v>46179.444444444453</v>
      </c>
      <c r="E3272" s="2">
        <f t="shared" si="51"/>
        <v>26.198657407425344</v>
      </c>
    </row>
    <row r="3273" spans="1:5" x14ac:dyDescent="0.25">
      <c r="A3273" t="s">
        <v>15</v>
      </c>
      <c r="B3273" t="s">
        <v>13</v>
      </c>
      <c r="C3273" s="1">
        <v>45855.370833333327</v>
      </c>
      <c r="D3273" s="1">
        <v>45892.729166666657</v>
      </c>
      <c r="E3273" s="2">
        <f t="shared" si="51"/>
        <v>37.358333333329938</v>
      </c>
    </row>
    <row r="3274" spans="1:5" x14ac:dyDescent="0.25">
      <c r="A3274" t="s">
        <v>11</v>
      </c>
      <c r="B3274" t="s">
        <v>21</v>
      </c>
      <c r="C3274" s="1">
        <v>45849.261307870373</v>
      </c>
      <c r="D3274" s="1">
        <v>45862.020833333343</v>
      </c>
      <c r="E3274" s="2">
        <f t="shared" si="51"/>
        <v>12.759525462970487</v>
      </c>
    </row>
    <row r="3275" spans="1:5" x14ac:dyDescent="0.25">
      <c r="A3275" t="s">
        <v>11</v>
      </c>
      <c r="B3275" t="s">
        <v>21</v>
      </c>
      <c r="C3275" s="1">
        <v>45920.367743055547</v>
      </c>
      <c r="D3275" s="1">
        <v>45930.537499999999</v>
      </c>
      <c r="E3275" s="2">
        <f t="shared" si="51"/>
        <v>10.169756944451365</v>
      </c>
    </row>
    <row r="3276" spans="1:5" x14ac:dyDescent="0.25">
      <c r="A3276" t="s">
        <v>11</v>
      </c>
      <c r="B3276" t="s">
        <v>21</v>
      </c>
      <c r="C3276" s="1">
        <v>45828.735555555562</v>
      </c>
      <c r="D3276" s="1">
        <v>45839.458333333343</v>
      </c>
      <c r="E3276" s="2">
        <f t="shared" si="51"/>
        <v>10.72277777778072</v>
      </c>
    </row>
    <row r="3277" spans="1:5" x14ac:dyDescent="0.25">
      <c r="A3277" t="s">
        <v>15</v>
      </c>
      <c r="B3277" t="s">
        <v>13</v>
      </c>
      <c r="C3277" s="1">
        <v>45980.779166666667</v>
      </c>
      <c r="D3277" s="1">
        <v>46019.224999999999</v>
      </c>
      <c r="E3277" s="2">
        <f t="shared" si="51"/>
        <v>38.445833333331393</v>
      </c>
    </row>
    <row r="3278" spans="1:5" x14ac:dyDescent="0.25">
      <c r="A3278" t="s">
        <v>13</v>
      </c>
      <c r="B3278" t="s">
        <v>8</v>
      </c>
      <c r="C3278" s="1">
        <v>46210.522951388892</v>
      </c>
      <c r="D3278" s="1">
        <v>46234.439583333333</v>
      </c>
      <c r="E3278" s="2">
        <f t="shared" si="51"/>
        <v>23.916631944441178</v>
      </c>
    </row>
    <row r="3279" spans="1:5" x14ac:dyDescent="0.25">
      <c r="A3279" t="s">
        <v>22</v>
      </c>
      <c r="B3279" t="s">
        <v>14</v>
      </c>
      <c r="C3279" s="1">
        <v>45883.528611111113</v>
      </c>
      <c r="D3279" s="1">
        <v>45931.817361111112</v>
      </c>
      <c r="E3279" s="2">
        <f t="shared" si="51"/>
        <v>48.288749999999709</v>
      </c>
    </row>
    <row r="3280" spans="1:5" x14ac:dyDescent="0.25">
      <c r="A3280" t="s">
        <v>22</v>
      </c>
      <c r="B3280" t="s">
        <v>19</v>
      </c>
      <c r="C3280" s="1">
        <v>45688.381249999999</v>
      </c>
      <c r="D3280" s="1">
        <v>45755.558333333327</v>
      </c>
      <c r="E3280" s="2">
        <f t="shared" si="51"/>
        <v>67.177083333328483</v>
      </c>
    </row>
    <row r="3281" spans="1:5" x14ac:dyDescent="0.25">
      <c r="A3281" t="s">
        <v>10</v>
      </c>
      <c r="B3281" t="s">
        <v>11</v>
      </c>
      <c r="C3281" s="1">
        <v>46068.932638888888</v>
      </c>
      <c r="D3281" s="1">
        <v>46099.4</v>
      </c>
      <c r="E3281" s="2">
        <f t="shared" si="51"/>
        <v>30.46736111111386</v>
      </c>
    </row>
    <row r="3282" spans="1:5" x14ac:dyDescent="0.25">
      <c r="A3282" t="s">
        <v>22</v>
      </c>
      <c r="B3282" t="s">
        <v>19</v>
      </c>
      <c r="C3282" s="1">
        <v>45768.98333333333</v>
      </c>
      <c r="D3282" s="1">
        <v>45835.866666666669</v>
      </c>
      <c r="E3282" s="2">
        <f t="shared" si="51"/>
        <v>66.883333333338669</v>
      </c>
    </row>
    <row r="3283" spans="1:5" x14ac:dyDescent="0.25">
      <c r="A3283" t="s">
        <v>15</v>
      </c>
      <c r="B3283" t="s">
        <v>18</v>
      </c>
      <c r="C3283" s="1">
        <v>46219.958333333343</v>
      </c>
      <c r="D3283" s="1">
        <v>46252.850694444453</v>
      </c>
      <c r="E3283" s="2">
        <f t="shared" si="51"/>
        <v>32.892361111109494</v>
      </c>
    </row>
    <row r="3284" spans="1:5" x14ac:dyDescent="0.25">
      <c r="A3284" t="s">
        <v>10</v>
      </c>
      <c r="B3284" t="s">
        <v>11</v>
      </c>
      <c r="C3284" s="1">
        <v>46028.529861111107</v>
      </c>
      <c r="D3284" s="1">
        <v>46056.852777777778</v>
      </c>
      <c r="E3284" s="2">
        <f t="shared" si="51"/>
        <v>28.322916666671517</v>
      </c>
    </row>
    <row r="3285" spans="1:5" x14ac:dyDescent="0.25">
      <c r="A3285" t="s">
        <v>15</v>
      </c>
      <c r="B3285" t="s">
        <v>13</v>
      </c>
      <c r="C3285" s="1">
        <v>45876.48333333333</v>
      </c>
      <c r="D3285" s="1">
        <v>45913.738194444442</v>
      </c>
      <c r="E3285" s="2">
        <f t="shared" si="51"/>
        <v>37.254861111112405</v>
      </c>
    </row>
    <row r="3286" spans="1:5" x14ac:dyDescent="0.25">
      <c r="A3286" t="s">
        <v>15</v>
      </c>
      <c r="B3286" t="s">
        <v>18</v>
      </c>
      <c r="C3286" s="1">
        <v>46232.95076388889</v>
      </c>
      <c r="D3286" s="1">
        <v>46272.626388888893</v>
      </c>
      <c r="E3286" s="2">
        <f t="shared" si="51"/>
        <v>39.675625000003492</v>
      </c>
    </row>
    <row r="3287" spans="1:5" x14ac:dyDescent="0.25">
      <c r="A3287" t="s">
        <v>11</v>
      </c>
      <c r="B3287" t="s">
        <v>21</v>
      </c>
      <c r="C3287" s="1">
        <v>46234.792361111111</v>
      </c>
      <c r="D3287" s="1">
        <v>46245.600694444453</v>
      </c>
      <c r="E3287" s="2">
        <f t="shared" si="51"/>
        <v>10.808333333341579</v>
      </c>
    </row>
    <row r="3288" spans="1:5" x14ac:dyDescent="0.25">
      <c r="A3288" t="s">
        <v>22</v>
      </c>
      <c r="B3288" t="s">
        <v>19</v>
      </c>
      <c r="C3288" s="1">
        <v>45740.175000000003</v>
      </c>
      <c r="D3288" s="1">
        <v>45816.841666666667</v>
      </c>
      <c r="E3288" s="2">
        <f t="shared" si="51"/>
        <v>76.666666666664241</v>
      </c>
    </row>
    <row r="3289" spans="1:5" x14ac:dyDescent="0.25">
      <c r="A3289" t="s">
        <v>19</v>
      </c>
      <c r="B3289" t="s">
        <v>11</v>
      </c>
      <c r="C3289" s="1">
        <v>46185.442291666674</v>
      </c>
      <c r="D3289" s="1">
        <v>46231.698611111111</v>
      </c>
      <c r="E3289" s="2">
        <f t="shared" si="51"/>
        <v>46.256319444437395</v>
      </c>
    </row>
    <row r="3290" spans="1:5" x14ac:dyDescent="0.25">
      <c r="A3290" t="s">
        <v>22</v>
      </c>
      <c r="B3290" t="s">
        <v>19</v>
      </c>
      <c r="C3290" s="1">
        <v>46168.135416666657</v>
      </c>
      <c r="D3290" s="1">
        <v>46235.900694444441</v>
      </c>
      <c r="E3290" s="2">
        <f t="shared" si="51"/>
        <v>67.765277777783922</v>
      </c>
    </row>
    <row r="3291" spans="1:5" x14ac:dyDescent="0.25">
      <c r="A3291" t="s">
        <v>42</v>
      </c>
      <c r="B3291" t="s">
        <v>19</v>
      </c>
      <c r="C3291" s="1">
        <v>45817.488935185182</v>
      </c>
      <c r="D3291" s="1">
        <v>45854.025000000001</v>
      </c>
      <c r="E3291" s="2">
        <f t="shared" si="51"/>
        <v>36.536064814819838</v>
      </c>
    </row>
    <row r="3292" spans="1:5" x14ac:dyDescent="0.25">
      <c r="A3292" t="s">
        <v>22</v>
      </c>
      <c r="B3292" t="s">
        <v>19</v>
      </c>
      <c r="C3292" s="1">
        <v>45705.035416666673</v>
      </c>
      <c r="D3292" s="1">
        <v>45773.758333333331</v>
      </c>
      <c r="E3292" s="2">
        <f t="shared" si="51"/>
        <v>68.722916666658421</v>
      </c>
    </row>
    <row r="3293" spans="1:5" x14ac:dyDescent="0.25">
      <c r="A3293" t="s">
        <v>42</v>
      </c>
      <c r="B3293" t="s">
        <v>19</v>
      </c>
      <c r="C3293" s="1">
        <v>45814.354166666657</v>
      </c>
      <c r="D3293" s="1">
        <v>45860.883333333331</v>
      </c>
      <c r="E3293" s="2">
        <f t="shared" si="51"/>
        <v>46.529166666674428</v>
      </c>
    </row>
    <row r="3294" spans="1:5" x14ac:dyDescent="0.25">
      <c r="A3294" t="s">
        <v>15</v>
      </c>
      <c r="B3294" t="s">
        <v>13</v>
      </c>
      <c r="C3294" s="1">
        <v>45819.918993055559</v>
      </c>
      <c r="D3294" s="1">
        <v>45857.604166666657</v>
      </c>
      <c r="E3294" s="2">
        <f t="shared" si="51"/>
        <v>37.685173611098435</v>
      </c>
    </row>
    <row r="3295" spans="1:5" x14ac:dyDescent="0.25">
      <c r="A3295" t="s">
        <v>22</v>
      </c>
      <c r="B3295" t="s">
        <v>19</v>
      </c>
      <c r="C3295" s="1">
        <v>45763.1875</v>
      </c>
      <c r="D3295" s="1">
        <v>45816.841666666667</v>
      </c>
      <c r="E3295" s="2">
        <f t="shared" si="51"/>
        <v>53.654166666667152</v>
      </c>
    </row>
    <row r="3296" spans="1:5" x14ac:dyDescent="0.25">
      <c r="A3296" t="s">
        <v>7</v>
      </c>
      <c r="B3296" t="s">
        <v>20</v>
      </c>
      <c r="C3296" s="1">
        <v>45846.477777777778</v>
      </c>
      <c r="D3296" s="1">
        <v>45893.770833333343</v>
      </c>
      <c r="E3296" s="2">
        <f t="shared" si="51"/>
        <v>47.293055555564933</v>
      </c>
    </row>
    <row r="3297" spans="1:5" x14ac:dyDescent="0.25">
      <c r="A3297" t="s">
        <v>7</v>
      </c>
      <c r="B3297" t="s">
        <v>20</v>
      </c>
      <c r="C3297" s="1">
        <v>45922.839583333327</v>
      </c>
      <c r="D3297" s="1">
        <v>45980.989583333343</v>
      </c>
      <c r="E3297" s="2">
        <f t="shared" si="51"/>
        <v>58.150000000016007</v>
      </c>
    </row>
    <row r="3298" spans="1:5" x14ac:dyDescent="0.25">
      <c r="A3298" t="s">
        <v>22</v>
      </c>
      <c r="B3298" t="s">
        <v>19</v>
      </c>
      <c r="C3298" s="1">
        <v>45690.960474537038</v>
      </c>
      <c r="D3298" s="1">
        <v>45749.308333333327</v>
      </c>
      <c r="E3298" s="2">
        <f t="shared" si="51"/>
        <v>58.347858796289074</v>
      </c>
    </row>
    <row r="3299" spans="1:5" x14ac:dyDescent="0.25">
      <c r="A3299" t="s">
        <v>22</v>
      </c>
      <c r="B3299" t="s">
        <v>19</v>
      </c>
      <c r="C3299" s="1">
        <v>46173.79791666667</v>
      </c>
      <c r="D3299" s="1">
        <v>46228.595138888893</v>
      </c>
      <c r="E3299" s="2">
        <f t="shared" si="51"/>
        <v>54.797222222223354</v>
      </c>
    </row>
    <row r="3300" spans="1:5" x14ac:dyDescent="0.25">
      <c r="A3300" t="s">
        <v>7</v>
      </c>
      <c r="B3300" t="s">
        <v>13</v>
      </c>
      <c r="C3300" s="1">
        <v>45894.600208333337</v>
      </c>
      <c r="D3300" s="1">
        <v>45932.777083333327</v>
      </c>
      <c r="E3300" s="2">
        <f t="shared" si="51"/>
        <v>38.176874999990105</v>
      </c>
    </row>
    <row r="3301" spans="1:5" x14ac:dyDescent="0.25">
      <c r="A3301" t="s">
        <v>42</v>
      </c>
      <c r="B3301" t="s">
        <v>19</v>
      </c>
      <c r="C3301" s="1">
        <v>45925.625</v>
      </c>
      <c r="D3301" s="1">
        <v>45980.32916666667</v>
      </c>
      <c r="E3301" s="2">
        <f t="shared" si="51"/>
        <v>54.704166666670062</v>
      </c>
    </row>
    <row r="3302" spans="1:5" x14ac:dyDescent="0.25">
      <c r="A3302" t="s">
        <v>15</v>
      </c>
      <c r="B3302" t="s">
        <v>38</v>
      </c>
      <c r="C3302" s="1">
        <v>46011.520833333343</v>
      </c>
      <c r="D3302" s="1">
        <v>46056.708333333343</v>
      </c>
      <c r="E3302" s="2">
        <f t="shared" si="51"/>
        <v>45.1875</v>
      </c>
    </row>
    <row r="3303" spans="1:5" x14ac:dyDescent="0.25">
      <c r="A3303" t="s">
        <v>15</v>
      </c>
      <c r="B3303" t="s">
        <v>38</v>
      </c>
      <c r="C3303" s="1">
        <v>46095.359722222223</v>
      </c>
      <c r="D3303" s="1">
        <v>46139.943055555559</v>
      </c>
      <c r="E3303" s="2">
        <f t="shared" si="51"/>
        <v>44.583333333335759</v>
      </c>
    </row>
    <row r="3304" spans="1:5" x14ac:dyDescent="0.25">
      <c r="A3304" t="s">
        <v>15</v>
      </c>
      <c r="B3304" t="s">
        <v>18</v>
      </c>
      <c r="C3304" s="1">
        <v>46177.45416666667</v>
      </c>
      <c r="D3304" s="1">
        <v>46246.305555555547</v>
      </c>
      <c r="E3304" s="2">
        <f t="shared" si="51"/>
        <v>68.851388888877409</v>
      </c>
    </row>
    <row r="3305" spans="1:5" x14ac:dyDescent="0.25">
      <c r="A3305" t="s">
        <v>15</v>
      </c>
      <c r="B3305" t="s">
        <v>38</v>
      </c>
      <c r="C3305" s="1">
        <v>46037.900694444441</v>
      </c>
      <c r="D3305" s="1">
        <v>46083.218055555553</v>
      </c>
      <c r="E3305" s="2">
        <f t="shared" si="51"/>
        <v>45.317361111112405</v>
      </c>
    </row>
    <row r="3306" spans="1:5" x14ac:dyDescent="0.25">
      <c r="A3306" t="s">
        <v>15</v>
      </c>
      <c r="B3306" t="s">
        <v>38</v>
      </c>
      <c r="C3306" s="1">
        <v>46024.241666666669</v>
      </c>
      <c r="D3306" s="1">
        <v>46070.679166666669</v>
      </c>
      <c r="E3306" s="2">
        <f t="shared" si="51"/>
        <v>46.4375</v>
      </c>
    </row>
    <row r="3307" spans="1:5" x14ac:dyDescent="0.25">
      <c r="A3307" t="s">
        <v>15</v>
      </c>
      <c r="B3307" t="s">
        <v>38</v>
      </c>
      <c r="C3307" s="1">
        <v>46003.495833333327</v>
      </c>
      <c r="D3307" s="1">
        <v>46050.574305555558</v>
      </c>
      <c r="E3307" s="2">
        <f t="shared" si="51"/>
        <v>47.07847222223063</v>
      </c>
    </row>
    <row r="3308" spans="1:5" x14ac:dyDescent="0.25">
      <c r="A3308" t="s">
        <v>15</v>
      </c>
      <c r="B3308" t="s">
        <v>38</v>
      </c>
      <c r="C3308" s="1">
        <v>45990.175000000003</v>
      </c>
      <c r="D3308" s="1">
        <v>46036.376388888893</v>
      </c>
      <c r="E3308" s="2">
        <f t="shared" si="51"/>
        <v>46.201388888890506</v>
      </c>
    </row>
    <row r="3309" spans="1:5" x14ac:dyDescent="0.25">
      <c r="A3309" t="s">
        <v>15</v>
      </c>
      <c r="B3309" t="s">
        <v>38</v>
      </c>
      <c r="C3309" s="1">
        <v>46066.779861111107</v>
      </c>
      <c r="D3309" s="1">
        <v>46111.243750000001</v>
      </c>
      <c r="E3309" s="2">
        <f t="shared" si="51"/>
        <v>44.463888888894871</v>
      </c>
    </row>
    <row r="3310" spans="1:5" x14ac:dyDescent="0.25">
      <c r="A3310" t="s">
        <v>15</v>
      </c>
      <c r="B3310" t="s">
        <v>18</v>
      </c>
      <c r="C3310" s="1">
        <v>46177.465486111112</v>
      </c>
      <c r="D3310" s="1">
        <v>46246.305555555547</v>
      </c>
      <c r="E3310" s="2">
        <f t="shared" si="51"/>
        <v>68.840069444435358</v>
      </c>
    </row>
    <row r="3311" spans="1:5" x14ac:dyDescent="0.25">
      <c r="A3311" t="s">
        <v>15</v>
      </c>
      <c r="B3311" t="s">
        <v>38</v>
      </c>
      <c r="C3311" s="1">
        <v>46037.900694444441</v>
      </c>
      <c r="D3311" s="1">
        <v>46083.218055555553</v>
      </c>
      <c r="E3311" s="2">
        <f t="shared" si="51"/>
        <v>45.317361111112405</v>
      </c>
    </row>
    <row r="3312" spans="1:5" x14ac:dyDescent="0.25">
      <c r="A3312" t="s">
        <v>15</v>
      </c>
      <c r="B3312" t="s">
        <v>38</v>
      </c>
      <c r="C3312" s="1">
        <v>46031.850393518522</v>
      </c>
      <c r="D3312" s="1">
        <v>46075.982638888891</v>
      </c>
      <c r="E3312" s="2">
        <f t="shared" si="51"/>
        <v>44.132245370368764</v>
      </c>
    </row>
    <row r="3313" spans="1:5" x14ac:dyDescent="0.25">
      <c r="A3313" t="s">
        <v>15</v>
      </c>
      <c r="B3313" t="s">
        <v>38</v>
      </c>
      <c r="C3313" s="1">
        <v>46123.006377314807</v>
      </c>
      <c r="D3313" s="1">
        <v>46167.224999999999</v>
      </c>
      <c r="E3313" s="2">
        <f t="shared" si="51"/>
        <v>44.218622685191804</v>
      </c>
    </row>
    <row r="3314" spans="1:5" x14ac:dyDescent="0.25">
      <c r="A3314" t="s">
        <v>15</v>
      </c>
      <c r="B3314" t="s">
        <v>38</v>
      </c>
      <c r="C3314" s="1">
        <v>46101.166666666657</v>
      </c>
      <c r="D3314" s="1">
        <v>46145.947916666657</v>
      </c>
      <c r="E3314" s="2">
        <f t="shared" si="51"/>
        <v>44.78125</v>
      </c>
    </row>
    <row r="3315" spans="1:5" x14ac:dyDescent="0.25">
      <c r="A3315" t="s">
        <v>15</v>
      </c>
      <c r="B3315" t="s">
        <v>38</v>
      </c>
      <c r="C3315" s="1">
        <v>46218.020833333343</v>
      </c>
      <c r="D3315" s="1">
        <v>46263.936111111107</v>
      </c>
      <c r="E3315" s="2">
        <f t="shared" si="51"/>
        <v>45.915277777763549</v>
      </c>
    </row>
    <row r="3316" spans="1:5" x14ac:dyDescent="0.25">
      <c r="A3316" t="s">
        <v>15</v>
      </c>
      <c r="B3316" t="s">
        <v>13</v>
      </c>
      <c r="C3316" s="1">
        <v>46030.845138888893</v>
      </c>
      <c r="D3316" s="1">
        <v>46077.734027777777</v>
      </c>
      <c r="E3316" s="2">
        <f t="shared" si="51"/>
        <v>46.88888888888323</v>
      </c>
    </row>
    <row r="3317" spans="1:5" x14ac:dyDescent="0.25">
      <c r="A3317" t="s">
        <v>22</v>
      </c>
      <c r="B3317" t="s">
        <v>19</v>
      </c>
      <c r="C3317" s="1">
        <v>45698.170138888891</v>
      </c>
      <c r="D3317" s="1">
        <v>45760.508333333331</v>
      </c>
      <c r="E3317" s="2">
        <f t="shared" si="51"/>
        <v>62.338194444440887</v>
      </c>
    </row>
    <row r="3318" spans="1:5" x14ac:dyDescent="0.25">
      <c r="A3318" t="s">
        <v>22</v>
      </c>
      <c r="B3318" t="s">
        <v>36</v>
      </c>
      <c r="C3318" s="1">
        <v>45698.170138888891</v>
      </c>
      <c r="D3318" s="1">
        <v>45760.508333333331</v>
      </c>
      <c r="E3318" s="2">
        <f t="shared" si="51"/>
        <v>62.338194444440887</v>
      </c>
    </row>
    <row r="3319" spans="1:5" x14ac:dyDescent="0.25">
      <c r="A3319" t="s">
        <v>34</v>
      </c>
      <c r="B3319" t="s">
        <v>13</v>
      </c>
      <c r="C3319" s="1">
        <v>45795.569004629629</v>
      </c>
      <c r="D3319" s="1">
        <v>45821.04583333333</v>
      </c>
      <c r="E3319" s="2">
        <f t="shared" si="51"/>
        <v>25.476828703700448</v>
      </c>
    </row>
    <row r="3320" spans="1:5" x14ac:dyDescent="0.25">
      <c r="A3320" t="s">
        <v>22</v>
      </c>
      <c r="B3320" t="s">
        <v>19</v>
      </c>
      <c r="C3320" s="1">
        <v>45712.171527777777</v>
      </c>
      <c r="D3320" s="1">
        <v>45778.55</v>
      </c>
      <c r="E3320" s="2">
        <f t="shared" si="51"/>
        <v>66.378472222226264</v>
      </c>
    </row>
    <row r="3321" spans="1:5" x14ac:dyDescent="0.25">
      <c r="A3321" t="s">
        <v>10</v>
      </c>
      <c r="B3321" t="s">
        <v>11</v>
      </c>
      <c r="C3321" s="1">
        <v>45675.009027777778</v>
      </c>
      <c r="D3321" s="1">
        <v>45706.679166666669</v>
      </c>
      <c r="E3321" s="2">
        <f t="shared" si="51"/>
        <v>31.670138888890506</v>
      </c>
    </row>
    <row r="3322" spans="1:5" x14ac:dyDescent="0.25">
      <c r="A3322" t="s">
        <v>8</v>
      </c>
      <c r="B3322" t="s">
        <v>13</v>
      </c>
      <c r="C3322" s="1">
        <v>45852.020833333343</v>
      </c>
      <c r="D3322" s="1">
        <v>45892.79583333333</v>
      </c>
      <c r="E3322" s="2">
        <f t="shared" si="51"/>
        <v>40.774999999986903</v>
      </c>
    </row>
    <row r="3323" spans="1:5" x14ac:dyDescent="0.25">
      <c r="A3323" t="s">
        <v>10</v>
      </c>
      <c r="B3323" t="s">
        <v>11</v>
      </c>
      <c r="C3323" s="1">
        <v>45815.004166666673</v>
      </c>
      <c r="D3323" s="1">
        <v>45840.362500000003</v>
      </c>
      <c r="E3323" s="2">
        <f t="shared" si="51"/>
        <v>25.358333333329938</v>
      </c>
    </row>
    <row r="3324" spans="1:5" x14ac:dyDescent="0.25">
      <c r="A3324" t="s">
        <v>11</v>
      </c>
      <c r="B3324" t="s">
        <v>37</v>
      </c>
      <c r="C3324" s="1">
        <v>45874.223391203697</v>
      </c>
      <c r="D3324" s="1">
        <v>45889.158333333333</v>
      </c>
      <c r="E3324" s="2">
        <f t="shared" si="51"/>
        <v>14.934942129635601</v>
      </c>
    </row>
    <row r="3325" spans="1:5" x14ac:dyDescent="0.25">
      <c r="A3325" t="s">
        <v>40</v>
      </c>
      <c r="B3325" t="s">
        <v>37</v>
      </c>
      <c r="C3325" s="1">
        <v>45876.970833333333</v>
      </c>
      <c r="D3325" s="1">
        <v>45889.158333333333</v>
      </c>
      <c r="E3325" s="2">
        <f t="shared" si="51"/>
        <v>12.1875</v>
      </c>
    </row>
    <row r="3326" spans="1:5" x14ac:dyDescent="0.25">
      <c r="A3326" t="s">
        <v>14</v>
      </c>
      <c r="B3326" t="s">
        <v>22</v>
      </c>
      <c r="C3326" s="1">
        <v>46160.434606481482</v>
      </c>
      <c r="D3326" s="1">
        <v>46211.320833333331</v>
      </c>
      <c r="E3326" s="2">
        <f t="shared" si="51"/>
        <v>50.886226851849642</v>
      </c>
    </row>
    <row r="3327" spans="1:5" x14ac:dyDescent="0.25">
      <c r="A3327" t="s">
        <v>22</v>
      </c>
      <c r="B3327" t="s">
        <v>19</v>
      </c>
      <c r="C3327" s="1">
        <v>45673.771851851852</v>
      </c>
      <c r="D3327" s="1">
        <v>45742.020833333343</v>
      </c>
      <c r="E3327" s="2">
        <f t="shared" si="51"/>
        <v>68.248981481490773</v>
      </c>
    </row>
    <row r="3328" spans="1:5" x14ac:dyDescent="0.25">
      <c r="A3328" t="s">
        <v>46</v>
      </c>
      <c r="B3328" t="s">
        <v>11</v>
      </c>
      <c r="C3328" s="1">
        <v>46100.775000000001</v>
      </c>
      <c r="D3328" s="1">
        <v>46107.560416666667</v>
      </c>
      <c r="E3328" s="2">
        <f t="shared" si="51"/>
        <v>6.7854166666656965</v>
      </c>
    </row>
    <row r="3329" spans="1:5" x14ac:dyDescent="0.25">
      <c r="A3329" t="s">
        <v>15</v>
      </c>
      <c r="B3329" t="s">
        <v>13</v>
      </c>
      <c r="C3329" s="1">
        <v>45884.946064814823</v>
      </c>
      <c r="D3329" s="1">
        <v>45921.26666666667</v>
      </c>
      <c r="E3329" s="2">
        <f t="shared" si="51"/>
        <v>36.320601851846732</v>
      </c>
    </row>
    <row r="3330" spans="1:5" x14ac:dyDescent="0.25">
      <c r="A3330" t="s">
        <v>19</v>
      </c>
      <c r="B3330" t="s">
        <v>11</v>
      </c>
      <c r="C3330" s="1">
        <v>46170.96875</v>
      </c>
      <c r="D3330" s="1">
        <v>46210.826388888891</v>
      </c>
      <c r="E3330" s="2">
        <f t="shared" ref="E3330:E3393" si="52">D3330-C3330</f>
        <v>39.857638888890506</v>
      </c>
    </row>
    <row r="3331" spans="1:5" x14ac:dyDescent="0.25">
      <c r="A3331" t="s">
        <v>15</v>
      </c>
      <c r="B3331" t="s">
        <v>38</v>
      </c>
      <c r="C3331" s="1">
        <v>46183.125694444447</v>
      </c>
      <c r="D3331" s="1">
        <v>46240.875</v>
      </c>
      <c r="E3331" s="2">
        <f t="shared" si="52"/>
        <v>57.749305555553292</v>
      </c>
    </row>
    <row r="3332" spans="1:5" x14ac:dyDescent="0.25">
      <c r="A3332" t="s">
        <v>15</v>
      </c>
      <c r="B3332" t="s">
        <v>13</v>
      </c>
      <c r="C3332" s="1">
        <v>45954.487500000003</v>
      </c>
      <c r="D3332" s="1">
        <v>45991.0625</v>
      </c>
      <c r="E3332" s="2">
        <f t="shared" si="52"/>
        <v>36.57499999999709</v>
      </c>
    </row>
    <row r="3333" spans="1:5" x14ac:dyDescent="0.25">
      <c r="A3333" t="s">
        <v>22</v>
      </c>
      <c r="B3333" t="s">
        <v>36</v>
      </c>
      <c r="C3333" s="1">
        <v>45740.175000000003</v>
      </c>
      <c r="D3333" s="1">
        <v>45789.629166666673</v>
      </c>
      <c r="E3333" s="2">
        <f t="shared" si="52"/>
        <v>49.454166666670062</v>
      </c>
    </row>
    <row r="3334" spans="1:5" x14ac:dyDescent="0.25">
      <c r="A3334" t="s">
        <v>34</v>
      </c>
      <c r="B3334" t="s">
        <v>13</v>
      </c>
      <c r="C3334" s="1">
        <v>45956.9375</v>
      </c>
      <c r="D3334" s="1">
        <v>45981.895833333343</v>
      </c>
      <c r="E3334" s="2">
        <f t="shared" si="52"/>
        <v>24.958333333343035</v>
      </c>
    </row>
    <row r="3335" spans="1:5" x14ac:dyDescent="0.25">
      <c r="A3335" t="s">
        <v>15</v>
      </c>
      <c r="B3335" t="s">
        <v>13</v>
      </c>
      <c r="C3335" s="1">
        <v>45792.598530092589</v>
      </c>
      <c r="D3335" s="1">
        <v>45829.763194444437</v>
      </c>
      <c r="E3335" s="2">
        <f t="shared" si="52"/>
        <v>37.164664351847023</v>
      </c>
    </row>
    <row r="3336" spans="1:5" x14ac:dyDescent="0.25">
      <c r="A3336" t="s">
        <v>9</v>
      </c>
      <c r="B3336" t="s">
        <v>11</v>
      </c>
      <c r="C3336" s="1">
        <v>45674.041666666657</v>
      </c>
      <c r="D3336" s="1">
        <v>45750.25</v>
      </c>
      <c r="E3336" s="2">
        <f t="shared" si="52"/>
        <v>76.208333333343035</v>
      </c>
    </row>
    <row r="3337" spans="1:5" x14ac:dyDescent="0.25">
      <c r="A3337" t="s">
        <v>22</v>
      </c>
      <c r="B3337" t="s">
        <v>19</v>
      </c>
      <c r="C3337" s="1">
        <v>45740.175000000003</v>
      </c>
      <c r="D3337" s="1">
        <v>45816.841666666667</v>
      </c>
      <c r="E3337" s="2">
        <f t="shared" si="52"/>
        <v>76.666666666664241</v>
      </c>
    </row>
    <row r="3338" spans="1:5" x14ac:dyDescent="0.25">
      <c r="A3338" t="s">
        <v>22</v>
      </c>
      <c r="B3338" t="s">
        <v>19</v>
      </c>
      <c r="C3338" s="1">
        <v>45768.991863425923</v>
      </c>
      <c r="D3338" s="1">
        <v>45835.866666666669</v>
      </c>
      <c r="E3338" s="2">
        <f t="shared" si="52"/>
        <v>66.874803240745678</v>
      </c>
    </row>
    <row r="3339" spans="1:5" x14ac:dyDescent="0.25">
      <c r="A3339" t="s">
        <v>11</v>
      </c>
      <c r="B3339" t="s">
        <v>19</v>
      </c>
      <c r="C3339" s="1">
        <v>45666.151828703703</v>
      </c>
      <c r="D3339" s="1">
        <v>45709.966666666667</v>
      </c>
      <c r="E3339" s="2">
        <f t="shared" si="52"/>
        <v>43.814837962963793</v>
      </c>
    </row>
    <row r="3340" spans="1:5" x14ac:dyDescent="0.25">
      <c r="A3340" t="s">
        <v>34</v>
      </c>
      <c r="B3340" t="s">
        <v>13</v>
      </c>
      <c r="C3340" s="1">
        <v>45886.626388888893</v>
      </c>
      <c r="D3340" s="1">
        <v>45912.216666666667</v>
      </c>
      <c r="E3340" s="2">
        <f t="shared" si="52"/>
        <v>25.590277777773736</v>
      </c>
    </row>
    <row r="3341" spans="1:5" x14ac:dyDescent="0.25">
      <c r="A3341" t="s">
        <v>15</v>
      </c>
      <c r="B3341" t="s">
        <v>13</v>
      </c>
      <c r="C3341" s="1">
        <v>46086.0625</v>
      </c>
      <c r="D3341" s="1">
        <v>46125.76458333333</v>
      </c>
      <c r="E3341" s="2">
        <f t="shared" si="52"/>
        <v>39.702083333329938</v>
      </c>
    </row>
    <row r="3342" spans="1:5" x14ac:dyDescent="0.25">
      <c r="A3342" t="s">
        <v>22</v>
      </c>
      <c r="B3342" t="s">
        <v>14</v>
      </c>
      <c r="C3342" s="1">
        <v>45910.17083333333</v>
      </c>
      <c r="D3342" s="1">
        <v>45966.55</v>
      </c>
      <c r="E3342" s="2">
        <f t="shared" si="52"/>
        <v>56.379166666672972</v>
      </c>
    </row>
    <row r="3343" spans="1:5" x14ac:dyDescent="0.25">
      <c r="A3343" t="s">
        <v>8</v>
      </c>
      <c r="B3343" t="s">
        <v>19</v>
      </c>
      <c r="C3343" s="1">
        <v>45671.911296296297</v>
      </c>
      <c r="D3343" s="1">
        <v>45729.875</v>
      </c>
      <c r="E3343" s="2">
        <f t="shared" si="52"/>
        <v>57.963703703702777</v>
      </c>
    </row>
    <row r="3344" spans="1:5" x14ac:dyDescent="0.25">
      <c r="A3344" t="s">
        <v>11</v>
      </c>
      <c r="B3344" t="s">
        <v>37</v>
      </c>
      <c r="C3344" s="1">
        <v>46026.289583333331</v>
      </c>
      <c r="D3344" s="1">
        <v>46043.29</v>
      </c>
      <c r="E3344" s="2">
        <f t="shared" si="52"/>
        <v>17.00041666666948</v>
      </c>
    </row>
    <row r="3345" spans="1:5" x14ac:dyDescent="0.25">
      <c r="A3345" t="s">
        <v>10</v>
      </c>
      <c r="B3345" t="s">
        <v>11</v>
      </c>
      <c r="C3345" s="1">
        <v>45904.916666666657</v>
      </c>
      <c r="D3345" s="1">
        <v>45939.037499999999</v>
      </c>
      <c r="E3345" s="2">
        <f t="shared" si="52"/>
        <v>34.120833333341579</v>
      </c>
    </row>
    <row r="3346" spans="1:5" x14ac:dyDescent="0.25">
      <c r="A3346" t="s">
        <v>12</v>
      </c>
      <c r="B3346" t="s">
        <v>13</v>
      </c>
      <c r="C3346" s="1">
        <v>46152.293379629627</v>
      </c>
      <c r="D3346" s="1">
        <v>46202.015277777777</v>
      </c>
      <c r="E3346" s="2">
        <f t="shared" si="52"/>
        <v>49.721898148149194</v>
      </c>
    </row>
    <row r="3347" spans="1:5" x14ac:dyDescent="0.25">
      <c r="A3347" t="s">
        <v>14</v>
      </c>
      <c r="B3347" t="s">
        <v>22</v>
      </c>
      <c r="C3347" s="1">
        <v>46167.522048611107</v>
      </c>
      <c r="D3347" s="1">
        <v>46223.777083333327</v>
      </c>
      <c r="E3347" s="2">
        <f t="shared" si="52"/>
        <v>56.255034722220444</v>
      </c>
    </row>
    <row r="3348" spans="1:5" x14ac:dyDescent="0.25">
      <c r="A3348" t="s">
        <v>11</v>
      </c>
      <c r="B3348" t="s">
        <v>37</v>
      </c>
      <c r="C3348" s="1">
        <v>45991.25</v>
      </c>
      <c r="D3348" s="1">
        <v>46006.245833333327</v>
      </c>
      <c r="E3348" s="2">
        <f t="shared" si="52"/>
        <v>14.995833333327028</v>
      </c>
    </row>
    <row r="3349" spans="1:5" x14ac:dyDescent="0.25">
      <c r="A3349" t="s">
        <v>40</v>
      </c>
      <c r="B3349" t="s">
        <v>37</v>
      </c>
      <c r="C3349" s="1">
        <v>45717.002164351848</v>
      </c>
      <c r="D3349" s="1">
        <v>45728.283333333333</v>
      </c>
      <c r="E3349" s="2">
        <f t="shared" si="52"/>
        <v>11.28116898148437</v>
      </c>
    </row>
    <row r="3350" spans="1:5" x14ac:dyDescent="0.25">
      <c r="A3350" t="s">
        <v>10</v>
      </c>
      <c r="B3350" t="s">
        <v>11</v>
      </c>
      <c r="C3350" s="1">
        <v>46085.091666666667</v>
      </c>
      <c r="D3350" s="1">
        <v>46113.394444444442</v>
      </c>
      <c r="E3350" s="2">
        <f t="shared" si="52"/>
        <v>28.302777777775191</v>
      </c>
    </row>
    <row r="3351" spans="1:5" x14ac:dyDescent="0.25">
      <c r="A3351" t="s">
        <v>34</v>
      </c>
      <c r="B3351" t="s">
        <v>13</v>
      </c>
      <c r="C3351" s="1">
        <v>45956.9375</v>
      </c>
      <c r="D3351" s="1">
        <v>45981.895833333343</v>
      </c>
      <c r="E3351" s="2">
        <f t="shared" si="52"/>
        <v>24.958333333343035</v>
      </c>
    </row>
    <row r="3352" spans="1:5" x14ac:dyDescent="0.25">
      <c r="A3352" t="s">
        <v>22</v>
      </c>
      <c r="B3352" t="s">
        <v>19</v>
      </c>
      <c r="C3352" s="1">
        <v>45690.94027777778</v>
      </c>
      <c r="D3352" s="1">
        <v>45749.308333333327</v>
      </c>
      <c r="E3352" s="2">
        <f t="shared" si="52"/>
        <v>58.368055555547471</v>
      </c>
    </row>
    <row r="3353" spans="1:5" x14ac:dyDescent="0.25">
      <c r="A3353" t="s">
        <v>61</v>
      </c>
      <c r="B3353" t="s">
        <v>13</v>
      </c>
      <c r="C3353" s="1">
        <v>45975.54583333333</v>
      </c>
      <c r="D3353" s="1">
        <v>46025.690972222219</v>
      </c>
      <c r="E3353" s="2">
        <f t="shared" si="52"/>
        <v>50.145138888889051</v>
      </c>
    </row>
    <row r="3354" spans="1:5" x14ac:dyDescent="0.25">
      <c r="A3354" t="s">
        <v>11</v>
      </c>
      <c r="B3354" t="s">
        <v>37</v>
      </c>
      <c r="C3354" s="1">
        <v>45701.231064814812</v>
      </c>
      <c r="D3354" s="1">
        <v>45721.32916666667</v>
      </c>
      <c r="E3354" s="2">
        <f t="shared" si="52"/>
        <v>20.098101851857791</v>
      </c>
    </row>
    <row r="3355" spans="1:5" x14ac:dyDescent="0.25">
      <c r="A3355" t="s">
        <v>34</v>
      </c>
      <c r="B3355" t="s">
        <v>13</v>
      </c>
      <c r="C3355" s="1">
        <v>46057.396527777782</v>
      </c>
      <c r="D3355" s="1">
        <v>46076.161111111112</v>
      </c>
      <c r="E3355" s="2">
        <f t="shared" si="52"/>
        <v>18.764583333329938</v>
      </c>
    </row>
    <row r="3356" spans="1:5" x14ac:dyDescent="0.25">
      <c r="A3356" t="s">
        <v>7</v>
      </c>
      <c r="B3356" t="s">
        <v>20</v>
      </c>
      <c r="C3356" s="1">
        <v>46020.76458333333</v>
      </c>
      <c r="D3356" s="1">
        <v>46080.408333333333</v>
      </c>
      <c r="E3356" s="2">
        <f t="shared" si="52"/>
        <v>59.64375000000291</v>
      </c>
    </row>
    <row r="3357" spans="1:5" x14ac:dyDescent="0.25">
      <c r="A3357" t="s">
        <v>34</v>
      </c>
      <c r="B3357" t="s">
        <v>13</v>
      </c>
      <c r="C3357" s="1">
        <v>46062.730555555558</v>
      </c>
      <c r="D3357" s="1">
        <v>46101.017361111109</v>
      </c>
      <c r="E3357" s="2">
        <f t="shared" si="52"/>
        <v>38.286805555551837</v>
      </c>
    </row>
    <row r="3358" spans="1:5" x14ac:dyDescent="0.25">
      <c r="A3358" t="s">
        <v>40</v>
      </c>
      <c r="B3358" t="s">
        <v>37</v>
      </c>
      <c r="C3358" s="1">
        <v>45876.976597222223</v>
      </c>
      <c r="D3358" s="1">
        <v>45889.158333333333</v>
      </c>
      <c r="E3358" s="2">
        <f t="shared" si="52"/>
        <v>12.181736111109785</v>
      </c>
    </row>
    <row r="3359" spans="1:5" x14ac:dyDescent="0.25">
      <c r="A3359" t="s">
        <v>15</v>
      </c>
      <c r="B3359" t="s">
        <v>13</v>
      </c>
      <c r="C3359" s="1">
        <v>46093.517361111109</v>
      </c>
      <c r="D3359" s="1">
        <v>46131.701388888891</v>
      </c>
      <c r="E3359" s="2">
        <f t="shared" si="52"/>
        <v>38.184027777781012</v>
      </c>
    </row>
    <row r="3360" spans="1:5" x14ac:dyDescent="0.25">
      <c r="A3360" t="s">
        <v>10</v>
      </c>
      <c r="B3360" t="s">
        <v>11</v>
      </c>
      <c r="C3360" s="1">
        <v>45918.925000000003</v>
      </c>
      <c r="D3360" s="1">
        <v>45952.625</v>
      </c>
      <c r="E3360" s="2">
        <f t="shared" si="52"/>
        <v>33.69999999999709</v>
      </c>
    </row>
    <row r="3361" spans="1:5" x14ac:dyDescent="0.25">
      <c r="A3361" t="s">
        <v>10</v>
      </c>
      <c r="B3361" t="s">
        <v>11</v>
      </c>
      <c r="C3361" s="1">
        <v>45692.801770833343</v>
      </c>
      <c r="D3361" s="1">
        <v>45722.755555555559</v>
      </c>
      <c r="E3361" s="2">
        <f t="shared" si="52"/>
        <v>29.953784722216369</v>
      </c>
    </row>
    <row r="3362" spans="1:5" x14ac:dyDescent="0.25">
      <c r="A3362" t="s">
        <v>22</v>
      </c>
      <c r="B3362" t="s">
        <v>14</v>
      </c>
      <c r="C3362" s="1">
        <v>45733.027777777781</v>
      </c>
      <c r="D3362" s="1">
        <v>45778.17083333333</v>
      </c>
      <c r="E3362" s="2">
        <f t="shared" si="52"/>
        <v>45.143055555548926</v>
      </c>
    </row>
    <row r="3363" spans="1:5" x14ac:dyDescent="0.25">
      <c r="A3363" t="s">
        <v>22</v>
      </c>
      <c r="B3363" t="s">
        <v>14</v>
      </c>
      <c r="C3363" s="1">
        <v>45733.434027777781</v>
      </c>
      <c r="D3363" s="1">
        <v>45778.147951388892</v>
      </c>
      <c r="E3363" s="2">
        <f t="shared" si="52"/>
        <v>44.713923611110658</v>
      </c>
    </row>
    <row r="3364" spans="1:5" x14ac:dyDescent="0.25">
      <c r="A3364" t="s">
        <v>34</v>
      </c>
      <c r="B3364" t="s">
        <v>13</v>
      </c>
      <c r="C3364" s="1">
        <v>45964.320833333331</v>
      </c>
      <c r="D3364" s="1">
        <v>45988.995833333327</v>
      </c>
      <c r="E3364" s="2">
        <f t="shared" si="52"/>
        <v>24.674999999995634</v>
      </c>
    </row>
    <row r="3365" spans="1:5" x14ac:dyDescent="0.25">
      <c r="A3365" t="s">
        <v>10</v>
      </c>
      <c r="B3365" t="s">
        <v>11</v>
      </c>
      <c r="C3365" s="1">
        <v>45783.945833333331</v>
      </c>
      <c r="D3365" s="1">
        <v>45812.137499999997</v>
      </c>
      <c r="E3365" s="2">
        <f t="shared" si="52"/>
        <v>28.191666666665697</v>
      </c>
    </row>
    <row r="3366" spans="1:5" x14ac:dyDescent="0.25">
      <c r="A3366" t="s">
        <v>7</v>
      </c>
      <c r="B3366" t="s">
        <v>13</v>
      </c>
      <c r="C3366" s="1">
        <v>46203.318506944437</v>
      </c>
      <c r="D3366" s="1">
        <v>46258.652777777781</v>
      </c>
      <c r="E3366" s="2">
        <f t="shared" si="52"/>
        <v>55.334270833343908</v>
      </c>
    </row>
    <row r="3367" spans="1:5" x14ac:dyDescent="0.25">
      <c r="A3367" t="s">
        <v>15</v>
      </c>
      <c r="B3367" t="s">
        <v>13</v>
      </c>
      <c r="C3367" s="1">
        <v>46106.9375</v>
      </c>
      <c r="D3367" s="1">
        <v>46145.782638888893</v>
      </c>
      <c r="E3367" s="2">
        <f t="shared" si="52"/>
        <v>38.845138888893416</v>
      </c>
    </row>
    <row r="3368" spans="1:5" x14ac:dyDescent="0.25">
      <c r="A3368" t="s">
        <v>11</v>
      </c>
      <c r="B3368" t="s">
        <v>37</v>
      </c>
      <c r="C3368" s="1">
        <v>45825.275000000001</v>
      </c>
      <c r="D3368" s="1">
        <v>45834.695833333331</v>
      </c>
      <c r="E3368" s="2">
        <f t="shared" si="52"/>
        <v>9.4208333333299379</v>
      </c>
    </row>
    <row r="3369" spans="1:5" x14ac:dyDescent="0.25">
      <c r="A3369" t="s">
        <v>34</v>
      </c>
      <c r="B3369" t="s">
        <v>13</v>
      </c>
      <c r="C3369" s="1">
        <v>45886.626388888893</v>
      </c>
      <c r="D3369" s="1">
        <v>45912.216666666667</v>
      </c>
      <c r="E3369" s="2">
        <f t="shared" si="52"/>
        <v>25.590277777773736</v>
      </c>
    </row>
    <row r="3370" spans="1:5" x14ac:dyDescent="0.25">
      <c r="A3370" t="s">
        <v>15</v>
      </c>
      <c r="B3370" t="s">
        <v>13</v>
      </c>
      <c r="C3370" s="1">
        <v>46002.104166666657</v>
      </c>
      <c r="D3370" s="1">
        <v>46041.224999999999</v>
      </c>
      <c r="E3370" s="2">
        <f t="shared" si="52"/>
        <v>39.120833333341579</v>
      </c>
    </row>
    <row r="3371" spans="1:5" x14ac:dyDescent="0.25">
      <c r="A3371" t="s">
        <v>11</v>
      </c>
      <c r="B3371" t="s">
        <v>37</v>
      </c>
      <c r="C3371" s="1">
        <v>45888.908912037034</v>
      </c>
      <c r="D3371" s="1">
        <v>45902.29583333333</v>
      </c>
      <c r="E3371" s="2">
        <f t="shared" si="52"/>
        <v>13.38692129629635</v>
      </c>
    </row>
    <row r="3372" spans="1:5" x14ac:dyDescent="0.25">
      <c r="A3372" t="s">
        <v>10</v>
      </c>
      <c r="B3372" t="s">
        <v>11</v>
      </c>
      <c r="C3372" s="1">
        <v>46054.105555555558</v>
      </c>
      <c r="D3372" s="1">
        <v>46085.681250000001</v>
      </c>
      <c r="E3372" s="2">
        <f t="shared" si="52"/>
        <v>31.575694444443798</v>
      </c>
    </row>
    <row r="3373" spans="1:5" x14ac:dyDescent="0.25">
      <c r="A3373" t="s">
        <v>11</v>
      </c>
      <c r="B3373" t="s">
        <v>37</v>
      </c>
      <c r="C3373" s="1">
        <v>45760.15625</v>
      </c>
      <c r="D3373" s="1">
        <v>45777.279166666667</v>
      </c>
      <c r="E3373" s="2">
        <f t="shared" si="52"/>
        <v>17.122916666667152</v>
      </c>
    </row>
    <row r="3374" spans="1:5" x14ac:dyDescent="0.25">
      <c r="A3374" t="s">
        <v>22</v>
      </c>
      <c r="B3374" t="s">
        <v>14</v>
      </c>
      <c r="C3374" s="1">
        <v>45748.209074074082</v>
      </c>
      <c r="D3374" s="1">
        <v>45791.791006944448</v>
      </c>
      <c r="E3374" s="2">
        <f t="shared" si="52"/>
        <v>43.581932870365563</v>
      </c>
    </row>
    <row r="3375" spans="1:5" x14ac:dyDescent="0.25">
      <c r="A3375" t="s">
        <v>11</v>
      </c>
      <c r="B3375" t="s">
        <v>37</v>
      </c>
      <c r="C3375" s="1">
        <v>45766.899282407408</v>
      </c>
      <c r="D3375" s="1">
        <v>45783.912395833337</v>
      </c>
      <c r="E3375" s="2">
        <f t="shared" si="52"/>
        <v>17.013113425928168</v>
      </c>
    </row>
    <row r="3376" spans="1:5" x14ac:dyDescent="0.25">
      <c r="A3376" t="s">
        <v>40</v>
      </c>
      <c r="B3376" t="s">
        <v>37</v>
      </c>
      <c r="C3376" s="1">
        <v>45988.654537037037</v>
      </c>
      <c r="D3376" s="1">
        <v>46002.35833333333</v>
      </c>
      <c r="E3376" s="2">
        <f t="shared" si="52"/>
        <v>13.703796296293149</v>
      </c>
    </row>
    <row r="3377" spans="1:5" x14ac:dyDescent="0.25">
      <c r="A3377" t="s">
        <v>13</v>
      </c>
      <c r="B3377" t="s">
        <v>8</v>
      </c>
      <c r="C3377" s="1">
        <v>46174.882118055553</v>
      </c>
      <c r="D3377" s="1">
        <v>46192.109722222223</v>
      </c>
      <c r="E3377" s="2">
        <f t="shared" si="52"/>
        <v>17.227604166670062</v>
      </c>
    </row>
    <row r="3378" spans="1:5" x14ac:dyDescent="0.25">
      <c r="A3378" t="s">
        <v>22</v>
      </c>
      <c r="B3378" t="s">
        <v>14</v>
      </c>
      <c r="C3378" s="1">
        <v>45797.074236111112</v>
      </c>
      <c r="D3378" s="1">
        <v>45847.831250000003</v>
      </c>
      <c r="E3378" s="2">
        <f t="shared" si="52"/>
        <v>50.757013888891379</v>
      </c>
    </row>
    <row r="3379" spans="1:5" x14ac:dyDescent="0.25">
      <c r="A3379" t="s">
        <v>14</v>
      </c>
      <c r="B3379" t="s">
        <v>34</v>
      </c>
      <c r="C3379" s="1">
        <v>45864.608530092592</v>
      </c>
      <c r="D3379" s="1">
        <v>45892.79583333333</v>
      </c>
      <c r="E3379" s="2">
        <f t="shared" si="52"/>
        <v>28.187303240738402</v>
      </c>
    </row>
    <row r="3380" spans="1:5" x14ac:dyDescent="0.25">
      <c r="A3380" t="s">
        <v>11</v>
      </c>
      <c r="B3380" t="s">
        <v>37</v>
      </c>
      <c r="C3380" s="1">
        <v>45971.175902777781</v>
      </c>
      <c r="D3380" s="1">
        <v>45992.474999999999</v>
      </c>
      <c r="E3380" s="2">
        <f t="shared" si="52"/>
        <v>21.299097222217824</v>
      </c>
    </row>
    <row r="3381" spans="1:5" x14ac:dyDescent="0.25">
      <c r="A3381" t="s">
        <v>11</v>
      </c>
      <c r="B3381" t="s">
        <v>37</v>
      </c>
      <c r="C3381" s="1">
        <v>46068.003078703703</v>
      </c>
      <c r="D3381" s="1">
        <v>46081.656944444447</v>
      </c>
      <c r="E3381" s="2">
        <f t="shared" si="52"/>
        <v>13.65386574074364</v>
      </c>
    </row>
    <row r="3382" spans="1:5" x14ac:dyDescent="0.25">
      <c r="A3382" t="s">
        <v>15</v>
      </c>
      <c r="B3382" t="s">
        <v>38</v>
      </c>
      <c r="C3382" s="1">
        <v>46130.340416666673</v>
      </c>
      <c r="D3382" s="1">
        <v>46174.655555555553</v>
      </c>
      <c r="E3382" s="2">
        <f t="shared" si="52"/>
        <v>44.315138888880028</v>
      </c>
    </row>
    <row r="3383" spans="1:5" x14ac:dyDescent="0.25">
      <c r="A3383" t="s">
        <v>22</v>
      </c>
      <c r="B3383" t="s">
        <v>19</v>
      </c>
      <c r="C3383" s="1">
        <v>45733.434027777781</v>
      </c>
      <c r="D3383" s="1">
        <v>45815.25</v>
      </c>
      <c r="E3383" s="2">
        <f t="shared" si="52"/>
        <v>81.815972222218988</v>
      </c>
    </row>
    <row r="3384" spans="1:5" x14ac:dyDescent="0.25">
      <c r="A3384" t="s">
        <v>22</v>
      </c>
      <c r="B3384" t="s">
        <v>14</v>
      </c>
      <c r="C3384" s="1">
        <v>45748.2</v>
      </c>
      <c r="D3384" s="1">
        <v>45791.791006944448</v>
      </c>
      <c r="E3384" s="2">
        <f t="shared" si="52"/>
        <v>43.591006944450783</v>
      </c>
    </row>
    <row r="3385" spans="1:5" x14ac:dyDescent="0.25">
      <c r="A3385" t="s">
        <v>15</v>
      </c>
      <c r="B3385" t="s">
        <v>18</v>
      </c>
      <c r="C3385" s="1">
        <v>46219.958333333343</v>
      </c>
      <c r="D3385" s="1">
        <v>46252.850694444453</v>
      </c>
      <c r="E3385" s="2">
        <f t="shared" si="52"/>
        <v>32.892361111109494</v>
      </c>
    </row>
    <row r="3386" spans="1:5" x14ac:dyDescent="0.25">
      <c r="A3386" t="s">
        <v>11</v>
      </c>
      <c r="B3386" t="s">
        <v>21</v>
      </c>
      <c r="C3386" s="1">
        <v>45864.34574074074</v>
      </c>
      <c r="D3386" s="1">
        <v>45875.512499999997</v>
      </c>
      <c r="E3386" s="2">
        <f t="shared" si="52"/>
        <v>11.166759259256651</v>
      </c>
    </row>
    <row r="3387" spans="1:5" x14ac:dyDescent="0.25">
      <c r="A3387" t="s">
        <v>34</v>
      </c>
      <c r="B3387" t="s">
        <v>13</v>
      </c>
      <c r="C3387" s="1">
        <v>45795.569004629629</v>
      </c>
      <c r="D3387" s="1">
        <v>45821.04583333333</v>
      </c>
      <c r="E3387" s="2">
        <f t="shared" si="52"/>
        <v>25.476828703700448</v>
      </c>
    </row>
    <row r="3388" spans="1:5" x14ac:dyDescent="0.25">
      <c r="A3388" t="s">
        <v>8</v>
      </c>
      <c r="B3388" t="s">
        <v>13</v>
      </c>
      <c r="C3388" s="1">
        <v>45814.734618055547</v>
      </c>
      <c r="D3388" s="1">
        <v>45846.67083333333</v>
      </c>
      <c r="E3388" s="2">
        <f t="shared" si="52"/>
        <v>31.936215277783049</v>
      </c>
    </row>
    <row r="3389" spans="1:5" x14ac:dyDescent="0.25">
      <c r="A3389" t="s">
        <v>11</v>
      </c>
      <c r="B3389" t="s">
        <v>37</v>
      </c>
      <c r="C3389" s="1">
        <v>45721.031712962962</v>
      </c>
      <c r="D3389" s="1">
        <v>45734.345833333333</v>
      </c>
      <c r="E3389" s="2">
        <f t="shared" si="52"/>
        <v>13.314120370370802</v>
      </c>
    </row>
    <row r="3390" spans="1:5" x14ac:dyDescent="0.25">
      <c r="A3390" t="s">
        <v>7</v>
      </c>
      <c r="B3390" t="s">
        <v>13</v>
      </c>
      <c r="C3390" s="1">
        <v>46230.834131944437</v>
      </c>
      <c r="D3390" s="1">
        <v>46265.556250000001</v>
      </c>
      <c r="E3390" s="2">
        <f t="shared" si="52"/>
        <v>34.722118055564351</v>
      </c>
    </row>
    <row r="3391" spans="1:5" x14ac:dyDescent="0.25">
      <c r="A3391" t="s">
        <v>11</v>
      </c>
      <c r="B3391" t="s">
        <v>37</v>
      </c>
      <c r="C3391" s="1">
        <v>45744.654166666667</v>
      </c>
      <c r="D3391" s="1">
        <v>45757.929166666669</v>
      </c>
      <c r="E3391" s="2">
        <f t="shared" si="52"/>
        <v>13.275000000001455</v>
      </c>
    </row>
    <row r="3392" spans="1:5" x14ac:dyDescent="0.25">
      <c r="A3392" t="s">
        <v>22</v>
      </c>
      <c r="B3392" t="s">
        <v>19</v>
      </c>
      <c r="C3392" s="1">
        <v>45719.029166666667</v>
      </c>
      <c r="D3392" s="1">
        <v>45794</v>
      </c>
      <c r="E3392" s="2">
        <f t="shared" si="52"/>
        <v>74.970833333332848</v>
      </c>
    </row>
    <row r="3393" spans="1:5" x14ac:dyDescent="0.25">
      <c r="A3393" t="s">
        <v>22</v>
      </c>
      <c r="B3393" t="s">
        <v>19</v>
      </c>
      <c r="C3393" s="1">
        <v>45698.170138888891</v>
      </c>
      <c r="D3393" s="1">
        <v>45760.508333333331</v>
      </c>
      <c r="E3393" s="2">
        <f t="shared" si="52"/>
        <v>62.338194444440887</v>
      </c>
    </row>
    <row r="3394" spans="1:5" x14ac:dyDescent="0.25">
      <c r="A3394" t="s">
        <v>22</v>
      </c>
      <c r="B3394" t="s">
        <v>36</v>
      </c>
      <c r="C3394" s="1">
        <v>45698.170138888891</v>
      </c>
      <c r="D3394" s="1">
        <v>45760.508333333331</v>
      </c>
      <c r="E3394" s="2">
        <f t="shared" ref="E3394:E3457" si="53">D3394-C3394</f>
        <v>62.338194444440887</v>
      </c>
    </row>
    <row r="3395" spans="1:5" x14ac:dyDescent="0.25">
      <c r="A3395" t="s">
        <v>34</v>
      </c>
      <c r="B3395" t="s">
        <v>13</v>
      </c>
      <c r="C3395" s="1">
        <v>46135.055277777778</v>
      </c>
      <c r="D3395" s="1">
        <v>46153.532071759262</v>
      </c>
      <c r="E3395" s="2">
        <f t="shared" si="53"/>
        <v>18.476793981484661</v>
      </c>
    </row>
    <row r="3396" spans="1:5" x14ac:dyDescent="0.25">
      <c r="A3396" t="s">
        <v>15</v>
      </c>
      <c r="B3396" t="s">
        <v>18</v>
      </c>
      <c r="C3396" s="1">
        <v>46226.007013888891</v>
      </c>
      <c r="D3396" s="1">
        <v>46269.724999999999</v>
      </c>
      <c r="E3396" s="2">
        <f t="shared" si="53"/>
        <v>43.717986111107166</v>
      </c>
    </row>
    <row r="3397" spans="1:5" x14ac:dyDescent="0.25">
      <c r="A3397" t="s">
        <v>22</v>
      </c>
      <c r="B3397" t="s">
        <v>14</v>
      </c>
      <c r="C3397" s="1">
        <v>45817.683333333327</v>
      </c>
      <c r="D3397" s="1">
        <v>45863.320138888892</v>
      </c>
      <c r="E3397" s="2">
        <f t="shared" si="53"/>
        <v>45.636805555564933</v>
      </c>
    </row>
    <row r="3398" spans="1:5" x14ac:dyDescent="0.25">
      <c r="A3398" t="s">
        <v>11</v>
      </c>
      <c r="B3398" t="s">
        <v>37</v>
      </c>
      <c r="C3398" s="1">
        <v>46012.908333333333</v>
      </c>
      <c r="D3398" s="1">
        <v>46022.511805555558</v>
      </c>
      <c r="E3398" s="2">
        <f t="shared" si="53"/>
        <v>9.6034722222248092</v>
      </c>
    </row>
    <row r="3399" spans="1:5" x14ac:dyDescent="0.25">
      <c r="A3399" t="s">
        <v>13</v>
      </c>
      <c r="B3399" t="s">
        <v>8</v>
      </c>
      <c r="C3399" s="1">
        <v>46174.882118055553</v>
      </c>
      <c r="D3399" s="1">
        <v>46192.109722222223</v>
      </c>
      <c r="E3399" s="2">
        <f t="shared" si="53"/>
        <v>17.227604166670062</v>
      </c>
    </row>
    <row r="3400" spans="1:5" x14ac:dyDescent="0.25">
      <c r="A3400" t="s">
        <v>11</v>
      </c>
      <c r="B3400" t="s">
        <v>21</v>
      </c>
      <c r="C3400" s="1">
        <v>45898.709178240737</v>
      </c>
      <c r="D3400" s="1">
        <v>45909.504166666673</v>
      </c>
      <c r="E3400" s="2">
        <f t="shared" si="53"/>
        <v>10.794988425936026</v>
      </c>
    </row>
    <row r="3401" spans="1:5" x14ac:dyDescent="0.25">
      <c r="A3401" t="s">
        <v>15</v>
      </c>
      <c r="B3401" t="s">
        <v>38</v>
      </c>
      <c r="C3401" s="1">
        <v>46218.020833333343</v>
      </c>
      <c r="D3401" s="1">
        <v>46263.936111111107</v>
      </c>
      <c r="E3401" s="2">
        <f t="shared" si="53"/>
        <v>45.915277777763549</v>
      </c>
    </row>
    <row r="3402" spans="1:5" x14ac:dyDescent="0.25">
      <c r="A3402" t="s">
        <v>40</v>
      </c>
      <c r="B3402" t="s">
        <v>37</v>
      </c>
      <c r="C3402" s="1">
        <v>45723.57916666667</v>
      </c>
      <c r="D3402" s="1">
        <v>45734.345833333333</v>
      </c>
      <c r="E3402" s="2">
        <f t="shared" si="53"/>
        <v>10.766666666662786</v>
      </c>
    </row>
    <row r="3403" spans="1:5" x14ac:dyDescent="0.25">
      <c r="A3403" t="s">
        <v>8</v>
      </c>
      <c r="B3403" t="s">
        <v>13</v>
      </c>
      <c r="C3403" s="1">
        <v>45926.987500000003</v>
      </c>
      <c r="D3403" s="1">
        <v>45951.145833333343</v>
      </c>
      <c r="E3403" s="2">
        <f t="shared" si="53"/>
        <v>24.158333333340124</v>
      </c>
    </row>
    <row r="3404" spans="1:5" x14ac:dyDescent="0.25">
      <c r="A3404" t="s">
        <v>18</v>
      </c>
      <c r="B3404" t="s">
        <v>27</v>
      </c>
      <c r="C3404" s="1">
        <v>45719.916666666657</v>
      </c>
      <c r="D3404" s="1">
        <v>45791.845833333333</v>
      </c>
      <c r="E3404" s="2">
        <f t="shared" si="53"/>
        <v>71.929166666675883</v>
      </c>
    </row>
    <row r="3405" spans="1:5" x14ac:dyDescent="0.25">
      <c r="A3405" t="s">
        <v>40</v>
      </c>
      <c r="B3405" t="s">
        <v>37</v>
      </c>
      <c r="C3405" s="1">
        <v>46072.863993055558</v>
      </c>
      <c r="D3405" s="1">
        <v>46081.708333333343</v>
      </c>
      <c r="E3405" s="2">
        <f t="shared" si="53"/>
        <v>8.844340277784795</v>
      </c>
    </row>
    <row r="3406" spans="1:5" x14ac:dyDescent="0.25">
      <c r="A3406" t="s">
        <v>5</v>
      </c>
      <c r="B3406" t="s">
        <v>8</v>
      </c>
      <c r="C3406" s="1">
        <v>46144.320833333331</v>
      </c>
      <c r="D3406" s="1">
        <v>46174.822662037041</v>
      </c>
      <c r="E3406" s="2">
        <f t="shared" si="53"/>
        <v>30.50182870370918</v>
      </c>
    </row>
    <row r="3407" spans="1:5" x14ac:dyDescent="0.25">
      <c r="A3407" t="s">
        <v>5</v>
      </c>
      <c r="B3407" t="s">
        <v>8</v>
      </c>
      <c r="C3407" s="1">
        <v>46144.330104166656</v>
      </c>
      <c r="D3407" s="1">
        <v>46174.822662037041</v>
      </c>
      <c r="E3407" s="2">
        <f t="shared" si="53"/>
        <v>30.492557870384189</v>
      </c>
    </row>
    <row r="3408" spans="1:5" x14ac:dyDescent="0.25">
      <c r="A3408" t="s">
        <v>5</v>
      </c>
      <c r="B3408" t="s">
        <v>8</v>
      </c>
      <c r="C3408" s="1">
        <v>46169.74722222222</v>
      </c>
      <c r="D3408" s="1">
        <v>46195.520138888889</v>
      </c>
      <c r="E3408" s="2">
        <f t="shared" si="53"/>
        <v>25.772916666668607</v>
      </c>
    </row>
    <row r="3409" spans="1:5" x14ac:dyDescent="0.25">
      <c r="A3409" t="s">
        <v>5</v>
      </c>
      <c r="B3409" t="s">
        <v>8</v>
      </c>
      <c r="C3409" s="1">
        <v>46206.119351851848</v>
      </c>
      <c r="D3409" s="1">
        <v>46230.576724537037</v>
      </c>
      <c r="E3409" s="2">
        <f t="shared" si="53"/>
        <v>24.457372685188602</v>
      </c>
    </row>
    <row r="3410" spans="1:5" x14ac:dyDescent="0.25">
      <c r="A3410" t="s">
        <v>5</v>
      </c>
      <c r="B3410" t="s">
        <v>8</v>
      </c>
      <c r="C3410" s="1">
        <v>46225.412569444437</v>
      </c>
      <c r="D3410" s="1">
        <v>46250.73541666667</v>
      </c>
      <c r="E3410" s="2">
        <f t="shared" si="53"/>
        <v>25.322847222232667</v>
      </c>
    </row>
    <row r="3411" spans="1:5" x14ac:dyDescent="0.25">
      <c r="A3411" t="s">
        <v>5</v>
      </c>
      <c r="B3411" t="s">
        <v>8</v>
      </c>
      <c r="C3411" s="1">
        <v>46130.83011574074</v>
      </c>
      <c r="D3411" s="1">
        <v>46159.966932870368</v>
      </c>
      <c r="E3411" s="2">
        <f t="shared" si="53"/>
        <v>29.136817129627161</v>
      </c>
    </row>
    <row r="3412" spans="1:5" x14ac:dyDescent="0.25">
      <c r="A3412" t="s">
        <v>5</v>
      </c>
      <c r="B3412" t="s">
        <v>8</v>
      </c>
      <c r="C3412" s="1">
        <v>46191.075983796298</v>
      </c>
      <c r="D3412" s="1">
        <v>46214.836111111108</v>
      </c>
      <c r="E3412" s="2">
        <f t="shared" si="53"/>
        <v>23.760127314810234</v>
      </c>
    </row>
    <row r="3413" spans="1:5" x14ac:dyDescent="0.25">
      <c r="A3413" t="s">
        <v>5</v>
      </c>
      <c r="B3413" t="s">
        <v>8</v>
      </c>
      <c r="C3413" s="1">
        <v>46159.081250000003</v>
      </c>
      <c r="D3413" s="1">
        <v>46181.674305555563</v>
      </c>
      <c r="E3413" s="2">
        <f t="shared" si="53"/>
        <v>22.593055555560568</v>
      </c>
    </row>
    <row r="3414" spans="1:5" x14ac:dyDescent="0.25">
      <c r="A3414" t="s">
        <v>5</v>
      </c>
      <c r="B3414" t="s">
        <v>8</v>
      </c>
      <c r="C3414" s="1">
        <v>46124.866666666669</v>
      </c>
      <c r="D3414" s="1">
        <v>46152.936111111107</v>
      </c>
      <c r="E3414" s="2">
        <f t="shared" si="53"/>
        <v>28.069444444437977</v>
      </c>
    </row>
    <row r="3415" spans="1:5" x14ac:dyDescent="0.25">
      <c r="A3415" t="s">
        <v>5</v>
      </c>
      <c r="B3415" t="s">
        <v>8</v>
      </c>
      <c r="C3415" s="1">
        <v>46191.063888888893</v>
      </c>
      <c r="D3415" s="1">
        <v>46214.830520833333</v>
      </c>
      <c r="E3415" s="2">
        <f t="shared" si="53"/>
        <v>23.766631944439723</v>
      </c>
    </row>
    <row r="3416" spans="1:5" x14ac:dyDescent="0.25">
      <c r="A3416" t="s">
        <v>5</v>
      </c>
      <c r="B3416" t="s">
        <v>8</v>
      </c>
      <c r="C3416" s="1">
        <v>46159.081250000003</v>
      </c>
      <c r="D3416" s="1">
        <v>46181.674976851849</v>
      </c>
      <c r="E3416" s="2">
        <f t="shared" si="53"/>
        <v>22.593726851846441</v>
      </c>
    </row>
    <row r="3417" spans="1:5" x14ac:dyDescent="0.25">
      <c r="A3417" t="s">
        <v>5</v>
      </c>
      <c r="B3417" t="s">
        <v>8</v>
      </c>
      <c r="C3417" s="1">
        <v>46169.74722222222</v>
      </c>
      <c r="D3417" s="1">
        <v>46195.515729166669</v>
      </c>
      <c r="E3417" s="2">
        <f t="shared" si="53"/>
        <v>25.768506944448745</v>
      </c>
    </row>
    <row r="3418" spans="1:5" x14ac:dyDescent="0.25">
      <c r="A3418" t="s">
        <v>5</v>
      </c>
      <c r="B3418" t="s">
        <v>8</v>
      </c>
      <c r="C3418" s="1">
        <v>46191.063888888893</v>
      </c>
      <c r="D3418" s="1">
        <v>46214.836111111108</v>
      </c>
      <c r="E3418" s="2">
        <f t="shared" si="53"/>
        <v>23.772222222214623</v>
      </c>
    </row>
    <row r="3419" spans="1:5" x14ac:dyDescent="0.25">
      <c r="A3419" t="s">
        <v>5</v>
      </c>
      <c r="B3419" t="s">
        <v>8</v>
      </c>
      <c r="C3419" s="1">
        <v>46236.134722222218</v>
      </c>
      <c r="D3419" s="1">
        <v>46258.295138888891</v>
      </c>
      <c r="E3419" s="2">
        <f t="shared" si="53"/>
        <v>22.160416666672972</v>
      </c>
    </row>
    <row r="3420" spans="1:5" x14ac:dyDescent="0.25">
      <c r="A3420" t="s">
        <v>5</v>
      </c>
      <c r="B3420" t="s">
        <v>8</v>
      </c>
      <c r="C3420" s="1">
        <v>46144.320833333331</v>
      </c>
      <c r="D3420" s="1">
        <v>46174.822662037041</v>
      </c>
      <c r="E3420" s="2">
        <f t="shared" si="53"/>
        <v>30.50182870370918</v>
      </c>
    </row>
    <row r="3421" spans="1:5" x14ac:dyDescent="0.25">
      <c r="A3421" t="s">
        <v>5</v>
      </c>
      <c r="B3421" t="s">
        <v>8</v>
      </c>
      <c r="C3421" s="1">
        <v>46225.412569444437</v>
      </c>
      <c r="D3421" s="1">
        <v>46250.735798611109</v>
      </c>
      <c r="E3421" s="2">
        <f t="shared" si="53"/>
        <v>25.323229166671808</v>
      </c>
    </row>
    <row r="3422" spans="1:5" x14ac:dyDescent="0.25">
      <c r="A3422" t="s">
        <v>5</v>
      </c>
      <c r="B3422" t="s">
        <v>8</v>
      </c>
      <c r="C3422" s="1">
        <v>46248.977083333331</v>
      </c>
      <c r="D3422" s="1">
        <v>46279.851388888892</v>
      </c>
      <c r="E3422" s="2">
        <f t="shared" si="53"/>
        <v>30.874305555560568</v>
      </c>
    </row>
    <row r="3423" spans="1:5" x14ac:dyDescent="0.25">
      <c r="A3423" t="s">
        <v>5</v>
      </c>
      <c r="B3423" t="s">
        <v>8</v>
      </c>
      <c r="C3423" s="1">
        <v>46194.835023148153</v>
      </c>
      <c r="D3423" s="1">
        <v>46216.121527777781</v>
      </c>
      <c r="E3423" s="2">
        <f t="shared" si="53"/>
        <v>21.286504629628325</v>
      </c>
    </row>
    <row r="3424" spans="1:5" x14ac:dyDescent="0.25">
      <c r="A3424" t="s">
        <v>5</v>
      </c>
      <c r="B3424" t="s">
        <v>8</v>
      </c>
      <c r="C3424" s="1">
        <v>46225.402777777781</v>
      </c>
      <c r="D3424" s="1">
        <v>46250.73541666667</v>
      </c>
      <c r="E3424" s="2">
        <f t="shared" si="53"/>
        <v>25.332638888889051</v>
      </c>
    </row>
    <row r="3425" spans="1:5" x14ac:dyDescent="0.25">
      <c r="A3425" t="s">
        <v>5</v>
      </c>
      <c r="B3425" t="s">
        <v>8</v>
      </c>
      <c r="C3425" s="1">
        <v>46169.74722222222</v>
      </c>
      <c r="D3425" s="1">
        <v>46195.515729166669</v>
      </c>
      <c r="E3425" s="2">
        <f t="shared" si="53"/>
        <v>25.768506944448745</v>
      </c>
    </row>
    <row r="3426" spans="1:5" x14ac:dyDescent="0.25">
      <c r="A3426" t="s">
        <v>5</v>
      </c>
      <c r="B3426" t="s">
        <v>8</v>
      </c>
      <c r="C3426" s="1">
        <v>45681.762499999997</v>
      </c>
      <c r="D3426" s="1">
        <v>45706.871527777781</v>
      </c>
      <c r="E3426" s="2">
        <f t="shared" si="53"/>
        <v>25.109027777783922</v>
      </c>
    </row>
    <row r="3427" spans="1:5" x14ac:dyDescent="0.25">
      <c r="A3427" t="s">
        <v>5</v>
      </c>
      <c r="B3427" t="s">
        <v>8</v>
      </c>
      <c r="C3427" s="1">
        <v>45659.054166666669</v>
      </c>
      <c r="D3427" s="1">
        <v>45685.674305555563</v>
      </c>
      <c r="E3427" s="2">
        <f t="shared" si="53"/>
        <v>26.620138888894871</v>
      </c>
    </row>
    <row r="3428" spans="1:5" x14ac:dyDescent="0.25">
      <c r="A3428" t="s">
        <v>5</v>
      </c>
      <c r="B3428" t="s">
        <v>8</v>
      </c>
      <c r="C3428" s="1">
        <v>46159.081250000003</v>
      </c>
      <c r="D3428" s="1">
        <v>46181.674305555563</v>
      </c>
      <c r="E3428" s="2">
        <f t="shared" si="53"/>
        <v>22.593055555560568</v>
      </c>
    </row>
    <row r="3429" spans="1:5" x14ac:dyDescent="0.25">
      <c r="A3429" t="s">
        <v>5</v>
      </c>
      <c r="B3429" t="s">
        <v>8</v>
      </c>
      <c r="C3429" s="1">
        <v>46191.063888888893</v>
      </c>
      <c r="D3429" s="1">
        <v>46214.830520833333</v>
      </c>
      <c r="E3429" s="2">
        <f t="shared" si="53"/>
        <v>23.766631944439723</v>
      </c>
    </row>
    <row r="3430" spans="1:5" x14ac:dyDescent="0.25">
      <c r="A3430" t="s">
        <v>5</v>
      </c>
      <c r="B3430" t="s">
        <v>8</v>
      </c>
      <c r="C3430" s="1">
        <v>45745.952974537038</v>
      </c>
      <c r="D3430" s="1">
        <v>45775.742037037038</v>
      </c>
      <c r="E3430" s="2">
        <f t="shared" si="53"/>
        <v>29.7890625</v>
      </c>
    </row>
    <row r="3431" spans="1:5" x14ac:dyDescent="0.25">
      <c r="A3431" t="s">
        <v>5</v>
      </c>
      <c r="B3431" t="s">
        <v>8</v>
      </c>
      <c r="C3431" s="1">
        <v>45750.686111111107</v>
      </c>
      <c r="D3431" s="1">
        <v>45782.683333333327</v>
      </c>
      <c r="E3431" s="2">
        <f t="shared" si="53"/>
        <v>31.997222222220444</v>
      </c>
    </row>
    <row r="3432" spans="1:5" x14ac:dyDescent="0.25">
      <c r="A3432" t="s">
        <v>5</v>
      </c>
      <c r="B3432" t="s">
        <v>8</v>
      </c>
      <c r="C3432" s="1">
        <v>45671.125</v>
      </c>
      <c r="D3432" s="1">
        <v>45697.265277777777</v>
      </c>
      <c r="E3432" s="2">
        <f t="shared" si="53"/>
        <v>26.140277777776646</v>
      </c>
    </row>
    <row r="3433" spans="1:5" x14ac:dyDescent="0.25">
      <c r="A3433" t="s">
        <v>5</v>
      </c>
      <c r="B3433" t="s">
        <v>8</v>
      </c>
      <c r="C3433" s="1">
        <v>46244.739722222221</v>
      </c>
      <c r="D3433" s="1">
        <v>46272.206944444442</v>
      </c>
      <c r="E3433" s="2">
        <f t="shared" si="53"/>
        <v>27.467222222221608</v>
      </c>
    </row>
    <row r="3434" spans="1:5" x14ac:dyDescent="0.25">
      <c r="A3434" t="s">
        <v>23</v>
      </c>
      <c r="B3434" t="s">
        <v>12</v>
      </c>
      <c r="C3434" s="1">
        <v>46229.291666666657</v>
      </c>
      <c r="D3434" s="1">
        <v>46241.318541666667</v>
      </c>
      <c r="E3434" s="2">
        <f t="shared" si="53"/>
        <v>12.026875000010477</v>
      </c>
    </row>
    <row r="3435" spans="1:5" x14ac:dyDescent="0.25">
      <c r="A3435" t="s">
        <v>5</v>
      </c>
      <c r="B3435" t="s">
        <v>8</v>
      </c>
      <c r="C3435" s="1">
        <v>45777.362500000003</v>
      </c>
      <c r="D3435" s="1">
        <v>45808.425081018519</v>
      </c>
      <c r="E3435" s="2">
        <f t="shared" si="53"/>
        <v>31.06258101851563</v>
      </c>
    </row>
    <row r="3436" spans="1:5" x14ac:dyDescent="0.25">
      <c r="A3436" t="s">
        <v>5</v>
      </c>
      <c r="B3436" t="s">
        <v>8</v>
      </c>
      <c r="C3436" s="1">
        <v>45731.86041666667</v>
      </c>
      <c r="D3436" s="1">
        <v>45761.405555555553</v>
      </c>
      <c r="E3436" s="2">
        <f t="shared" si="53"/>
        <v>29.54513888888323</v>
      </c>
    </row>
    <row r="3437" spans="1:5" x14ac:dyDescent="0.25">
      <c r="A3437" t="s">
        <v>5</v>
      </c>
      <c r="B3437" t="s">
        <v>8</v>
      </c>
      <c r="C3437" s="1">
        <v>45715.841666666667</v>
      </c>
      <c r="D3437" s="1">
        <v>45741.816666666673</v>
      </c>
      <c r="E3437" s="2">
        <f t="shared" si="53"/>
        <v>25.975000000005821</v>
      </c>
    </row>
    <row r="3438" spans="1:5" x14ac:dyDescent="0.25">
      <c r="A3438" t="s">
        <v>5</v>
      </c>
      <c r="B3438" t="s">
        <v>8</v>
      </c>
      <c r="C3438" s="1">
        <v>46194.835023148153</v>
      </c>
      <c r="D3438" s="1">
        <v>46216.121886574067</v>
      </c>
      <c r="E3438" s="2">
        <f t="shared" si="53"/>
        <v>21.286863425913907</v>
      </c>
    </row>
    <row r="3439" spans="1:5" x14ac:dyDescent="0.25">
      <c r="A3439" t="s">
        <v>5</v>
      </c>
      <c r="B3439" t="s">
        <v>8</v>
      </c>
      <c r="C3439" s="1">
        <v>46124.866666666669</v>
      </c>
      <c r="D3439" s="1">
        <v>46152.936111111107</v>
      </c>
      <c r="E3439" s="2">
        <f t="shared" si="53"/>
        <v>28.069444444437977</v>
      </c>
    </row>
    <row r="3440" spans="1:5" x14ac:dyDescent="0.25">
      <c r="A3440" t="s">
        <v>5</v>
      </c>
      <c r="B3440" t="s">
        <v>8</v>
      </c>
      <c r="C3440" s="1">
        <v>45681.762499999997</v>
      </c>
      <c r="D3440" s="1">
        <v>45706.871527777781</v>
      </c>
      <c r="E3440" s="2">
        <f t="shared" si="53"/>
        <v>25.109027777783922</v>
      </c>
    </row>
    <row r="3441" spans="1:5" x14ac:dyDescent="0.25">
      <c r="A3441" t="s">
        <v>23</v>
      </c>
      <c r="B3441" t="s">
        <v>12</v>
      </c>
      <c r="C3441" s="1">
        <v>46244.189814814818</v>
      </c>
      <c r="D3441" s="1">
        <v>46255.163888888892</v>
      </c>
      <c r="E3441" s="2">
        <f t="shared" si="53"/>
        <v>10.974074074074451</v>
      </c>
    </row>
    <row r="3442" spans="1:5" x14ac:dyDescent="0.25">
      <c r="A3442" t="s">
        <v>12</v>
      </c>
      <c r="B3442" t="s">
        <v>8</v>
      </c>
      <c r="C3442" s="1">
        <v>46223.751296296286</v>
      </c>
      <c r="D3442" s="1">
        <v>46279.851388888892</v>
      </c>
      <c r="E3442" s="2">
        <f t="shared" si="53"/>
        <v>56.100092592605506</v>
      </c>
    </row>
    <row r="3443" spans="1:5" x14ac:dyDescent="0.25">
      <c r="A3443" t="s">
        <v>5</v>
      </c>
      <c r="B3443" t="s">
        <v>8</v>
      </c>
      <c r="C3443" s="1">
        <v>45777.362500000003</v>
      </c>
      <c r="D3443" s="1">
        <v>45808.435416666667</v>
      </c>
      <c r="E3443" s="2">
        <f t="shared" si="53"/>
        <v>31.072916666664241</v>
      </c>
    </row>
    <row r="3444" spans="1:5" x14ac:dyDescent="0.25">
      <c r="A3444" t="s">
        <v>5</v>
      </c>
      <c r="B3444" t="s">
        <v>8</v>
      </c>
      <c r="C3444" s="1">
        <v>46144.330104166656</v>
      </c>
      <c r="D3444" s="1">
        <v>46174.822662037041</v>
      </c>
      <c r="E3444" s="2">
        <f t="shared" si="53"/>
        <v>30.492557870384189</v>
      </c>
    </row>
    <row r="3445" spans="1:5" x14ac:dyDescent="0.25">
      <c r="A3445" t="s">
        <v>12</v>
      </c>
      <c r="B3445" t="s">
        <v>14</v>
      </c>
      <c r="C3445" s="1">
        <v>45896.879166666673</v>
      </c>
      <c r="D3445" s="1">
        <v>45949.996527777781</v>
      </c>
      <c r="E3445" s="2">
        <f t="shared" si="53"/>
        <v>53.117361111108039</v>
      </c>
    </row>
    <row r="3446" spans="1:5" x14ac:dyDescent="0.25">
      <c r="A3446" t="s">
        <v>5</v>
      </c>
      <c r="B3446" t="s">
        <v>8</v>
      </c>
      <c r="C3446" s="1">
        <v>45731.915972222218</v>
      </c>
      <c r="D3446" s="1">
        <v>45761.405555555553</v>
      </c>
      <c r="E3446" s="2">
        <f t="shared" si="53"/>
        <v>29.489583333335759</v>
      </c>
    </row>
    <row r="3447" spans="1:5" x14ac:dyDescent="0.25">
      <c r="A3447" t="s">
        <v>5</v>
      </c>
      <c r="B3447" t="s">
        <v>8</v>
      </c>
      <c r="C3447" s="1">
        <v>45758.429166666669</v>
      </c>
      <c r="D3447" s="1">
        <v>45789.869444444441</v>
      </c>
      <c r="E3447" s="2">
        <f t="shared" si="53"/>
        <v>31.44027777777228</v>
      </c>
    </row>
    <row r="3448" spans="1:5" x14ac:dyDescent="0.25">
      <c r="A3448" t="s">
        <v>5</v>
      </c>
      <c r="B3448" t="s">
        <v>8</v>
      </c>
      <c r="C3448" s="1">
        <v>45777.362500000003</v>
      </c>
      <c r="D3448" s="1">
        <v>45808.425081018519</v>
      </c>
      <c r="E3448" s="2">
        <f t="shared" si="53"/>
        <v>31.06258101851563</v>
      </c>
    </row>
    <row r="3449" spans="1:5" x14ac:dyDescent="0.25">
      <c r="A3449" t="s">
        <v>5</v>
      </c>
      <c r="B3449" t="s">
        <v>8</v>
      </c>
      <c r="C3449" s="1">
        <v>45671.125</v>
      </c>
      <c r="D3449" s="1">
        <v>45697.265277777777</v>
      </c>
      <c r="E3449" s="2">
        <f t="shared" si="53"/>
        <v>26.140277777776646</v>
      </c>
    </row>
    <row r="3450" spans="1:5" x14ac:dyDescent="0.25">
      <c r="A3450" t="s">
        <v>5</v>
      </c>
      <c r="B3450" t="s">
        <v>8</v>
      </c>
      <c r="C3450" s="1">
        <v>46169.74722222222</v>
      </c>
      <c r="D3450" s="1">
        <v>46195.520138888889</v>
      </c>
      <c r="E3450" s="2">
        <f t="shared" si="53"/>
        <v>25.772916666668607</v>
      </c>
    </row>
    <row r="3451" spans="1:5" x14ac:dyDescent="0.25">
      <c r="A3451" t="s">
        <v>5</v>
      </c>
      <c r="B3451" t="s">
        <v>8</v>
      </c>
      <c r="C3451" s="1">
        <v>45777.362500000003</v>
      </c>
      <c r="D3451" s="1">
        <v>45808.425081018519</v>
      </c>
      <c r="E3451" s="2">
        <f t="shared" si="53"/>
        <v>31.06258101851563</v>
      </c>
    </row>
    <row r="3452" spans="1:5" x14ac:dyDescent="0.25">
      <c r="A3452" t="s">
        <v>5</v>
      </c>
      <c r="B3452" t="s">
        <v>8</v>
      </c>
      <c r="C3452" s="1">
        <v>45659.054166666669</v>
      </c>
      <c r="D3452" s="1">
        <v>45685.674305555563</v>
      </c>
      <c r="E3452" s="2">
        <f t="shared" si="53"/>
        <v>26.620138888894871</v>
      </c>
    </row>
    <row r="3453" spans="1:5" x14ac:dyDescent="0.25">
      <c r="A3453" t="s">
        <v>5</v>
      </c>
      <c r="B3453" t="s">
        <v>8</v>
      </c>
      <c r="C3453" s="1">
        <v>46124.879189814812</v>
      </c>
      <c r="D3453" s="1">
        <v>46152.936111111107</v>
      </c>
      <c r="E3453" s="2">
        <f t="shared" si="53"/>
        <v>28.056921296294604</v>
      </c>
    </row>
    <row r="3454" spans="1:5" x14ac:dyDescent="0.25">
      <c r="A3454" t="s">
        <v>5</v>
      </c>
      <c r="B3454" t="s">
        <v>8</v>
      </c>
      <c r="C3454" s="1">
        <v>45671.125</v>
      </c>
      <c r="D3454" s="1">
        <v>45697.265277777777</v>
      </c>
      <c r="E3454" s="2">
        <f t="shared" si="53"/>
        <v>26.140277777776646</v>
      </c>
    </row>
    <row r="3455" spans="1:5" x14ac:dyDescent="0.25">
      <c r="A3455" t="s">
        <v>5</v>
      </c>
      <c r="B3455" t="s">
        <v>8</v>
      </c>
      <c r="C3455" s="1">
        <v>45695.8125</v>
      </c>
      <c r="D3455" s="1">
        <v>45724.874305555553</v>
      </c>
      <c r="E3455" s="2">
        <f t="shared" si="53"/>
        <v>29.061805555553292</v>
      </c>
    </row>
    <row r="3456" spans="1:5" x14ac:dyDescent="0.25">
      <c r="A3456" t="s">
        <v>5</v>
      </c>
      <c r="B3456" t="s">
        <v>8</v>
      </c>
      <c r="C3456" s="1">
        <v>45758.019780092603</v>
      </c>
      <c r="D3456" s="1">
        <v>45789.869444444441</v>
      </c>
      <c r="E3456" s="2">
        <f t="shared" si="53"/>
        <v>31.849664351837419</v>
      </c>
    </row>
    <row r="3457" spans="1:5" x14ac:dyDescent="0.25">
      <c r="A3457" t="s">
        <v>5</v>
      </c>
      <c r="B3457" t="s">
        <v>8</v>
      </c>
      <c r="C3457" s="1">
        <v>45745.952974537038</v>
      </c>
      <c r="D3457" s="1">
        <v>45775.742037037038</v>
      </c>
      <c r="E3457" s="2">
        <f t="shared" si="53"/>
        <v>29.7890625</v>
      </c>
    </row>
    <row r="3458" spans="1:5" x14ac:dyDescent="0.25">
      <c r="A3458" t="s">
        <v>5</v>
      </c>
      <c r="B3458" t="s">
        <v>8</v>
      </c>
      <c r="C3458" s="1">
        <v>46225.402777777781</v>
      </c>
      <c r="D3458" s="1">
        <v>46250.73541666667</v>
      </c>
      <c r="E3458" s="2">
        <f t="shared" ref="E3458:E3521" si="54">D3458-C3458</f>
        <v>25.332638888889051</v>
      </c>
    </row>
    <row r="3459" spans="1:5" x14ac:dyDescent="0.25">
      <c r="A3459" t="s">
        <v>5</v>
      </c>
      <c r="B3459" t="s">
        <v>8</v>
      </c>
      <c r="C3459" s="1">
        <v>45707.716666666667</v>
      </c>
      <c r="D3459" s="1">
        <v>45734.840219907397</v>
      </c>
      <c r="E3459" s="2">
        <f t="shared" si="54"/>
        <v>27.123553240729962</v>
      </c>
    </row>
    <row r="3460" spans="1:5" x14ac:dyDescent="0.25">
      <c r="A3460" t="s">
        <v>5</v>
      </c>
      <c r="B3460" t="s">
        <v>8</v>
      </c>
      <c r="C3460" s="1">
        <v>46191.063888888893</v>
      </c>
      <c r="D3460" s="1">
        <v>46214.836111111108</v>
      </c>
      <c r="E3460" s="2">
        <f t="shared" si="54"/>
        <v>23.772222222214623</v>
      </c>
    </row>
    <row r="3461" spans="1:5" x14ac:dyDescent="0.25">
      <c r="A3461" t="s">
        <v>5</v>
      </c>
      <c r="B3461" t="s">
        <v>8</v>
      </c>
      <c r="C3461" s="1">
        <v>45707.716666666667</v>
      </c>
      <c r="D3461" s="1">
        <v>45734.840219907397</v>
      </c>
      <c r="E3461" s="2">
        <f t="shared" si="54"/>
        <v>27.123553240729962</v>
      </c>
    </row>
    <row r="3462" spans="1:5" x14ac:dyDescent="0.25">
      <c r="A3462" t="s">
        <v>5</v>
      </c>
      <c r="B3462" t="s">
        <v>8</v>
      </c>
      <c r="C3462" s="1">
        <v>45681.762499999997</v>
      </c>
      <c r="D3462" s="1">
        <v>45706.875439814823</v>
      </c>
      <c r="E3462" s="2">
        <f t="shared" si="54"/>
        <v>25.11293981482595</v>
      </c>
    </row>
    <row r="3463" spans="1:5" x14ac:dyDescent="0.25">
      <c r="A3463" t="s">
        <v>5</v>
      </c>
      <c r="B3463" t="s">
        <v>8</v>
      </c>
      <c r="C3463" s="1">
        <v>45701.708333333343</v>
      </c>
      <c r="D3463" s="1">
        <v>45730.227777777778</v>
      </c>
      <c r="E3463" s="2">
        <f t="shared" si="54"/>
        <v>28.519444444435067</v>
      </c>
    </row>
    <row r="3464" spans="1:5" x14ac:dyDescent="0.25">
      <c r="A3464" t="s">
        <v>5</v>
      </c>
      <c r="B3464" t="s">
        <v>8</v>
      </c>
      <c r="C3464" s="1">
        <v>46225.402777777781</v>
      </c>
      <c r="D3464" s="1">
        <v>46250.73541666667</v>
      </c>
      <c r="E3464" s="2">
        <f t="shared" si="54"/>
        <v>25.332638888889051</v>
      </c>
    </row>
    <row r="3465" spans="1:5" x14ac:dyDescent="0.25">
      <c r="A3465" t="s">
        <v>5</v>
      </c>
      <c r="B3465" t="s">
        <v>8</v>
      </c>
      <c r="C3465" s="1">
        <v>45735.674305555563</v>
      </c>
      <c r="D3465" s="1">
        <v>45764.501828703702</v>
      </c>
      <c r="E3465" s="2">
        <f t="shared" si="54"/>
        <v>28.827523148138425</v>
      </c>
    </row>
    <row r="3466" spans="1:5" x14ac:dyDescent="0.25">
      <c r="A3466" t="s">
        <v>5</v>
      </c>
      <c r="B3466" t="s">
        <v>8</v>
      </c>
      <c r="C3466" s="1">
        <v>45722.095833333333</v>
      </c>
      <c r="D3466" s="1">
        <v>45749.925694444442</v>
      </c>
      <c r="E3466" s="2">
        <f t="shared" si="54"/>
        <v>27.829861111109494</v>
      </c>
    </row>
    <row r="3467" spans="1:5" x14ac:dyDescent="0.25">
      <c r="A3467" t="s">
        <v>5</v>
      </c>
      <c r="B3467" t="s">
        <v>8</v>
      </c>
      <c r="C3467" s="1">
        <v>45707.716666666667</v>
      </c>
      <c r="D3467" s="1">
        <v>45734.840219907397</v>
      </c>
      <c r="E3467" s="2">
        <f t="shared" si="54"/>
        <v>27.123553240729962</v>
      </c>
    </row>
    <row r="3468" spans="1:5" x14ac:dyDescent="0.25">
      <c r="A3468" t="s">
        <v>12</v>
      </c>
      <c r="B3468" t="s">
        <v>14</v>
      </c>
      <c r="C3468" s="1">
        <v>46043.288194444453</v>
      </c>
      <c r="D3468" s="1">
        <v>46105.426388888889</v>
      </c>
      <c r="E3468" s="2">
        <f t="shared" si="54"/>
        <v>62.138194444436522</v>
      </c>
    </row>
    <row r="3469" spans="1:5" x14ac:dyDescent="0.25">
      <c r="A3469" t="s">
        <v>5</v>
      </c>
      <c r="B3469" t="s">
        <v>8</v>
      </c>
      <c r="C3469" s="1">
        <v>45681.762499999997</v>
      </c>
      <c r="D3469" s="1">
        <v>45706.871527777781</v>
      </c>
      <c r="E3469" s="2">
        <f t="shared" si="54"/>
        <v>25.109027777783922</v>
      </c>
    </row>
    <row r="3470" spans="1:5" x14ac:dyDescent="0.25">
      <c r="A3470" t="s">
        <v>5</v>
      </c>
      <c r="B3470" t="s">
        <v>8</v>
      </c>
      <c r="C3470" s="1">
        <v>45707.716666666667</v>
      </c>
      <c r="D3470" s="1">
        <v>45734.852777777778</v>
      </c>
      <c r="E3470" s="2">
        <f t="shared" si="54"/>
        <v>27.136111111110949</v>
      </c>
    </row>
    <row r="3471" spans="1:5" x14ac:dyDescent="0.25">
      <c r="A3471" t="s">
        <v>5</v>
      </c>
      <c r="B3471" t="s">
        <v>8</v>
      </c>
      <c r="C3471" s="1">
        <v>45715.841666666667</v>
      </c>
      <c r="D3471" s="1">
        <v>45741.816666666673</v>
      </c>
      <c r="E3471" s="2">
        <f t="shared" si="54"/>
        <v>25.975000000005821</v>
      </c>
    </row>
    <row r="3472" spans="1:5" x14ac:dyDescent="0.25">
      <c r="A3472" t="s">
        <v>5</v>
      </c>
      <c r="B3472" t="s">
        <v>8</v>
      </c>
      <c r="C3472" s="1">
        <v>45671.125</v>
      </c>
      <c r="D3472" s="1">
        <v>45697.265277777777</v>
      </c>
      <c r="E3472" s="2">
        <f t="shared" si="54"/>
        <v>26.140277777776646</v>
      </c>
    </row>
    <row r="3473" spans="1:5" x14ac:dyDescent="0.25">
      <c r="A3473" t="s">
        <v>5</v>
      </c>
      <c r="B3473" t="s">
        <v>8</v>
      </c>
      <c r="C3473" s="1">
        <v>45707.716666666667</v>
      </c>
      <c r="D3473" s="1">
        <v>45734.840219907397</v>
      </c>
      <c r="E3473" s="2">
        <f t="shared" si="54"/>
        <v>27.123553240729962</v>
      </c>
    </row>
    <row r="3474" spans="1:5" x14ac:dyDescent="0.25">
      <c r="A3474" t="s">
        <v>5</v>
      </c>
      <c r="B3474" t="s">
        <v>8</v>
      </c>
      <c r="C3474" s="1">
        <v>46144.330104166656</v>
      </c>
      <c r="D3474" s="1">
        <v>46174.830555555563</v>
      </c>
      <c r="E3474" s="2">
        <f t="shared" si="54"/>
        <v>30.500451388907095</v>
      </c>
    </row>
    <row r="3475" spans="1:5" x14ac:dyDescent="0.25">
      <c r="A3475" t="s">
        <v>5</v>
      </c>
      <c r="B3475" t="s">
        <v>8</v>
      </c>
      <c r="C3475" s="1">
        <v>45674.279166666667</v>
      </c>
      <c r="D3475" s="1">
        <v>45702.654166666667</v>
      </c>
      <c r="E3475" s="2">
        <f t="shared" si="54"/>
        <v>28.375</v>
      </c>
    </row>
    <row r="3476" spans="1:5" x14ac:dyDescent="0.25">
      <c r="A3476" t="s">
        <v>5</v>
      </c>
      <c r="B3476" t="s">
        <v>8</v>
      </c>
      <c r="C3476" s="1">
        <v>45674.279166666667</v>
      </c>
      <c r="D3476" s="1">
        <v>45702.654166666667</v>
      </c>
      <c r="E3476" s="2">
        <f t="shared" si="54"/>
        <v>28.375</v>
      </c>
    </row>
    <row r="3477" spans="1:5" x14ac:dyDescent="0.25">
      <c r="A3477" t="s">
        <v>5</v>
      </c>
      <c r="B3477" t="s">
        <v>8</v>
      </c>
      <c r="C3477" s="1">
        <v>45695.8125</v>
      </c>
      <c r="D3477" s="1">
        <v>45724.874305555553</v>
      </c>
      <c r="E3477" s="2">
        <f t="shared" si="54"/>
        <v>29.061805555553292</v>
      </c>
    </row>
    <row r="3478" spans="1:5" x14ac:dyDescent="0.25">
      <c r="A3478" t="s">
        <v>5</v>
      </c>
      <c r="B3478" t="s">
        <v>8</v>
      </c>
      <c r="C3478" s="1">
        <v>46194.835023148153</v>
      </c>
      <c r="D3478" s="1">
        <v>46216.121886574067</v>
      </c>
      <c r="E3478" s="2">
        <f t="shared" si="54"/>
        <v>21.286863425913907</v>
      </c>
    </row>
    <row r="3479" spans="1:5" x14ac:dyDescent="0.25">
      <c r="A3479" t="s">
        <v>5</v>
      </c>
      <c r="B3479" t="s">
        <v>8</v>
      </c>
      <c r="C3479" s="1">
        <v>45745.883333333331</v>
      </c>
      <c r="D3479" s="1">
        <v>45775.742037037038</v>
      </c>
      <c r="E3479" s="2">
        <f t="shared" si="54"/>
        <v>29.858703703706851</v>
      </c>
    </row>
    <row r="3480" spans="1:5" x14ac:dyDescent="0.25">
      <c r="A3480" t="s">
        <v>5</v>
      </c>
      <c r="B3480" t="s">
        <v>8</v>
      </c>
      <c r="C3480" s="1">
        <v>46206.119351851848</v>
      </c>
      <c r="D3480" s="1">
        <v>46230.578472222223</v>
      </c>
      <c r="E3480" s="2">
        <f t="shared" si="54"/>
        <v>24.459120370374876</v>
      </c>
    </row>
    <row r="3481" spans="1:5" x14ac:dyDescent="0.25">
      <c r="A3481" t="s">
        <v>5</v>
      </c>
      <c r="B3481" t="s">
        <v>8</v>
      </c>
      <c r="C3481" s="1">
        <v>45715.841666666667</v>
      </c>
      <c r="D3481" s="1">
        <v>45741.816666666673</v>
      </c>
      <c r="E3481" s="2">
        <f t="shared" si="54"/>
        <v>25.975000000005821</v>
      </c>
    </row>
    <row r="3482" spans="1:5" x14ac:dyDescent="0.25">
      <c r="A3482" t="s">
        <v>5</v>
      </c>
      <c r="B3482" t="s">
        <v>8</v>
      </c>
      <c r="C3482" s="1">
        <v>45707.716666666667</v>
      </c>
      <c r="D3482" s="1">
        <v>45734.852777777778</v>
      </c>
      <c r="E3482" s="2">
        <f t="shared" si="54"/>
        <v>27.136111111110949</v>
      </c>
    </row>
    <row r="3483" spans="1:5" x14ac:dyDescent="0.25">
      <c r="A3483" t="s">
        <v>5</v>
      </c>
      <c r="B3483" t="s">
        <v>8</v>
      </c>
      <c r="C3483" s="1">
        <v>45777.362500000003</v>
      </c>
      <c r="D3483" s="1">
        <v>45808.435416666667</v>
      </c>
      <c r="E3483" s="2">
        <f t="shared" si="54"/>
        <v>31.072916666664241</v>
      </c>
    </row>
    <row r="3484" spans="1:5" x14ac:dyDescent="0.25">
      <c r="A3484" t="s">
        <v>5</v>
      </c>
      <c r="B3484" t="s">
        <v>8</v>
      </c>
      <c r="C3484" s="1">
        <v>45707.716666666667</v>
      </c>
      <c r="D3484" s="1">
        <v>45734.840219907397</v>
      </c>
      <c r="E3484" s="2">
        <f t="shared" si="54"/>
        <v>27.123553240729962</v>
      </c>
    </row>
    <row r="3485" spans="1:5" x14ac:dyDescent="0.25">
      <c r="A3485" t="s">
        <v>5</v>
      </c>
      <c r="B3485" t="s">
        <v>8</v>
      </c>
      <c r="C3485" s="1">
        <v>45722.095833333333</v>
      </c>
      <c r="D3485" s="1">
        <v>45749.925694444442</v>
      </c>
      <c r="E3485" s="2">
        <f t="shared" si="54"/>
        <v>27.829861111109494</v>
      </c>
    </row>
    <row r="3486" spans="1:5" x14ac:dyDescent="0.25">
      <c r="A3486" t="s">
        <v>5</v>
      </c>
      <c r="B3486" t="s">
        <v>8</v>
      </c>
      <c r="C3486" s="1">
        <v>45707.716666666667</v>
      </c>
      <c r="D3486" s="1">
        <v>45734.852777777778</v>
      </c>
      <c r="E3486" s="2">
        <f t="shared" si="54"/>
        <v>27.136111111110949</v>
      </c>
    </row>
    <row r="3487" spans="1:5" x14ac:dyDescent="0.25">
      <c r="A3487" t="s">
        <v>5</v>
      </c>
      <c r="B3487" t="s">
        <v>8</v>
      </c>
      <c r="C3487" s="1">
        <v>46191.075983796298</v>
      </c>
      <c r="D3487" s="1">
        <v>46214.836111111108</v>
      </c>
      <c r="E3487" s="2">
        <f t="shared" si="54"/>
        <v>23.760127314810234</v>
      </c>
    </row>
    <row r="3488" spans="1:5" x14ac:dyDescent="0.25">
      <c r="A3488" t="s">
        <v>5</v>
      </c>
      <c r="B3488" t="s">
        <v>8</v>
      </c>
      <c r="C3488" s="1">
        <v>46244.739722222221</v>
      </c>
      <c r="D3488" s="1">
        <v>46272.206944444442</v>
      </c>
      <c r="E3488" s="2">
        <f t="shared" si="54"/>
        <v>27.467222222221608</v>
      </c>
    </row>
    <row r="3489" spans="1:5" x14ac:dyDescent="0.25">
      <c r="A3489" t="s">
        <v>5</v>
      </c>
      <c r="B3489" t="s">
        <v>8</v>
      </c>
      <c r="C3489" s="1">
        <v>45659.054166666669</v>
      </c>
      <c r="D3489" s="1">
        <v>45685.674305555563</v>
      </c>
      <c r="E3489" s="2">
        <f t="shared" si="54"/>
        <v>26.620138888894871</v>
      </c>
    </row>
    <row r="3490" spans="1:5" x14ac:dyDescent="0.25">
      <c r="A3490" t="s">
        <v>5</v>
      </c>
      <c r="B3490" t="s">
        <v>8</v>
      </c>
      <c r="C3490" s="1">
        <v>45715.841666666667</v>
      </c>
      <c r="D3490" s="1">
        <v>45741.816666666673</v>
      </c>
      <c r="E3490" s="2">
        <f t="shared" si="54"/>
        <v>25.975000000005821</v>
      </c>
    </row>
    <row r="3491" spans="1:5" x14ac:dyDescent="0.25">
      <c r="A3491" t="s">
        <v>5</v>
      </c>
      <c r="B3491" t="s">
        <v>8</v>
      </c>
      <c r="C3491" s="1">
        <v>46191.05</v>
      </c>
      <c r="D3491" s="1">
        <v>46214.836111111108</v>
      </c>
      <c r="E3491" s="2">
        <f t="shared" si="54"/>
        <v>23.786111111105129</v>
      </c>
    </row>
    <row r="3492" spans="1:5" x14ac:dyDescent="0.25">
      <c r="A3492" t="s">
        <v>5</v>
      </c>
      <c r="B3492" t="s">
        <v>8</v>
      </c>
      <c r="C3492" s="1">
        <v>46159.081250000003</v>
      </c>
      <c r="D3492" s="1">
        <v>46181.674305555563</v>
      </c>
      <c r="E3492" s="2">
        <f t="shared" si="54"/>
        <v>22.593055555560568</v>
      </c>
    </row>
    <row r="3493" spans="1:5" x14ac:dyDescent="0.25">
      <c r="A3493" t="s">
        <v>5</v>
      </c>
      <c r="B3493" t="s">
        <v>8</v>
      </c>
      <c r="C3493" s="1">
        <v>46159.081250000003</v>
      </c>
      <c r="D3493" s="1">
        <v>46181.674976851849</v>
      </c>
      <c r="E3493" s="2">
        <f t="shared" si="54"/>
        <v>22.593726851846441</v>
      </c>
    </row>
    <row r="3494" spans="1:5" x14ac:dyDescent="0.25">
      <c r="A3494" t="s">
        <v>5</v>
      </c>
      <c r="B3494" t="s">
        <v>8</v>
      </c>
      <c r="C3494" s="1">
        <v>46159.081250000003</v>
      </c>
      <c r="D3494" s="1">
        <v>46181.674305555563</v>
      </c>
      <c r="E3494" s="2">
        <f t="shared" si="54"/>
        <v>22.593055555560568</v>
      </c>
    </row>
    <row r="3495" spans="1:5" x14ac:dyDescent="0.25">
      <c r="A3495" t="s">
        <v>5</v>
      </c>
      <c r="B3495" t="s">
        <v>8</v>
      </c>
      <c r="C3495" s="1">
        <v>46206.119351851848</v>
      </c>
      <c r="D3495" s="1">
        <v>46230.576724537037</v>
      </c>
      <c r="E3495" s="2">
        <f t="shared" si="54"/>
        <v>24.457372685188602</v>
      </c>
    </row>
    <row r="3496" spans="1:5" x14ac:dyDescent="0.25">
      <c r="A3496" t="s">
        <v>5</v>
      </c>
      <c r="B3496" t="s">
        <v>8</v>
      </c>
      <c r="C3496" s="1">
        <v>46169.74722222222</v>
      </c>
      <c r="D3496" s="1">
        <v>46195.515729166669</v>
      </c>
      <c r="E3496" s="2">
        <f t="shared" si="54"/>
        <v>25.768506944448745</v>
      </c>
    </row>
    <row r="3497" spans="1:5" x14ac:dyDescent="0.25">
      <c r="A3497" t="s">
        <v>5</v>
      </c>
      <c r="B3497" t="s">
        <v>8</v>
      </c>
      <c r="C3497" s="1">
        <v>45715.841666666667</v>
      </c>
      <c r="D3497" s="1">
        <v>45741.816666666673</v>
      </c>
      <c r="E3497" s="2">
        <f t="shared" si="54"/>
        <v>25.975000000005821</v>
      </c>
    </row>
    <row r="3498" spans="1:5" x14ac:dyDescent="0.25">
      <c r="A3498" t="s">
        <v>5</v>
      </c>
      <c r="B3498" t="s">
        <v>8</v>
      </c>
      <c r="C3498" s="1">
        <v>46144.320833333331</v>
      </c>
      <c r="D3498" s="1">
        <v>46174.830555555563</v>
      </c>
      <c r="E3498" s="2">
        <f t="shared" si="54"/>
        <v>30.509722222232085</v>
      </c>
    </row>
    <row r="3499" spans="1:5" x14ac:dyDescent="0.25">
      <c r="A3499" t="s">
        <v>5</v>
      </c>
      <c r="B3499" t="s">
        <v>8</v>
      </c>
      <c r="C3499" s="1">
        <v>45722.147222222222</v>
      </c>
      <c r="D3499" s="1">
        <v>45749.925694444442</v>
      </c>
      <c r="E3499" s="2">
        <f t="shared" si="54"/>
        <v>27.778472222220444</v>
      </c>
    </row>
    <row r="3500" spans="1:5" x14ac:dyDescent="0.25">
      <c r="A3500" t="s">
        <v>5</v>
      </c>
      <c r="B3500" t="s">
        <v>8</v>
      </c>
      <c r="C3500" s="1">
        <v>45745.883333333331</v>
      </c>
      <c r="D3500" s="1">
        <v>45775.753472222219</v>
      </c>
      <c r="E3500" s="2">
        <f t="shared" si="54"/>
        <v>29.870138888887595</v>
      </c>
    </row>
    <row r="3501" spans="1:5" x14ac:dyDescent="0.25">
      <c r="A3501" t="s">
        <v>5</v>
      </c>
      <c r="B3501" t="s">
        <v>8</v>
      </c>
      <c r="C3501" s="1">
        <v>46248.977083333331</v>
      </c>
      <c r="D3501" s="1">
        <v>46279.851388888892</v>
      </c>
      <c r="E3501" s="2">
        <f t="shared" si="54"/>
        <v>30.874305555560568</v>
      </c>
    </row>
    <row r="3502" spans="1:5" x14ac:dyDescent="0.25">
      <c r="A3502" t="s">
        <v>5</v>
      </c>
      <c r="B3502" t="s">
        <v>8</v>
      </c>
      <c r="C3502" s="1">
        <v>46225.412569444437</v>
      </c>
      <c r="D3502" s="1">
        <v>46250.73541666667</v>
      </c>
      <c r="E3502" s="2">
        <f t="shared" si="54"/>
        <v>25.322847222232667</v>
      </c>
    </row>
    <row r="3503" spans="1:5" x14ac:dyDescent="0.25">
      <c r="A3503" t="s">
        <v>5</v>
      </c>
      <c r="B3503" t="s">
        <v>8</v>
      </c>
      <c r="C3503" s="1">
        <v>46169.74722222222</v>
      </c>
      <c r="D3503" s="1">
        <v>46195.520138888889</v>
      </c>
      <c r="E3503" s="2">
        <f t="shared" si="54"/>
        <v>25.772916666668607</v>
      </c>
    </row>
    <row r="3504" spans="1:5" x14ac:dyDescent="0.25">
      <c r="A3504" t="s">
        <v>5</v>
      </c>
      <c r="B3504" t="s">
        <v>8</v>
      </c>
      <c r="C3504" s="1">
        <v>45707.716666666667</v>
      </c>
      <c r="D3504" s="1">
        <v>45734.840219907397</v>
      </c>
      <c r="E3504" s="2">
        <f t="shared" si="54"/>
        <v>27.123553240729962</v>
      </c>
    </row>
    <row r="3505" spans="1:5" x14ac:dyDescent="0.25">
      <c r="A3505" t="s">
        <v>5</v>
      </c>
      <c r="B3505" t="s">
        <v>8</v>
      </c>
      <c r="C3505" s="1">
        <v>46144.320833333331</v>
      </c>
      <c r="D3505" s="1">
        <v>46174.822662037041</v>
      </c>
      <c r="E3505" s="2">
        <f t="shared" si="54"/>
        <v>30.50182870370918</v>
      </c>
    </row>
    <row r="3506" spans="1:5" x14ac:dyDescent="0.25">
      <c r="A3506" t="s">
        <v>5</v>
      </c>
      <c r="B3506" t="s">
        <v>8</v>
      </c>
      <c r="C3506" s="1">
        <v>45707.716666666667</v>
      </c>
      <c r="D3506" s="1">
        <v>45734.840219907397</v>
      </c>
      <c r="E3506" s="2">
        <f t="shared" si="54"/>
        <v>27.123553240729962</v>
      </c>
    </row>
    <row r="3507" spans="1:5" x14ac:dyDescent="0.25">
      <c r="A3507" t="s">
        <v>5</v>
      </c>
      <c r="B3507" t="s">
        <v>8</v>
      </c>
      <c r="C3507" s="1">
        <v>45707.716666666667</v>
      </c>
      <c r="D3507" s="1">
        <v>45734.840219907397</v>
      </c>
      <c r="E3507" s="2">
        <f t="shared" si="54"/>
        <v>27.123553240729962</v>
      </c>
    </row>
    <row r="3508" spans="1:5" x14ac:dyDescent="0.25">
      <c r="A3508" t="s">
        <v>5</v>
      </c>
      <c r="B3508" t="s">
        <v>8</v>
      </c>
      <c r="C3508" s="1">
        <v>45674.279166666667</v>
      </c>
      <c r="D3508" s="1">
        <v>45702.654166666667</v>
      </c>
      <c r="E3508" s="2">
        <f t="shared" si="54"/>
        <v>28.375</v>
      </c>
    </row>
    <row r="3509" spans="1:5" x14ac:dyDescent="0.25">
      <c r="A3509" t="s">
        <v>5</v>
      </c>
      <c r="B3509" t="s">
        <v>8</v>
      </c>
      <c r="C3509" s="1">
        <v>46206.119351851848</v>
      </c>
      <c r="D3509" s="1">
        <v>46230.576724537037</v>
      </c>
      <c r="E3509" s="2">
        <f t="shared" si="54"/>
        <v>24.457372685188602</v>
      </c>
    </row>
    <row r="3510" spans="1:5" x14ac:dyDescent="0.25">
      <c r="A3510" t="s">
        <v>5</v>
      </c>
      <c r="B3510" t="s">
        <v>8</v>
      </c>
      <c r="C3510" s="1">
        <v>45758.429166666669</v>
      </c>
      <c r="D3510" s="1">
        <v>45789.869444444441</v>
      </c>
      <c r="E3510" s="2">
        <f t="shared" si="54"/>
        <v>31.44027777777228</v>
      </c>
    </row>
    <row r="3511" spans="1:5" x14ac:dyDescent="0.25">
      <c r="A3511" t="s">
        <v>12</v>
      </c>
      <c r="B3511" t="s">
        <v>14</v>
      </c>
      <c r="C3511" s="1">
        <v>46065.768750000003</v>
      </c>
      <c r="D3511" s="1">
        <v>46134.822222222218</v>
      </c>
      <c r="E3511" s="2">
        <f t="shared" si="54"/>
        <v>69.053472222214623</v>
      </c>
    </row>
    <row r="3512" spans="1:5" x14ac:dyDescent="0.25">
      <c r="A3512" t="s">
        <v>5</v>
      </c>
      <c r="B3512" t="s">
        <v>8</v>
      </c>
      <c r="C3512" s="1">
        <v>46206.119351851848</v>
      </c>
      <c r="D3512" s="1">
        <v>46230.576724537037</v>
      </c>
      <c r="E3512" s="2">
        <f t="shared" si="54"/>
        <v>24.457372685188602</v>
      </c>
    </row>
    <row r="3513" spans="1:5" x14ac:dyDescent="0.25">
      <c r="A3513" t="s">
        <v>5</v>
      </c>
      <c r="B3513" t="s">
        <v>8</v>
      </c>
      <c r="C3513" s="1">
        <v>46206.119351851848</v>
      </c>
      <c r="D3513" s="1">
        <v>46230.578472222223</v>
      </c>
      <c r="E3513" s="2">
        <f t="shared" si="54"/>
        <v>24.459120370374876</v>
      </c>
    </row>
    <row r="3514" spans="1:5" x14ac:dyDescent="0.25">
      <c r="A3514" t="s">
        <v>5</v>
      </c>
      <c r="B3514" t="s">
        <v>8</v>
      </c>
      <c r="C3514" s="1">
        <v>46159.081250000003</v>
      </c>
      <c r="D3514" s="1">
        <v>46181.674305555563</v>
      </c>
      <c r="E3514" s="2">
        <f t="shared" si="54"/>
        <v>22.593055555560568</v>
      </c>
    </row>
    <row r="3515" spans="1:5" x14ac:dyDescent="0.25">
      <c r="A3515" t="s">
        <v>5</v>
      </c>
      <c r="B3515" t="s">
        <v>8</v>
      </c>
      <c r="C3515" s="1">
        <v>45731.86041666667</v>
      </c>
      <c r="D3515" s="1">
        <v>45761.405555555553</v>
      </c>
      <c r="E3515" s="2">
        <f t="shared" si="54"/>
        <v>29.54513888888323</v>
      </c>
    </row>
    <row r="3516" spans="1:5" x14ac:dyDescent="0.25">
      <c r="A3516" t="s">
        <v>5</v>
      </c>
      <c r="B3516" t="s">
        <v>8</v>
      </c>
      <c r="C3516" s="1">
        <v>45707.716666666667</v>
      </c>
      <c r="D3516" s="1">
        <v>45734.852777777778</v>
      </c>
      <c r="E3516" s="2">
        <f t="shared" si="54"/>
        <v>27.136111111110949</v>
      </c>
    </row>
    <row r="3517" spans="1:5" x14ac:dyDescent="0.25">
      <c r="A3517" t="s">
        <v>23</v>
      </c>
      <c r="B3517" t="s">
        <v>12</v>
      </c>
      <c r="C3517" s="1">
        <v>46229.291666666657</v>
      </c>
      <c r="D3517" s="1">
        <v>46241.318541666667</v>
      </c>
      <c r="E3517" s="2">
        <f t="shared" si="54"/>
        <v>12.026875000010477</v>
      </c>
    </row>
    <row r="3518" spans="1:5" x14ac:dyDescent="0.25">
      <c r="A3518" t="s">
        <v>5</v>
      </c>
      <c r="B3518" t="s">
        <v>8</v>
      </c>
      <c r="C3518" s="1">
        <v>46244.739722222221</v>
      </c>
      <c r="D3518" s="1">
        <v>46272.206944444442</v>
      </c>
      <c r="E3518" s="2">
        <f t="shared" si="54"/>
        <v>27.467222222221608</v>
      </c>
    </row>
    <row r="3519" spans="1:5" x14ac:dyDescent="0.25">
      <c r="A3519" t="s">
        <v>5</v>
      </c>
      <c r="B3519" t="s">
        <v>8</v>
      </c>
      <c r="C3519" s="1">
        <v>45707.716666666667</v>
      </c>
      <c r="D3519" s="1">
        <v>45734.840219907397</v>
      </c>
      <c r="E3519" s="2">
        <f t="shared" si="54"/>
        <v>27.123553240729962</v>
      </c>
    </row>
    <row r="3520" spans="1:5" x14ac:dyDescent="0.25">
      <c r="A3520" t="s">
        <v>5</v>
      </c>
      <c r="B3520" t="s">
        <v>8</v>
      </c>
      <c r="C3520" s="1">
        <v>45671.125</v>
      </c>
      <c r="D3520" s="1">
        <v>45697.265277777777</v>
      </c>
      <c r="E3520" s="2">
        <f t="shared" si="54"/>
        <v>26.140277777776646</v>
      </c>
    </row>
    <row r="3521" spans="1:5" x14ac:dyDescent="0.25">
      <c r="A3521" t="s">
        <v>5</v>
      </c>
      <c r="B3521" t="s">
        <v>8</v>
      </c>
      <c r="C3521" s="1">
        <v>45731.86041666667</v>
      </c>
      <c r="D3521" s="1">
        <v>45761.405555555553</v>
      </c>
      <c r="E3521" s="2">
        <f t="shared" si="54"/>
        <v>29.54513888888323</v>
      </c>
    </row>
    <row r="3522" spans="1:5" x14ac:dyDescent="0.25">
      <c r="A3522" t="s">
        <v>5</v>
      </c>
      <c r="B3522" t="s">
        <v>8</v>
      </c>
      <c r="C3522" s="1">
        <v>45750.686111111107</v>
      </c>
      <c r="D3522" s="1">
        <v>45782.683333333327</v>
      </c>
      <c r="E3522" s="2">
        <f t="shared" ref="E3522:E3585" si="55">D3522-C3522</f>
        <v>31.997222222220444</v>
      </c>
    </row>
    <row r="3523" spans="1:5" x14ac:dyDescent="0.25">
      <c r="A3523" t="s">
        <v>5</v>
      </c>
      <c r="B3523" t="s">
        <v>8</v>
      </c>
      <c r="C3523" s="1">
        <v>45731.86041666667</v>
      </c>
      <c r="D3523" s="1">
        <v>45761.405555555553</v>
      </c>
      <c r="E3523" s="2">
        <f t="shared" si="55"/>
        <v>29.54513888888323</v>
      </c>
    </row>
    <row r="3524" spans="1:5" x14ac:dyDescent="0.25">
      <c r="A3524" t="s">
        <v>5</v>
      </c>
      <c r="B3524" t="s">
        <v>8</v>
      </c>
      <c r="C3524" s="1">
        <v>45750.686111111107</v>
      </c>
      <c r="D3524" s="1">
        <v>45782.671527777777</v>
      </c>
      <c r="E3524" s="2">
        <f t="shared" si="55"/>
        <v>31.985416666670062</v>
      </c>
    </row>
    <row r="3525" spans="1:5" x14ac:dyDescent="0.25">
      <c r="A3525" t="s">
        <v>5</v>
      </c>
      <c r="B3525" t="s">
        <v>8</v>
      </c>
      <c r="C3525" s="1">
        <v>45758.476388888892</v>
      </c>
      <c r="D3525" s="1">
        <v>45789.862500000003</v>
      </c>
      <c r="E3525" s="2">
        <f t="shared" si="55"/>
        <v>31.386111111110949</v>
      </c>
    </row>
    <row r="3526" spans="1:5" x14ac:dyDescent="0.25">
      <c r="A3526" t="s">
        <v>5</v>
      </c>
      <c r="B3526" t="s">
        <v>8</v>
      </c>
      <c r="C3526" s="1">
        <v>45731.915972222218</v>
      </c>
      <c r="D3526" s="1">
        <v>45761.405555555553</v>
      </c>
      <c r="E3526" s="2">
        <f t="shared" si="55"/>
        <v>29.489583333335759</v>
      </c>
    </row>
    <row r="3527" spans="1:5" x14ac:dyDescent="0.25">
      <c r="A3527" t="s">
        <v>5</v>
      </c>
      <c r="B3527" t="s">
        <v>8</v>
      </c>
      <c r="C3527" s="1">
        <v>45731.86041666667</v>
      </c>
      <c r="D3527" s="1">
        <v>45761.418541666673</v>
      </c>
      <c r="E3527" s="2">
        <f t="shared" si="55"/>
        <v>29.558125000003201</v>
      </c>
    </row>
    <row r="3528" spans="1:5" x14ac:dyDescent="0.25">
      <c r="A3528" t="s">
        <v>5</v>
      </c>
      <c r="B3528" t="s">
        <v>8</v>
      </c>
      <c r="C3528" s="1">
        <v>46225.402777777781</v>
      </c>
      <c r="D3528" s="1">
        <v>46250.73541666667</v>
      </c>
      <c r="E3528" s="2">
        <f t="shared" si="55"/>
        <v>25.332638888889051</v>
      </c>
    </row>
    <row r="3529" spans="1:5" x14ac:dyDescent="0.25">
      <c r="A3529" t="s">
        <v>5</v>
      </c>
      <c r="B3529" t="s">
        <v>8</v>
      </c>
      <c r="C3529" s="1">
        <v>45735.674305555563</v>
      </c>
      <c r="D3529" s="1">
        <v>45764.537499999999</v>
      </c>
      <c r="E3529" s="2">
        <f t="shared" si="55"/>
        <v>28.863194444435067</v>
      </c>
    </row>
    <row r="3530" spans="1:5" x14ac:dyDescent="0.25">
      <c r="A3530" t="s">
        <v>5</v>
      </c>
      <c r="B3530" t="s">
        <v>8</v>
      </c>
      <c r="C3530" s="1">
        <v>45750.686111111107</v>
      </c>
      <c r="D3530" s="1">
        <v>45782.671527777777</v>
      </c>
      <c r="E3530" s="2">
        <f t="shared" si="55"/>
        <v>31.985416666670062</v>
      </c>
    </row>
    <row r="3531" spans="1:5" x14ac:dyDescent="0.25">
      <c r="A3531" t="s">
        <v>5</v>
      </c>
      <c r="B3531" t="s">
        <v>8</v>
      </c>
      <c r="C3531" s="1">
        <v>45707.716666666667</v>
      </c>
      <c r="D3531" s="1">
        <v>45734.852777777778</v>
      </c>
      <c r="E3531" s="2">
        <f t="shared" si="55"/>
        <v>27.136111111110949</v>
      </c>
    </row>
    <row r="3532" spans="1:5" x14ac:dyDescent="0.25">
      <c r="A3532" t="s">
        <v>5</v>
      </c>
      <c r="B3532" t="s">
        <v>8</v>
      </c>
      <c r="C3532" s="1">
        <v>45731.86041666667</v>
      </c>
      <c r="D3532" s="1">
        <v>45761.418541666673</v>
      </c>
      <c r="E3532" s="2">
        <f t="shared" si="55"/>
        <v>29.558125000003201</v>
      </c>
    </row>
    <row r="3533" spans="1:5" x14ac:dyDescent="0.25">
      <c r="A3533" t="s">
        <v>5</v>
      </c>
      <c r="B3533" t="s">
        <v>8</v>
      </c>
      <c r="C3533" s="1">
        <v>45777.362500000003</v>
      </c>
      <c r="D3533" s="1">
        <v>45808.425081018519</v>
      </c>
      <c r="E3533" s="2">
        <f t="shared" si="55"/>
        <v>31.06258101851563</v>
      </c>
    </row>
    <row r="3534" spans="1:5" x14ac:dyDescent="0.25">
      <c r="A3534" t="s">
        <v>5</v>
      </c>
      <c r="B3534" t="s">
        <v>8</v>
      </c>
      <c r="C3534" s="1">
        <v>45750.686111111107</v>
      </c>
      <c r="D3534" s="1">
        <v>45782.683333333327</v>
      </c>
      <c r="E3534" s="2">
        <f t="shared" si="55"/>
        <v>31.997222222220444</v>
      </c>
    </row>
    <row r="3535" spans="1:5" x14ac:dyDescent="0.25">
      <c r="A3535" t="s">
        <v>5</v>
      </c>
      <c r="B3535" t="s">
        <v>8</v>
      </c>
      <c r="C3535" s="1">
        <v>45731.915972222218</v>
      </c>
      <c r="D3535" s="1">
        <v>45761.405555555553</v>
      </c>
      <c r="E3535" s="2">
        <f t="shared" si="55"/>
        <v>29.489583333335759</v>
      </c>
    </row>
    <row r="3536" spans="1:5" x14ac:dyDescent="0.25">
      <c r="A3536" t="s">
        <v>5</v>
      </c>
      <c r="B3536" t="s">
        <v>8</v>
      </c>
      <c r="C3536" s="1">
        <v>45681.762499999997</v>
      </c>
      <c r="D3536" s="1">
        <v>45706.875439814823</v>
      </c>
      <c r="E3536" s="2">
        <f t="shared" si="55"/>
        <v>25.11293981482595</v>
      </c>
    </row>
    <row r="3537" spans="1:5" x14ac:dyDescent="0.25">
      <c r="A3537" t="s">
        <v>5</v>
      </c>
      <c r="B3537" t="s">
        <v>8</v>
      </c>
      <c r="C3537" s="1">
        <v>45695.8125</v>
      </c>
      <c r="D3537" s="1">
        <v>45724.874305555553</v>
      </c>
      <c r="E3537" s="2">
        <f t="shared" si="55"/>
        <v>29.061805555553292</v>
      </c>
    </row>
    <row r="3538" spans="1:5" x14ac:dyDescent="0.25">
      <c r="A3538" t="s">
        <v>5</v>
      </c>
      <c r="B3538" t="s">
        <v>8</v>
      </c>
      <c r="C3538" s="1">
        <v>45777.362500000003</v>
      </c>
      <c r="D3538" s="1">
        <v>45808.435416666667</v>
      </c>
      <c r="E3538" s="2">
        <f t="shared" si="55"/>
        <v>31.072916666664241</v>
      </c>
    </row>
    <row r="3539" spans="1:5" x14ac:dyDescent="0.25">
      <c r="A3539" t="s">
        <v>5</v>
      </c>
      <c r="B3539" t="s">
        <v>8</v>
      </c>
      <c r="C3539" s="1">
        <v>46206.119351851848</v>
      </c>
      <c r="D3539" s="1">
        <v>46230.578472222223</v>
      </c>
      <c r="E3539" s="2">
        <f t="shared" si="55"/>
        <v>24.459120370374876</v>
      </c>
    </row>
    <row r="3540" spans="1:5" x14ac:dyDescent="0.25">
      <c r="A3540" t="s">
        <v>5</v>
      </c>
      <c r="B3540" t="s">
        <v>8</v>
      </c>
      <c r="C3540" s="1">
        <v>45707.716666666667</v>
      </c>
      <c r="D3540" s="1">
        <v>45734.852777777778</v>
      </c>
      <c r="E3540" s="2">
        <f t="shared" si="55"/>
        <v>27.136111111110949</v>
      </c>
    </row>
    <row r="3541" spans="1:5" x14ac:dyDescent="0.25">
      <c r="A3541" t="s">
        <v>5</v>
      </c>
      <c r="B3541" t="s">
        <v>8</v>
      </c>
      <c r="C3541" s="1">
        <v>45671.125</v>
      </c>
      <c r="D3541" s="1">
        <v>45697.265277777777</v>
      </c>
      <c r="E3541" s="2">
        <f t="shared" si="55"/>
        <v>26.140277777776646</v>
      </c>
    </row>
    <row r="3542" spans="1:5" x14ac:dyDescent="0.25">
      <c r="A3542" t="s">
        <v>5</v>
      </c>
      <c r="B3542" t="s">
        <v>8</v>
      </c>
      <c r="C3542" s="1">
        <v>45671.125</v>
      </c>
      <c r="D3542" s="1">
        <v>45697.265277777777</v>
      </c>
      <c r="E3542" s="2">
        <f t="shared" si="55"/>
        <v>26.140277777776646</v>
      </c>
    </row>
    <row r="3543" spans="1:5" x14ac:dyDescent="0.25">
      <c r="A3543" t="s">
        <v>5</v>
      </c>
      <c r="B3543" t="s">
        <v>55</v>
      </c>
      <c r="C3543" s="1">
        <v>45659.054166666669</v>
      </c>
      <c r="D3543" s="1">
        <v>45691.106157407397</v>
      </c>
      <c r="E3543" s="2">
        <f t="shared" si="55"/>
        <v>32.051990740728797</v>
      </c>
    </row>
    <row r="3544" spans="1:5" x14ac:dyDescent="0.25">
      <c r="A3544" t="s">
        <v>5</v>
      </c>
      <c r="B3544" t="s">
        <v>8</v>
      </c>
      <c r="C3544" s="1">
        <v>45681.762499999997</v>
      </c>
      <c r="D3544" s="1">
        <v>45706.875439814823</v>
      </c>
      <c r="E3544" s="2">
        <f t="shared" si="55"/>
        <v>25.11293981482595</v>
      </c>
    </row>
    <row r="3545" spans="1:5" x14ac:dyDescent="0.25">
      <c r="A3545" t="s">
        <v>5</v>
      </c>
      <c r="B3545" t="s">
        <v>8</v>
      </c>
      <c r="C3545" s="1">
        <v>46206.119351851848</v>
      </c>
      <c r="D3545" s="1">
        <v>46230.578472222223</v>
      </c>
      <c r="E3545" s="2">
        <f t="shared" si="55"/>
        <v>24.459120370374876</v>
      </c>
    </row>
    <row r="3546" spans="1:5" x14ac:dyDescent="0.25">
      <c r="A3546" t="s">
        <v>5</v>
      </c>
      <c r="B3546" t="s">
        <v>8</v>
      </c>
      <c r="C3546" s="1">
        <v>45758.019780092603</v>
      </c>
      <c r="D3546" s="1">
        <v>45789.869444444441</v>
      </c>
      <c r="E3546" s="2">
        <f t="shared" si="55"/>
        <v>31.849664351837419</v>
      </c>
    </row>
    <row r="3547" spans="1:5" x14ac:dyDescent="0.25">
      <c r="A3547" t="s">
        <v>5</v>
      </c>
      <c r="B3547" t="s">
        <v>8</v>
      </c>
      <c r="C3547" s="1">
        <v>46191.075983796298</v>
      </c>
      <c r="D3547" s="1">
        <v>46214.836111111108</v>
      </c>
      <c r="E3547" s="2">
        <f t="shared" si="55"/>
        <v>23.760127314810234</v>
      </c>
    </row>
    <row r="3548" spans="1:5" x14ac:dyDescent="0.25">
      <c r="A3548" t="s">
        <v>5</v>
      </c>
      <c r="B3548" t="s">
        <v>8</v>
      </c>
      <c r="C3548" s="1">
        <v>46159.081250000003</v>
      </c>
      <c r="D3548" s="1">
        <v>46181.674976851849</v>
      </c>
      <c r="E3548" s="2">
        <f t="shared" si="55"/>
        <v>22.593726851846441</v>
      </c>
    </row>
    <row r="3549" spans="1:5" x14ac:dyDescent="0.25">
      <c r="A3549" t="s">
        <v>5</v>
      </c>
      <c r="B3549" t="s">
        <v>8</v>
      </c>
      <c r="C3549" s="1">
        <v>46225.402777777781</v>
      </c>
      <c r="D3549" s="1">
        <v>46250.73541666667</v>
      </c>
      <c r="E3549" s="2">
        <f t="shared" si="55"/>
        <v>25.332638888889051</v>
      </c>
    </row>
    <row r="3550" spans="1:5" x14ac:dyDescent="0.25">
      <c r="A3550" t="s">
        <v>5</v>
      </c>
      <c r="B3550" t="s">
        <v>8</v>
      </c>
      <c r="C3550" s="1">
        <v>45758.429166666669</v>
      </c>
      <c r="D3550" s="1">
        <v>45789.869444444441</v>
      </c>
      <c r="E3550" s="2">
        <f t="shared" si="55"/>
        <v>31.44027777777228</v>
      </c>
    </row>
    <row r="3551" spans="1:5" x14ac:dyDescent="0.25">
      <c r="A3551" t="s">
        <v>5</v>
      </c>
      <c r="B3551" t="s">
        <v>8</v>
      </c>
      <c r="C3551" s="1">
        <v>45731.86041666667</v>
      </c>
      <c r="D3551" s="1">
        <v>45761.418541666673</v>
      </c>
      <c r="E3551" s="2">
        <f t="shared" si="55"/>
        <v>29.558125000003201</v>
      </c>
    </row>
    <row r="3552" spans="1:5" x14ac:dyDescent="0.25">
      <c r="A3552" t="s">
        <v>5</v>
      </c>
      <c r="B3552" t="s">
        <v>8</v>
      </c>
      <c r="C3552" s="1">
        <v>45695.8125</v>
      </c>
      <c r="D3552" s="1">
        <v>45724.874305555553</v>
      </c>
      <c r="E3552" s="2">
        <f t="shared" si="55"/>
        <v>29.061805555553292</v>
      </c>
    </row>
    <row r="3553" spans="1:5" x14ac:dyDescent="0.25">
      <c r="A3553" t="s">
        <v>5</v>
      </c>
      <c r="B3553" t="s">
        <v>8</v>
      </c>
      <c r="C3553" s="1">
        <v>45715.841666666667</v>
      </c>
      <c r="D3553" s="1">
        <v>45741.816666666673</v>
      </c>
      <c r="E3553" s="2">
        <f t="shared" si="55"/>
        <v>25.975000000005821</v>
      </c>
    </row>
    <row r="3554" spans="1:5" x14ac:dyDescent="0.25">
      <c r="A3554" t="s">
        <v>12</v>
      </c>
      <c r="B3554" t="s">
        <v>14</v>
      </c>
      <c r="C3554" s="1">
        <v>45896.879166666673</v>
      </c>
      <c r="D3554" s="1">
        <v>45949.996527777781</v>
      </c>
      <c r="E3554" s="2">
        <f t="shared" si="55"/>
        <v>53.117361111108039</v>
      </c>
    </row>
    <row r="3555" spans="1:5" x14ac:dyDescent="0.25">
      <c r="A3555" t="s">
        <v>5</v>
      </c>
      <c r="B3555" t="s">
        <v>8</v>
      </c>
      <c r="C3555" s="1">
        <v>45715.841666666667</v>
      </c>
      <c r="D3555" s="1">
        <v>45741.816666666673</v>
      </c>
      <c r="E3555" s="2">
        <f t="shared" si="55"/>
        <v>25.975000000005821</v>
      </c>
    </row>
    <row r="3556" spans="1:5" x14ac:dyDescent="0.25">
      <c r="A3556" t="s">
        <v>5</v>
      </c>
      <c r="B3556" t="s">
        <v>8</v>
      </c>
      <c r="C3556" s="1">
        <v>45735.674305555563</v>
      </c>
      <c r="D3556" s="1">
        <v>45764.537499999999</v>
      </c>
      <c r="E3556" s="2">
        <f t="shared" si="55"/>
        <v>28.863194444435067</v>
      </c>
    </row>
    <row r="3557" spans="1:5" x14ac:dyDescent="0.25">
      <c r="A3557" t="s">
        <v>5</v>
      </c>
      <c r="B3557" t="s">
        <v>8</v>
      </c>
      <c r="C3557" s="1">
        <v>45745.935416666667</v>
      </c>
      <c r="D3557" s="1">
        <v>45775.753472222219</v>
      </c>
      <c r="E3557" s="2">
        <f t="shared" si="55"/>
        <v>29.818055555551837</v>
      </c>
    </row>
    <row r="3558" spans="1:5" x14ac:dyDescent="0.25">
      <c r="A3558" t="s">
        <v>5</v>
      </c>
      <c r="B3558" t="s">
        <v>8</v>
      </c>
      <c r="C3558" s="1">
        <v>45745.883333333331</v>
      </c>
      <c r="D3558" s="1">
        <v>45775.742037037038</v>
      </c>
      <c r="E3558" s="2">
        <f t="shared" si="55"/>
        <v>29.858703703706851</v>
      </c>
    </row>
    <row r="3559" spans="1:5" x14ac:dyDescent="0.25">
      <c r="A3559" t="s">
        <v>5</v>
      </c>
      <c r="B3559" t="s">
        <v>8</v>
      </c>
      <c r="C3559" s="1">
        <v>45750.686111111107</v>
      </c>
      <c r="D3559" s="1">
        <v>45782.683333333327</v>
      </c>
      <c r="E3559" s="2">
        <f t="shared" si="55"/>
        <v>31.997222222220444</v>
      </c>
    </row>
    <row r="3560" spans="1:5" x14ac:dyDescent="0.25">
      <c r="A3560" t="s">
        <v>5</v>
      </c>
      <c r="B3560" t="s">
        <v>8</v>
      </c>
      <c r="C3560" s="1">
        <v>45745.883333333331</v>
      </c>
      <c r="D3560" s="1">
        <v>45775.742037037038</v>
      </c>
      <c r="E3560" s="2">
        <f t="shared" si="55"/>
        <v>29.858703703706851</v>
      </c>
    </row>
    <row r="3561" spans="1:5" x14ac:dyDescent="0.25">
      <c r="A3561" t="s">
        <v>5</v>
      </c>
      <c r="B3561" t="s">
        <v>8</v>
      </c>
      <c r="C3561" s="1">
        <v>45722.095833333333</v>
      </c>
      <c r="D3561" s="1">
        <v>45749.925694444442</v>
      </c>
      <c r="E3561" s="2">
        <f t="shared" si="55"/>
        <v>27.829861111109494</v>
      </c>
    </row>
    <row r="3562" spans="1:5" x14ac:dyDescent="0.25">
      <c r="A3562" t="s">
        <v>5</v>
      </c>
      <c r="B3562" t="s">
        <v>8</v>
      </c>
      <c r="C3562" s="1">
        <v>45707.716666666667</v>
      </c>
      <c r="D3562" s="1">
        <v>45734.840219907397</v>
      </c>
      <c r="E3562" s="2">
        <f t="shared" si="55"/>
        <v>27.123553240729962</v>
      </c>
    </row>
    <row r="3563" spans="1:5" x14ac:dyDescent="0.25">
      <c r="A3563" t="s">
        <v>5</v>
      </c>
      <c r="B3563" t="s">
        <v>8</v>
      </c>
      <c r="C3563" s="1">
        <v>45777.362500000003</v>
      </c>
      <c r="D3563" s="1">
        <v>45808.435416666667</v>
      </c>
      <c r="E3563" s="2">
        <f t="shared" si="55"/>
        <v>31.072916666664241</v>
      </c>
    </row>
    <row r="3564" spans="1:5" x14ac:dyDescent="0.25">
      <c r="A3564" t="s">
        <v>5</v>
      </c>
      <c r="B3564" t="s">
        <v>8</v>
      </c>
      <c r="C3564" s="1">
        <v>45707.716666666667</v>
      </c>
      <c r="D3564" s="1">
        <v>45734.840219907397</v>
      </c>
      <c r="E3564" s="2">
        <f t="shared" si="55"/>
        <v>27.123553240729962</v>
      </c>
    </row>
    <row r="3565" spans="1:5" x14ac:dyDescent="0.25">
      <c r="A3565" t="s">
        <v>5</v>
      </c>
      <c r="B3565" t="s">
        <v>8</v>
      </c>
      <c r="C3565" s="1">
        <v>45707.716666666667</v>
      </c>
      <c r="D3565" s="1">
        <v>45734.852777777778</v>
      </c>
      <c r="E3565" s="2">
        <f t="shared" si="55"/>
        <v>27.136111111110949</v>
      </c>
    </row>
    <row r="3566" spans="1:5" x14ac:dyDescent="0.25">
      <c r="A3566" t="s">
        <v>5</v>
      </c>
      <c r="B3566" t="s">
        <v>8</v>
      </c>
      <c r="C3566" s="1">
        <v>46159.081250000003</v>
      </c>
      <c r="D3566" s="1">
        <v>46181.674976851849</v>
      </c>
      <c r="E3566" s="2">
        <f t="shared" si="55"/>
        <v>22.593726851846441</v>
      </c>
    </row>
    <row r="3567" spans="1:5" x14ac:dyDescent="0.25">
      <c r="A3567" t="s">
        <v>5</v>
      </c>
      <c r="B3567" t="s">
        <v>8</v>
      </c>
      <c r="C3567" s="1">
        <v>46244.724305555559</v>
      </c>
      <c r="D3567" s="1">
        <v>46272.206944444442</v>
      </c>
      <c r="E3567" s="2">
        <f t="shared" si="55"/>
        <v>27.48263888888323</v>
      </c>
    </row>
    <row r="3568" spans="1:5" x14ac:dyDescent="0.25">
      <c r="A3568" t="s">
        <v>5</v>
      </c>
      <c r="B3568" t="s">
        <v>8</v>
      </c>
      <c r="C3568" s="1">
        <v>45731.86041666667</v>
      </c>
      <c r="D3568" s="1">
        <v>45761.405555555553</v>
      </c>
      <c r="E3568" s="2">
        <f t="shared" si="55"/>
        <v>29.54513888888323</v>
      </c>
    </row>
    <row r="3569" spans="1:5" x14ac:dyDescent="0.25">
      <c r="A3569" t="s">
        <v>5</v>
      </c>
      <c r="B3569" t="s">
        <v>8</v>
      </c>
      <c r="C3569" s="1">
        <v>45671.125</v>
      </c>
      <c r="D3569" s="1">
        <v>45697.265277777777</v>
      </c>
      <c r="E3569" s="2">
        <f t="shared" si="55"/>
        <v>26.140277777776646</v>
      </c>
    </row>
    <row r="3570" spans="1:5" x14ac:dyDescent="0.25">
      <c r="A3570" t="s">
        <v>5</v>
      </c>
      <c r="B3570" t="s">
        <v>8</v>
      </c>
      <c r="C3570" s="1">
        <v>46225.402777777781</v>
      </c>
      <c r="D3570" s="1">
        <v>46250.73541666667</v>
      </c>
      <c r="E3570" s="2">
        <f t="shared" si="55"/>
        <v>25.332638888889051</v>
      </c>
    </row>
    <row r="3571" spans="1:5" x14ac:dyDescent="0.25">
      <c r="A3571" t="s">
        <v>5</v>
      </c>
      <c r="B3571" t="s">
        <v>8</v>
      </c>
      <c r="C3571" s="1">
        <v>46130.83011574074</v>
      </c>
      <c r="D3571" s="1">
        <v>46159.966932870368</v>
      </c>
      <c r="E3571" s="2">
        <f t="shared" si="55"/>
        <v>29.136817129627161</v>
      </c>
    </row>
    <row r="3572" spans="1:5" x14ac:dyDescent="0.25">
      <c r="A3572" t="s">
        <v>5</v>
      </c>
      <c r="B3572" t="s">
        <v>8</v>
      </c>
      <c r="C3572" s="1">
        <v>45731.86041666667</v>
      </c>
      <c r="D3572" s="1">
        <v>45761.405555555553</v>
      </c>
      <c r="E3572" s="2">
        <f t="shared" si="55"/>
        <v>29.54513888888323</v>
      </c>
    </row>
    <row r="3573" spans="1:5" x14ac:dyDescent="0.25">
      <c r="A3573" t="s">
        <v>5</v>
      </c>
      <c r="B3573" t="s">
        <v>8</v>
      </c>
      <c r="C3573" s="1">
        <v>45681.762499999997</v>
      </c>
      <c r="D3573" s="1">
        <v>45706.875439814823</v>
      </c>
      <c r="E3573" s="2">
        <f t="shared" si="55"/>
        <v>25.11293981482595</v>
      </c>
    </row>
    <row r="3574" spans="1:5" x14ac:dyDescent="0.25">
      <c r="A3574" t="s">
        <v>5</v>
      </c>
      <c r="B3574" t="s">
        <v>8</v>
      </c>
      <c r="C3574" s="1">
        <v>45695.8125</v>
      </c>
      <c r="D3574" s="1">
        <v>45724.874305555553</v>
      </c>
      <c r="E3574" s="2">
        <f t="shared" si="55"/>
        <v>29.061805555553292</v>
      </c>
    </row>
    <row r="3575" spans="1:5" x14ac:dyDescent="0.25">
      <c r="A3575" t="s">
        <v>5</v>
      </c>
      <c r="B3575" t="s">
        <v>8</v>
      </c>
      <c r="C3575" s="1">
        <v>45750.686111111107</v>
      </c>
      <c r="D3575" s="1">
        <v>45782.683333333327</v>
      </c>
      <c r="E3575" s="2">
        <f t="shared" si="55"/>
        <v>31.997222222220444</v>
      </c>
    </row>
    <row r="3576" spans="1:5" x14ac:dyDescent="0.25">
      <c r="A3576" t="s">
        <v>5</v>
      </c>
      <c r="B3576" t="s">
        <v>8</v>
      </c>
      <c r="C3576" s="1">
        <v>46144.330104166656</v>
      </c>
      <c r="D3576" s="1">
        <v>46174.830555555563</v>
      </c>
      <c r="E3576" s="2">
        <f t="shared" si="55"/>
        <v>30.500451388907095</v>
      </c>
    </row>
    <row r="3577" spans="1:5" x14ac:dyDescent="0.25">
      <c r="A3577" t="s">
        <v>5</v>
      </c>
      <c r="B3577" t="s">
        <v>8</v>
      </c>
      <c r="C3577" s="1">
        <v>46194.831944444442</v>
      </c>
      <c r="D3577" s="1">
        <v>46216.121527777781</v>
      </c>
      <c r="E3577" s="2">
        <f t="shared" si="55"/>
        <v>21.289583333338669</v>
      </c>
    </row>
    <row r="3578" spans="1:5" x14ac:dyDescent="0.25">
      <c r="A3578" t="s">
        <v>5</v>
      </c>
      <c r="B3578" t="s">
        <v>8</v>
      </c>
      <c r="C3578" s="1">
        <v>45681.762499999997</v>
      </c>
      <c r="D3578" s="1">
        <v>45706.871527777781</v>
      </c>
      <c r="E3578" s="2">
        <f t="shared" si="55"/>
        <v>25.109027777783922</v>
      </c>
    </row>
    <row r="3579" spans="1:5" x14ac:dyDescent="0.25">
      <c r="A3579" t="s">
        <v>5</v>
      </c>
      <c r="B3579" t="s">
        <v>8</v>
      </c>
      <c r="C3579" s="1">
        <v>45745.952974537038</v>
      </c>
      <c r="D3579" s="1">
        <v>45775.742037037038</v>
      </c>
      <c r="E3579" s="2">
        <f t="shared" si="55"/>
        <v>29.7890625</v>
      </c>
    </row>
    <row r="3580" spans="1:5" x14ac:dyDescent="0.25">
      <c r="A3580" t="s">
        <v>5</v>
      </c>
      <c r="B3580" t="s">
        <v>8</v>
      </c>
      <c r="C3580" s="1">
        <v>46248.977083333331</v>
      </c>
      <c r="D3580" s="1">
        <v>46279.851388888892</v>
      </c>
      <c r="E3580" s="2">
        <f t="shared" si="55"/>
        <v>30.874305555560568</v>
      </c>
    </row>
    <row r="3581" spans="1:5" x14ac:dyDescent="0.25">
      <c r="A3581" t="s">
        <v>5</v>
      </c>
      <c r="B3581" t="s">
        <v>8</v>
      </c>
      <c r="C3581" s="1">
        <v>46130.829861111109</v>
      </c>
      <c r="D3581" s="1">
        <v>46159.978472222218</v>
      </c>
      <c r="E3581" s="2">
        <f t="shared" si="55"/>
        <v>29.148611111108039</v>
      </c>
    </row>
    <row r="3582" spans="1:5" x14ac:dyDescent="0.25">
      <c r="A3582" t="s">
        <v>12</v>
      </c>
      <c r="B3582" t="s">
        <v>14</v>
      </c>
      <c r="C3582" s="1">
        <v>46043.288194444453</v>
      </c>
      <c r="D3582" s="1">
        <v>46105.426388888889</v>
      </c>
      <c r="E3582" s="2">
        <f t="shared" si="55"/>
        <v>62.138194444436522</v>
      </c>
    </row>
    <row r="3583" spans="1:5" x14ac:dyDescent="0.25">
      <c r="A3583" t="s">
        <v>5</v>
      </c>
      <c r="B3583" t="s">
        <v>8</v>
      </c>
      <c r="C3583" s="1">
        <v>45735.674305555563</v>
      </c>
      <c r="D3583" s="1">
        <v>45764.501828703702</v>
      </c>
      <c r="E3583" s="2">
        <f t="shared" si="55"/>
        <v>28.827523148138425</v>
      </c>
    </row>
    <row r="3584" spans="1:5" x14ac:dyDescent="0.25">
      <c r="A3584" t="s">
        <v>5</v>
      </c>
      <c r="B3584" t="s">
        <v>8</v>
      </c>
      <c r="C3584" s="1">
        <v>45758.019780092603</v>
      </c>
      <c r="D3584" s="1">
        <v>45789.869444444441</v>
      </c>
      <c r="E3584" s="2">
        <f t="shared" si="55"/>
        <v>31.849664351837419</v>
      </c>
    </row>
    <row r="3585" spans="1:5" x14ac:dyDescent="0.25">
      <c r="A3585" t="s">
        <v>5</v>
      </c>
      <c r="B3585" t="s">
        <v>8</v>
      </c>
      <c r="C3585" s="1">
        <v>46248.977083333331</v>
      </c>
      <c r="D3585" s="1">
        <v>46279.851388888892</v>
      </c>
      <c r="E3585" s="2">
        <f t="shared" si="55"/>
        <v>30.874305555560568</v>
      </c>
    </row>
    <row r="3586" spans="1:5" x14ac:dyDescent="0.25">
      <c r="A3586" t="s">
        <v>5</v>
      </c>
      <c r="B3586" t="s">
        <v>8</v>
      </c>
      <c r="C3586" s="1">
        <v>46130.829861111109</v>
      </c>
      <c r="D3586" s="1">
        <v>46159.966932870368</v>
      </c>
      <c r="E3586" s="2">
        <f t="shared" ref="E3586:E3649" si="56">D3586-C3586</f>
        <v>29.137071759258106</v>
      </c>
    </row>
    <row r="3587" spans="1:5" x14ac:dyDescent="0.25">
      <c r="A3587" t="s">
        <v>5</v>
      </c>
      <c r="B3587" t="s">
        <v>8</v>
      </c>
      <c r="C3587" s="1">
        <v>46244.724305555559</v>
      </c>
      <c r="D3587" s="1">
        <v>46272.206944444442</v>
      </c>
      <c r="E3587" s="2">
        <f t="shared" si="56"/>
        <v>27.48263888888323</v>
      </c>
    </row>
    <row r="3588" spans="1:5" x14ac:dyDescent="0.25">
      <c r="A3588" t="s">
        <v>5</v>
      </c>
      <c r="B3588" t="s">
        <v>8</v>
      </c>
      <c r="C3588" s="1">
        <v>45750.686111111107</v>
      </c>
      <c r="D3588" s="1">
        <v>45782.683333333327</v>
      </c>
      <c r="E3588" s="2">
        <f t="shared" si="56"/>
        <v>31.997222222220444</v>
      </c>
    </row>
    <row r="3589" spans="1:5" x14ac:dyDescent="0.25">
      <c r="A3589" t="s">
        <v>23</v>
      </c>
      <c r="B3589" t="s">
        <v>12</v>
      </c>
      <c r="C3589" s="1">
        <v>46151.030555555553</v>
      </c>
      <c r="D3589" s="1">
        <v>46160.776388888888</v>
      </c>
      <c r="E3589" s="2">
        <f t="shared" si="56"/>
        <v>9.7458333333343035</v>
      </c>
    </row>
    <row r="3590" spans="1:5" x14ac:dyDescent="0.25">
      <c r="A3590" t="s">
        <v>5</v>
      </c>
      <c r="B3590" t="s">
        <v>8</v>
      </c>
      <c r="C3590" s="1">
        <v>45707.716666666667</v>
      </c>
      <c r="D3590" s="1">
        <v>45734.840219907397</v>
      </c>
      <c r="E3590" s="2">
        <f t="shared" si="56"/>
        <v>27.123553240729962</v>
      </c>
    </row>
    <row r="3591" spans="1:5" x14ac:dyDescent="0.25">
      <c r="A3591" t="s">
        <v>5</v>
      </c>
      <c r="B3591" t="s">
        <v>8</v>
      </c>
      <c r="C3591" s="1">
        <v>45750.686111111107</v>
      </c>
      <c r="D3591" s="1">
        <v>45782.683333333327</v>
      </c>
      <c r="E3591" s="2">
        <f t="shared" si="56"/>
        <v>31.997222222220444</v>
      </c>
    </row>
    <row r="3592" spans="1:5" x14ac:dyDescent="0.25">
      <c r="A3592" t="s">
        <v>5</v>
      </c>
      <c r="B3592" t="s">
        <v>8</v>
      </c>
      <c r="C3592" s="1">
        <v>45715.841666666667</v>
      </c>
      <c r="D3592" s="1">
        <v>45741.816666666673</v>
      </c>
      <c r="E3592" s="2">
        <f t="shared" si="56"/>
        <v>25.975000000005821</v>
      </c>
    </row>
    <row r="3593" spans="1:5" x14ac:dyDescent="0.25">
      <c r="A3593" t="s">
        <v>5</v>
      </c>
      <c r="B3593" t="s">
        <v>8</v>
      </c>
      <c r="C3593" s="1">
        <v>45722.095833333333</v>
      </c>
      <c r="D3593" s="1">
        <v>45749.925694444442</v>
      </c>
      <c r="E3593" s="2">
        <f t="shared" si="56"/>
        <v>27.829861111109494</v>
      </c>
    </row>
    <row r="3594" spans="1:5" x14ac:dyDescent="0.25">
      <c r="A3594" t="s">
        <v>5</v>
      </c>
      <c r="B3594" t="s">
        <v>8</v>
      </c>
      <c r="C3594" s="1">
        <v>45758.476388888892</v>
      </c>
      <c r="D3594" s="1">
        <v>45789.862500000003</v>
      </c>
      <c r="E3594" s="2">
        <f t="shared" si="56"/>
        <v>31.386111111110949</v>
      </c>
    </row>
    <row r="3595" spans="1:5" x14ac:dyDescent="0.25">
      <c r="A3595" t="s">
        <v>8</v>
      </c>
      <c r="B3595" t="s">
        <v>18</v>
      </c>
      <c r="C3595" s="1">
        <v>46206.283333333333</v>
      </c>
      <c r="D3595" s="1">
        <v>46251.208333333343</v>
      </c>
      <c r="E3595" s="2">
        <f t="shared" si="56"/>
        <v>44.925000000010186</v>
      </c>
    </row>
    <row r="3596" spans="1:5" x14ac:dyDescent="0.25">
      <c r="A3596" t="s">
        <v>15</v>
      </c>
      <c r="B3596" t="s">
        <v>13</v>
      </c>
      <c r="C3596" s="1">
        <v>46185.171527777777</v>
      </c>
      <c r="D3596" s="1">
        <v>46221.126388888893</v>
      </c>
      <c r="E3596" s="2">
        <f t="shared" si="56"/>
        <v>35.95486111111677</v>
      </c>
    </row>
    <row r="3597" spans="1:5" x14ac:dyDescent="0.25">
      <c r="A3597" t="s">
        <v>15</v>
      </c>
      <c r="B3597" t="s">
        <v>13</v>
      </c>
      <c r="C3597" s="1">
        <v>46185.171527777777</v>
      </c>
      <c r="D3597" s="1">
        <v>46221.126388888893</v>
      </c>
      <c r="E3597" s="2">
        <f t="shared" si="56"/>
        <v>35.95486111111677</v>
      </c>
    </row>
    <row r="3598" spans="1:5" x14ac:dyDescent="0.25">
      <c r="A3598" t="s">
        <v>15</v>
      </c>
      <c r="B3598" t="s">
        <v>6</v>
      </c>
      <c r="C3598" s="1">
        <v>46186.5625</v>
      </c>
      <c r="D3598" s="1">
        <v>46250.560347222221</v>
      </c>
      <c r="E3598" s="2">
        <f t="shared" si="56"/>
        <v>63.997847222221026</v>
      </c>
    </row>
    <row r="3599" spans="1:5" x14ac:dyDescent="0.25">
      <c r="A3599" t="s">
        <v>16</v>
      </c>
      <c r="B3599" t="s">
        <v>20</v>
      </c>
      <c r="C3599" s="1">
        <v>45667.54583333333</v>
      </c>
      <c r="D3599" s="1">
        <v>45741.408333333333</v>
      </c>
      <c r="E3599" s="2">
        <f t="shared" si="56"/>
        <v>73.86250000000291</v>
      </c>
    </row>
    <row r="3600" spans="1:5" x14ac:dyDescent="0.25">
      <c r="A3600" t="s">
        <v>9</v>
      </c>
      <c r="B3600" t="s">
        <v>8</v>
      </c>
      <c r="C3600" s="1">
        <v>45816.137499999997</v>
      </c>
      <c r="D3600" s="1">
        <v>45852.0625</v>
      </c>
      <c r="E3600" s="2">
        <f t="shared" si="56"/>
        <v>35.92500000000291</v>
      </c>
    </row>
    <row r="3601" spans="1:5" x14ac:dyDescent="0.25">
      <c r="A3601" t="s">
        <v>15</v>
      </c>
      <c r="B3601" t="s">
        <v>18</v>
      </c>
      <c r="C3601" s="1">
        <v>45709.132638888892</v>
      </c>
      <c r="D3601" s="1">
        <v>45752.457638888889</v>
      </c>
      <c r="E3601" s="2">
        <f t="shared" si="56"/>
        <v>43.32499999999709</v>
      </c>
    </row>
    <row r="3602" spans="1:5" x14ac:dyDescent="0.25">
      <c r="A3602" t="s">
        <v>12</v>
      </c>
      <c r="B3602" t="s">
        <v>13</v>
      </c>
      <c r="C3602" s="1">
        <v>45859.895833333343</v>
      </c>
      <c r="D3602" s="1">
        <v>45906.245833333327</v>
      </c>
      <c r="E3602" s="2">
        <f t="shared" si="56"/>
        <v>46.349999999983993</v>
      </c>
    </row>
    <row r="3603" spans="1:5" x14ac:dyDescent="0.25">
      <c r="A3603" t="s">
        <v>12</v>
      </c>
      <c r="B3603" t="s">
        <v>8</v>
      </c>
      <c r="C3603" s="1">
        <v>46065.302083333343</v>
      </c>
      <c r="D3603" s="1">
        <v>46117.375</v>
      </c>
      <c r="E3603" s="2">
        <f t="shared" si="56"/>
        <v>52.072916666656965</v>
      </c>
    </row>
    <row r="3604" spans="1:5" x14ac:dyDescent="0.25">
      <c r="A3604" t="s">
        <v>7</v>
      </c>
      <c r="B3604" t="s">
        <v>13</v>
      </c>
      <c r="C3604" s="1">
        <v>45777.64166666667</v>
      </c>
      <c r="D3604" s="1">
        <v>45825.876388888893</v>
      </c>
      <c r="E3604" s="2">
        <f t="shared" si="56"/>
        <v>48.234722222223354</v>
      </c>
    </row>
    <row r="3605" spans="1:5" x14ac:dyDescent="0.25">
      <c r="A3605" t="s">
        <v>23</v>
      </c>
      <c r="B3605" t="s">
        <v>12</v>
      </c>
      <c r="C3605" s="1">
        <v>46100.083333333343</v>
      </c>
      <c r="D3605" s="1">
        <v>46110.324999999997</v>
      </c>
      <c r="E3605" s="2">
        <f t="shared" si="56"/>
        <v>10.241666666654055</v>
      </c>
    </row>
    <row r="3606" spans="1:5" x14ac:dyDescent="0.25">
      <c r="A3606" t="s">
        <v>35</v>
      </c>
      <c r="B3606" t="s">
        <v>19</v>
      </c>
      <c r="C3606" s="1">
        <v>45887.762499999997</v>
      </c>
      <c r="D3606" s="1">
        <v>45925.678472222222</v>
      </c>
      <c r="E3606" s="2">
        <f t="shared" si="56"/>
        <v>37.915972222224809</v>
      </c>
    </row>
    <row r="3607" spans="1:5" x14ac:dyDescent="0.25">
      <c r="A3607" t="s">
        <v>15</v>
      </c>
      <c r="B3607" t="s">
        <v>19</v>
      </c>
      <c r="C3607" s="1">
        <v>46222.425000000003</v>
      </c>
      <c r="D3607" s="1">
        <v>46256.763888888891</v>
      </c>
      <c r="E3607" s="2">
        <f t="shared" si="56"/>
        <v>34.338888888887595</v>
      </c>
    </row>
    <row r="3608" spans="1:5" x14ac:dyDescent="0.25">
      <c r="A3608" t="s">
        <v>41</v>
      </c>
      <c r="B3608" t="s">
        <v>8</v>
      </c>
      <c r="C3608" s="1">
        <v>46163.695138888892</v>
      </c>
      <c r="D3608" s="1">
        <v>46203.938194444447</v>
      </c>
      <c r="E3608" s="2">
        <f t="shared" si="56"/>
        <v>40.243055555554747</v>
      </c>
    </row>
    <row r="3609" spans="1:5" x14ac:dyDescent="0.25">
      <c r="A3609" t="s">
        <v>8</v>
      </c>
      <c r="B3609" t="s">
        <v>27</v>
      </c>
      <c r="C3609" s="1">
        <v>45939.04583333333</v>
      </c>
      <c r="D3609" s="1">
        <v>45979.347222222219</v>
      </c>
      <c r="E3609" s="2">
        <f t="shared" si="56"/>
        <v>40.301388888889051</v>
      </c>
    </row>
    <row r="3610" spans="1:5" x14ac:dyDescent="0.25">
      <c r="A3610" t="s">
        <v>41</v>
      </c>
      <c r="B3610" t="s">
        <v>8</v>
      </c>
      <c r="C3610" s="1">
        <v>46193.822916666657</v>
      </c>
      <c r="D3610" s="1">
        <v>46233.649305555547</v>
      </c>
      <c r="E3610" s="2">
        <f t="shared" si="56"/>
        <v>39.826388888890506</v>
      </c>
    </row>
    <row r="3611" spans="1:5" x14ac:dyDescent="0.25">
      <c r="A3611" t="s">
        <v>15</v>
      </c>
      <c r="B3611" t="s">
        <v>38</v>
      </c>
      <c r="C3611" s="1">
        <v>46232.938194444447</v>
      </c>
      <c r="D3611" s="1">
        <v>46279.838194444441</v>
      </c>
      <c r="E3611" s="2">
        <f t="shared" si="56"/>
        <v>46.899999999994179</v>
      </c>
    </row>
    <row r="3612" spans="1:5" x14ac:dyDescent="0.25">
      <c r="A3612" t="s">
        <v>8</v>
      </c>
      <c r="B3612" t="s">
        <v>6</v>
      </c>
      <c r="C3612" s="1">
        <v>46135.436111111107</v>
      </c>
      <c r="D3612" s="1">
        <v>46214.6875</v>
      </c>
      <c r="E3612" s="2">
        <f t="shared" si="56"/>
        <v>79.251388888893416</v>
      </c>
    </row>
    <row r="3613" spans="1:5" x14ac:dyDescent="0.25">
      <c r="A3613" t="s">
        <v>28</v>
      </c>
      <c r="B3613" t="s">
        <v>30</v>
      </c>
      <c r="C3613" s="1">
        <v>45858.213194444441</v>
      </c>
      <c r="D3613" s="1">
        <v>45903.666666666657</v>
      </c>
      <c r="E3613" s="2">
        <f t="shared" si="56"/>
        <v>45.453472222216078</v>
      </c>
    </row>
    <row r="3614" spans="1:5" x14ac:dyDescent="0.25">
      <c r="A3614" t="s">
        <v>34</v>
      </c>
      <c r="B3614" t="s">
        <v>13</v>
      </c>
      <c r="C3614" s="1">
        <v>45781.395833333343</v>
      </c>
      <c r="D3614" s="1">
        <v>45807.228252314817</v>
      </c>
      <c r="E3614" s="2">
        <f t="shared" si="56"/>
        <v>25.832418981473893</v>
      </c>
    </row>
    <row r="3615" spans="1:5" x14ac:dyDescent="0.25">
      <c r="A3615" t="s">
        <v>16</v>
      </c>
      <c r="B3615" t="s">
        <v>11</v>
      </c>
      <c r="C3615" s="1">
        <v>46167.924305555563</v>
      </c>
      <c r="D3615" s="1">
        <v>46229.322916666657</v>
      </c>
      <c r="E3615" s="2">
        <f t="shared" si="56"/>
        <v>61.398611111093487</v>
      </c>
    </row>
    <row r="3616" spans="1:5" x14ac:dyDescent="0.25">
      <c r="A3616" t="s">
        <v>23</v>
      </c>
      <c r="B3616" t="s">
        <v>30</v>
      </c>
      <c r="C3616" s="1">
        <v>45897.603472222218</v>
      </c>
      <c r="D3616" s="1">
        <v>45940.215277777781</v>
      </c>
      <c r="E3616" s="2">
        <f t="shared" si="56"/>
        <v>42.611805555563478</v>
      </c>
    </row>
    <row r="3617" spans="1:5" x14ac:dyDescent="0.25">
      <c r="A3617" t="s">
        <v>22</v>
      </c>
      <c r="B3617" t="s">
        <v>51</v>
      </c>
      <c r="C3617" s="1">
        <v>45701.625</v>
      </c>
      <c r="D3617" s="1">
        <v>45784.277777777781</v>
      </c>
      <c r="E3617" s="2">
        <f t="shared" si="56"/>
        <v>82.652777777781012</v>
      </c>
    </row>
    <row r="3618" spans="1:5" x14ac:dyDescent="0.25">
      <c r="A3618" t="s">
        <v>41</v>
      </c>
      <c r="B3618" t="s">
        <v>8</v>
      </c>
      <c r="C3618" s="1">
        <v>46187.908333333333</v>
      </c>
      <c r="D3618" s="1">
        <v>46225.5</v>
      </c>
      <c r="E3618" s="2">
        <f t="shared" si="56"/>
        <v>37.591666666667152</v>
      </c>
    </row>
    <row r="3619" spans="1:5" x14ac:dyDescent="0.25">
      <c r="A3619" t="s">
        <v>41</v>
      </c>
      <c r="B3619" t="s">
        <v>8</v>
      </c>
      <c r="C3619" s="1">
        <v>46217.678472222222</v>
      </c>
      <c r="D3619" s="1">
        <v>46267.742361111108</v>
      </c>
      <c r="E3619" s="2">
        <f t="shared" si="56"/>
        <v>50.06388888888614</v>
      </c>
    </row>
    <row r="3620" spans="1:5" x14ac:dyDescent="0.25">
      <c r="A3620" t="s">
        <v>22</v>
      </c>
      <c r="B3620" t="s">
        <v>19</v>
      </c>
      <c r="C3620" s="1">
        <v>46186.177083333343</v>
      </c>
      <c r="D3620" s="1">
        <v>46255.57916666667</v>
      </c>
      <c r="E3620" s="2">
        <f t="shared" si="56"/>
        <v>69.402083333327028</v>
      </c>
    </row>
    <row r="3621" spans="1:5" x14ac:dyDescent="0.25">
      <c r="A3621" t="s">
        <v>41</v>
      </c>
      <c r="B3621" t="s">
        <v>43</v>
      </c>
      <c r="C3621" s="1">
        <v>46117.968055555553</v>
      </c>
      <c r="D3621" s="1">
        <v>46161.446527777778</v>
      </c>
      <c r="E3621" s="2">
        <f t="shared" si="56"/>
        <v>43.478472222224809</v>
      </c>
    </row>
    <row r="3622" spans="1:5" x14ac:dyDescent="0.25">
      <c r="A3622" t="s">
        <v>5</v>
      </c>
      <c r="B3622" t="s">
        <v>8</v>
      </c>
      <c r="C3622" s="1">
        <v>46225.412569444437</v>
      </c>
      <c r="D3622" s="1">
        <v>46250.735798611109</v>
      </c>
      <c r="E3622" s="2">
        <f t="shared" si="56"/>
        <v>25.323229166671808</v>
      </c>
    </row>
    <row r="3623" spans="1:5" x14ac:dyDescent="0.25">
      <c r="A3623" t="s">
        <v>5</v>
      </c>
      <c r="B3623" t="s">
        <v>25</v>
      </c>
      <c r="C3623" s="1">
        <v>45757.627337962957</v>
      </c>
      <c r="D3623" s="1">
        <v>45822.643750000003</v>
      </c>
      <c r="E3623" s="2">
        <f t="shared" si="56"/>
        <v>65.016412037046393</v>
      </c>
    </row>
    <row r="3624" spans="1:5" x14ac:dyDescent="0.25">
      <c r="A3624" t="s">
        <v>5</v>
      </c>
      <c r="B3624" t="s">
        <v>8</v>
      </c>
      <c r="C3624" s="1">
        <v>45731.86041666667</v>
      </c>
      <c r="D3624" s="1">
        <v>45761.418541666673</v>
      </c>
      <c r="E3624" s="2">
        <f t="shared" si="56"/>
        <v>29.558125000003201</v>
      </c>
    </row>
    <row r="3625" spans="1:5" x14ac:dyDescent="0.25">
      <c r="A3625" t="s">
        <v>5</v>
      </c>
      <c r="B3625" t="s">
        <v>8</v>
      </c>
      <c r="C3625" s="1">
        <v>45750.686111111107</v>
      </c>
      <c r="D3625" s="1">
        <v>45782.683333333327</v>
      </c>
      <c r="E3625" s="2">
        <f t="shared" si="56"/>
        <v>31.997222222220444</v>
      </c>
    </row>
    <row r="3626" spans="1:5" x14ac:dyDescent="0.25">
      <c r="A3626" t="s">
        <v>5</v>
      </c>
      <c r="B3626" t="s">
        <v>8</v>
      </c>
      <c r="C3626" s="1">
        <v>46144.330104166656</v>
      </c>
      <c r="D3626" s="1">
        <v>46174.830555555563</v>
      </c>
      <c r="E3626" s="2">
        <f t="shared" si="56"/>
        <v>30.500451388907095</v>
      </c>
    </row>
    <row r="3627" spans="1:5" x14ac:dyDescent="0.25">
      <c r="A3627" t="s">
        <v>5</v>
      </c>
      <c r="B3627" t="s">
        <v>55</v>
      </c>
      <c r="C3627" s="1">
        <v>45707.716666666667</v>
      </c>
      <c r="D3627" s="1">
        <v>45735.98541666667</v>
      </c>
      <c r="E3627" s="2">
        <f t="shared" si="56"/>
        <v>28.26875000000291</v>
      </c>
    </row>
    <row r="3628" spans="1:5" x14ac:dyDescent="0.25">
      <c r="A3628" t="s">
        <v>5</v>
      </c>
      <c r="B3628" t="s">
        <v>8</v>
      </c>
      <c r="C3628" s="1">
        <v>46169.74722222222</v>
      </c>
      <c r="D3628" s="1">
        <v>46195.515729166669</v>
      </c>
      <c r="E3628" s="2">
        <f t="shared" si="56"/>
        <v>25.768506944448745</v>
      </c>
    </row>
    <row r="3629" spans="1:5" x14ac:dyDescent="0.25">
      <c r="A3629" t="s">
        <v>5</v>
      </c>
      <c r="B3629" t="s">
        <v>8</v>
      </c>
      <c r="C3629" s="1">
        <v>45745.883333333331</v>
      </c>
      <c r="D3629" s="1">
        <v>45775.753472222219</v>
      </c>
      <c r="E3629" s="2">
        <f t="shared" si="56"/>
        <v>29.870138888887595</v>
      </c>
    </row>
    <row r="3630" spans="1:5" x14ac:dyDescent="0.25">
      <c r="A3630" t="s">
        <v>5</v>
      </c>
      <c r="B3630" t="s">
        <v>8</v>
      </c>
      <c r="C3630" s="1">
        <v>46130.829861111109</v>
      </c>
      <c r="D3630" s="1">
        <v>46159.966932870368</v>
      </c>
      <c r="E3630" s="2">
        <f t="shared" si="56"/>
        <v>29.137071759258106</v>
      </c>
    </row>
    <row r="3631" spans="1:5" x14ac:dyDescent="0.25">
      <c r="A3631" t="s">
        <v>5</v>
      </c>
      <c r="B3631" t="s">
        <v>8</v>
      </c>
      <c r="C3631" s="1">
        <v>45758.019780092603</v>
      </c>
      <c r="D3631" s="1">
        <v>45789.869444444441</v>
      </c>
      <c r="E3631" s="2">
        <f t="shared" si="56"/>
        <v>31.849664351837419</v>
      </c>
    </row>
    <row r="3632" spans="1:5" x14ac:dyDescent="0.25">
      <c r="A3632" t="s">
        <v>5</v>
      </c>
      <c r="B3632" t="s">
        <v>8</v>
      </c>
      <c r="C3632" s="1">
        <v>45758.429166666669</v>
      </c>
      <c r="D3632" s="1">
        <v>45789.869444444441</v>
      </c>
      <c r="E3632" s="2">
        <f t="shared" si="56"/>
        <v>31.44027777777228</v>
      </c>
    </row>
    <row r="3633" spans="1:5" x14ac:dyDescent="0.25">
      <c r="A3633" t="s">
        <v>5</v>
      </c>
      <c r="B3633" t="s">
        <v>8</v>
      </c>
      <c r="C3633" s="1">
        <v>45722.095833333333</v>
      </c>
      <c r="D3633" s="1">
        <v>45749.925694444442</v>
      </c>
      <c r="E3633" s="2">
        <f t="shared" si="56"/>
        <v>27.829861111109494</v>
      </c>
    </row>
    <row r="3634" spans="1:5" x14ac:dyDescent="0.25">
      <c r="A3634" t="s">
        <v>5</v>
      </c>
      <c r="B3634" t="s">
        <v>8</v>
      </c>
      <c r="C3634" s="1">
        <v>45715.841666666667</v>
      </c>
      <c r="D3634" s="1">
        <v>45741.816666666673</v>
      </c>
      <c r="E3634" s="2">
        <f t="shared" si="56"/>
        <v>25.975000000005821</v>
      </c>
    </row>
    <row r="3635" spans="1:5" x14ac:dyDescent="0.25">
      <c r="A3635" t="s">
        <v>5</v>
      </c>
      <c r="B3635" t="s">
        <v>8</v>
      </c>
      <c r="C3635" s="1">
        <v>45777.362500000003</v>
      </c>
      <c r="D3635" s="1">
        <v>45808.435416666667</v>
      </c>
      <c r="E3635" s="2">
        <f t="shared" si="56"/>
        <v>31.072916666664241</v>
      </c>
    </row>
    <row r="3636" spans="1:5" x14ac:dyDescent="0.25">
      <c r="A3636" t="s">
        <v>5</v>
      </c>
      <c r="B3636" t="s">
        <v>8</v>
      </c>
      <c r="C3636" s="1">
        <v>46244.724305555559</v>
      </c>
      <c r="D3636" s="1">
        <v>46272.206944444442</v>
      </c>
      <c r="E3636" s="2">
        <f t="shared" si="56"/>
        <v>27.48263888888323</v>
      </c>
    </row>
    <row r="3637" spans="1:5" x14ac:dyDescent="0.25">
      <c r="A3637" t="s">
        <v>5</v>
      </c>
      <c r="B3637" t="s">
        <v>8</v>
      </c>
      <c r="C3637" s="1">
        <v>45707.716666666667</v>
      </c>
      <c r="D3637" s="1">
        <v>45734.840219907397</v>
      </c>
      <c r="E3637" s="2">
        <f t="shared" si="56"/>
        <v>27.123553240729962</v>
      </c>
    </row>
    <row r="3638" spans="1:5" x14ac:dyDescent="0.25">
      <c r="A3638" t="s">
        <v>5</v>
      </c>
      <c r="B3638" t="s">
        <v>8</v>
      </c>
      <c r="C3638" s="1">
        <v>45707.716666666667</v>
      </c>
      <c r="D3638" s="1">
        <v>45734.840219907397</v>
      </c>
      <c r="E3638" s="2">
        <f t="shared" si="56"/>
        <v>27.123553240729962</v>
      </c>
    </row>
    <row r="3639" spans="1:5" x14ac:dyDescent="0.25">
      <c r="A3639" t="s">
        <v>5</v>
      </c>
      <c r="B3639" t="s">
        <v>8</v>
      </c>
      <c r="C3639" s="1">
        <v>46225.402777777781</v>
      </c>
      <c r="D3639" s="1">
        <v>46250.735798611109</v>
      </c>
      <c r="E3639" s="2">
        <f t="shared" si="56"/>
        <v>25.333020833328192</v>
      </c>
    </row>
    <row r="3640" spans="1:5" x14ac:dyDescent="0.25">
      <c r="A3640" t="s">
        <v>23</v>
      </c>
      <c r="B3640" t="s">
        <v>24</v>
      </c>
      <c r="C3640" s="1">
        <v>46157.916666666657</v>
      </c>
      <c r="D3640" s="1">
        <v>46238.979166666657</v>
      </c>
      <c r="E3640" s="2">
        <f t="shared" si="56"/>
        <v>81.0625</v>
      </c>
    </row>
    <row r="3641" spans="1:5" x14ac:dyDescent="0.25">
      <c r="A3641" t="s">
        <v>5</v>
      </c>
      <c r="B3641" t="s">
        <v>8</v>
      </c>
      <c r="C3641" s="1">
        <v>45715.841666666667</v>
      </c>
      <c r="D3641" s="1">
        <v>45741.816666666673</v>
      </c>
      <c r="E3641" s="2">
        <f t="shared" si="56"/>
        <v>25.975000000005821</v>
      </c>
    </row>
    <row r="3642" spans="1:5" x14ac:dyDescent="0.25">
      <c r="A3642" t="s">
        <v>5</v>
      </c>
      <c r="B3642" t="s">
        <v>8</v>
      </c>
      <c r="C3642" s="1">
        <v>46260.259722222218</v>
      </c>
      <c r="D3642" s="1">
        <v>46285.342361111107</v>
      </c>
      <c r="E3642" s="2">
        <f t="shared" si="56"/>
        <v>25.082638888889051</v>
      </c>
    </row>
    <row r="3643" spans="1:5" x14ac:dyDescent="0.25">
      <c r="A3643" t="s">
        <v>5</v>
      </c>
      <c r="B3643" t="s">
        <v>8</v>
      </c>
      <c r="C3643" s="1">
        <v>45731.86041666667</v>
      </c>
      <c r="D3643" s="1">
        <v>45761.418541666673</v>
      </c>
      <c r="E3643" s="2">
        <f t="shared" si="56"/>
        <v>29.558125000003201</v>
      </c>
    </row>
    <row r="3644" spans="1:5" x14ac:dyDescent="0.25">
      <c r="A3644" t="s">
        <v>5</v>
      </c>
      <c r="B3644" t="s">
        <v>8</v>
      </c>
      <c r="C3644" s="1">
        <v>46159.081250000003</v>
      </c>
      <c r="D3644" s="1">
        <v>46181.674305555563</v>
      </c>
      <c r="E3644" s="2">
        <f t="shared" si="56"/>
        <v>22.593055555560568</v>
      </c>
    </row>
    <row r="3645" spans="1:5" x14ac:dyDescent="0.25">
      <c r="A3645" t="s">
        <v>23</v>
      </c>
      <c r="B3645" t="s">
        <v>12</v>
      </c>
      <c r="C3645" s="1">
        <v>46170.549305555563</v>
      </c>
      <c r="D3645" s="1">
        <v>46180.777777777781</v>
      </c>
      <c r="E3645" s="2">
        <f t="shared" si="56"/>
        <v>10.228472222217533</v>
      </c>
    </row>
    <row r="3646" spans="1:5" x14ac:dyDescent="0.25">
      <c r="A3646" t="s">
        <v>5</v>
      </c>
      <c r="B3646" t="s">
        <v>8</v>
      </c>
      <c r="C3646" s="1">
        <v>46144.330104166656</v>
      </c>
      <c r="D3646" s="1">
        <v>46174.830555555563</v>
      </c>
      <c r="E3646" s="2">
        <f t="shared" si="56"/>
        <v>30.500451388907095</v>
      </c>
    </row>
    <row r="3647" spans="1:5" x14ac:dyDescent="0.25">
      <c r="A3647" t="s">
        <v>5</v>
      </c>
      <c r="B3647" t="s">
        <v>8</v>
      </c>
      <c r="C3647" s="1">
        <v>45701.708333333343</v>
      </c>
      <c r="D3647" s="1">
        <v>45730.227777777778</v>
      </c>
      <c r="E3647" s="2">
        <f t="shared" si="56"/>
        <v>28.519444444435067</v>
      </c>
    </row>
    <row r="3648" spans="1:5" x14ac:dyDescent="0.25">
      <c r="A3648" t="s">
        <v>23</v>
      </c>
      <c r="B3648" t="s">
        <v>24</v>
      </c>
      <c r="C3648" s="1">
        <v>46180.041666666657</v>
      </c>
      <c r="D3648" s="1">
        <v>46250.625</v>
      </c>
      <c r="E3648" s="2">
        <f t="shared" si="56"/>
        <v>70.583333333343035</v>
      </c>
    </row>
    <row r="3649" spans="1:5" x14ac:dyDescent="0.25">
      <c r="A3649" t="s">
        <v>5</v>
      </c>
      <c r="B3649" t="s">
        <v>8</v>
      </c>
      <c r="C3649" s="1">
        <v>46159.081250000003</v>
      </c>
      <c r="D3649" s="1">
        <v>46181.674976851849</v>
      </c>
      <c r="E3649" s="2">
        <f t="shared" si="56"/>
        <v>22.593726851846441</v>
      </c>
    </row>
    <row r="3650" spans="1:5" x14ac:dyDescent="0.25">
      <c r="A3650" t="s">
        <v>5</v>
      </c>
      <c r="B3650" t="s">
        <v>8</v>
      </c>
      <c r="C3650" s="1">
        <v>46191.063888888893</v>
      </c>
      <c r="D3650" s="1">
        <v>46214.830520833333</v>
      </c>
      <c r="E3650" s="2">
        <f t="shared" ref="E3650:E3713" si="57">D3650-C3650</f>
        <v>23.766631944439723</v>
      </c>
    </row>
    <row r="3651" spans="1:5" x14ac:dyDescent="0.25">
      <c r="A3651" t="s">
        <v>5</v>
      </c>
      <c r="B3651" t="s">
        <v>8</v>
      </c>
      <c r="C3651" s="1">
        <v>46169.74722222222</v>
      </c>
      <c r="D3651" s="1">
        <v>46195.520138888889</v>
      </c>
      <c r="E3651" s="2">
        <f t="shared" si="57"/>
        <v>25.772916666668607</v>
      </c>
    </row>
    <row r="3652" spans="1:5" x14ac:dyDescent="0.25">
      <c r="A3652" t="s">
        <v>5</v>
      </c>
      <c r="B3652" t="s">
        <v>8</v>
      </c>
      <c r="C3652" s="1">
        <v>45735.674305555563</v>
      </c>
      <c r="D3652" s="1">
        <v>45764.501828703702</v>
      </c>
      <c r="E3652" s="2">
        <f t="shared" si="57"/>
        <v>28.827523148138425</v>
      </c>
    </row>
    <row r="3653" spans="1:5" x14ac:dyDescent="0.25">
      <c r="A3653" t="s">
        <v>5</v>
      </c>
      <c r="B3653" t="s">
        <v>8</v>
      </c>
      <c r="C3653" s="1">
        <v>45777.362500000003</v>
      </c>
      <c r="D3653" s="1">
        <v>45808.425081018519</v>
      </c>
      <c r="E3653" s="2">
        <f t="shared" si="57"/>
        <v>31.06258101851563</v>
      </c>
    </row>
    <row r="3654" spans="1:5" x14ac:dyDescent="0.25">
      <c r="A3654" t="s">
        <v>5</v>
      </c>
      <c r="B3654" t="s">
        <v>8</v>
      </c>
      <c r="C3654" s="1">
        <v>45735.71597222222</v>
      </c>
      <c r="D3654" s="1">
        <v>45764.525694444441</v>
      </c>
      <c r="E3654" s="2">
        <f t="shared" si="57"/>
        <v>28.809722222220444</v>
      </c>
    </row>
    <row r="3655" spans="1:5" x14ac:dyDescent="0.25">
      <c r="A3655" t="s">
        <v>5</v>
      </c>
      <c r="B3655" t="s">
        <v>8</v>
      </c>
      <c r="C3655" s="1">
        <v>45750.686111111107</v>
      </c>
      <c r="D3655" s="1">
        <v>45782.671527777777</v>
      </c>
      <c r="E3655" s="2">
        <f t="shared" si="57"/>
        <v>31.985416666670062</v>
      </c>
    </row>
    <row r="3656" spans="1:5" x14ac:dyDescent="0.25">
      <c r="A3656" t="s">
        <v>23</v>
      </c>
      <c r="B3656" t="s">
        <v>12</v>
      </c>
      <c r="C3656" s="1">
        <v>46196.083333333343</v>
      </c>
      <c r="D3656" s="1">
        <v>46212.634722222218</v>
      </c>
      <c r="E3656" s="2">
        <f t="shared" si="57"/>
        <v>16.551388888874499</v>
      </c>
    </row>
    <row r="3657" spans="1:5" x14ac:dyDescent="0.25">
      <c r="A3657" t="s">
        <v>5</v>
      </c>
      <c r="B3657" t="s">
        <v>8</v>
      </c>
      <c r="C3657" s="1">
        <v>45758.429166666669</v>
      </c>
      <c r="D3657" s="1">
        <v>45789.869444444441</v>
      </c>
      <c r="E3657" s="2">
        <f t="shared" si="57"/>
        <v>31.44027777777228</v>
      </c>
    </row>
    <row r="3658" spans="1:5" x14ac:dyDescent="0.25">
      <c r="A3658" t="s">
        <v>5</v>
      </c>
      <c r="B3658" t="s">
        <v>8</v>
      </c>
      <c r="C3658" s="1">
        <v>45681.762499999997</v>
      </c>
      <c r="D3658" s="1">
        <v>45706.871527777781</v>
      </c>
      <c r="E3658" s="2">
        <f t="shared" si="57"/>
        <v>25.109027777783922</v>
      </c>
    </row>
    <row r="3659" spans="1:5" x14ac:dyDescent="0.25">
      <c r="A3659" t="s">
        <v>5</v>
      </c>
      <c r="B3659" t="s">
        <v>8</v>
      </c>
      <c r="C3659" s="1">
        <v>45735.674305555563</v>
      </c>
      <c r="D3659" s="1">
        <v>45764.537499999999</v>
      </c>
      <c r="E3659" s="2">
        <f t="shared" si="57"/>
        <v>28.863194444435067</v>
      </c>
    </row>
    <row r="3660" spans="1:5" x14ac:dyDescent="0.25">
      <c r="A3660" t="s">
        <v>5</v>
      </c>
      <c r="B3660" t="s">
        <v>8</v>
      </c>
      <c r="C3660" s="1">
        <v>45681.762499999997</v>
      </c>
      <c r="D3660" s="1">
        <v>45706.875439814823</v>
      </c>
      <c r="E3660" s="2">
        <f t="shared" si="57"/>
        <v>25.11293981482595</v>
      </c>
    </row>
    <row r="3661" spans="1:5" x14ac:dyDescent="0.25">
      <c r="A3661" t="s">
        <v>5</v>
      </c>
      <c r="B3661" t="s">
        <v>8</v>
      </c>
      <c r="C3661" s="1">
        <v>46194.835023148153</v>
      </c>
      <c r="D3661" s="1">
        <v>46216.121886574067</v>
      </c>
      <c r="E3661" s="2">
        <f t="shared" si="57"/>
        <v>21.286863425913907</v>
      </c>
    </row>
    <row r="3662" spans="1:5" x14ac:dyDescent="0.25">
      <c r="A3662" t="s">
        <v>5</v>
      </c>
      <c r="B3662" t="s">
        <v>8</v>
      </c>
      <c r="C3662" s="1">
        <v>45659.054166666669</v>
      </c>
      <c r="D3662" s="1">
        <v>45685.674305555563</v>
      </c>
      <c r="E3662" s="2">
        <f t="shared" si="57"/>
        <v>26.620138888894871</v>
      </c>
    </row>
    <row r="3663" spans="1:5" x14ac:dyDescent="0.25">
      <c r="A3663" t="s">
        <v>5</v>
      </c>
      <c r="B3663" t="s">
        <v>8</v>
      </c>
      <c r="C3663" s="1">
        <v>46144.330104166656</v>
      </c>
      <c r="D3663" s="1">
        <v>46174.830555555563</v>
      </c>
      <c r="E3663" s="2">
        <f t="shared" si="57"/>
        <v>30.500451388907095</v>
      </c>
    </row>
    <row r="3664" spans="1:5" x14ac:dyDescent="0.25">
      <c r="A3664" t="s">
        <v>5</v>
      </c>
      <c r="B3664" t="s">
        <v>8</v>
      </c>
      <c r="C3664" s="1">
        <v>45707.716666666667</v>
      </c>
      <c r="D3664" s="1">
        <v>45734.852777777778</v>
      </c>
      <c r="E3664" s="2">
        <f t="shared" si="57"/>
        <v>27.136111111110949</v>
      </c>
    </row>
    <row r="3665" spans="1:5" x14ac:dyDescent="0.25">
      <c r="A3665" t="s">
        <v>5</v>
      </c>
      <c r="B3665" t="s">
        <v>8</v>
      </c>
      <c r="C3665" s="1">
        <v>45750.686111111107</v>
      </c>
      <c r="D3665" s="1">
        <v>45782.683333333327</v>
      </c>
      <c r="E3665" s="2">
        <f t="shared" si="57"/>
        <v>31.997222222220444</v>
      </c>
    </row>
    <row r="3666" spans="1:5" x14ac:dyDescent="0.25">
      <c r="A3666" t="s">
        <v>5</v>
      </c>
      <c r="B3666" t="s">
        <v>8</v>
      </c>
      <c r="C3666" s="1">
        <v>45707.716666666667</v>
      </c>
      <c r="D3666" s="1">
        <v>45734.840219907397</v>
      </c>
      <c r="E3666" s="2">
        <f t="shared" si="57"/>
        <v>27.123553240729962</v>
      </c>
    </row>
    <row r="3667" spans="1:5" x14ac:dyDescent="0.25">
      <c r="A3667" t="s">
        <v>5</v>
      </c>
      <c r="B3667" t="s">
        <v>8</v>
      </c>
      <c r="C3667" s="1">
        <v>45674.279166666667</v>
      </c>
      <c r="D3667" s="1">
        <v>45702.654166666667</v>
      </c>
      <c r="E3667" s="2">
        <f t="shared" si="57"/>
        <v>28.375</v>
      </c>
    </row>
    <row r="3668" spans="1:5" x14ac:dyDescent="0.25">
      <c r="A3668" t="s">
        <v>5</v>
      </c>
      <c r="B3668" t="s">
        <v>8</v>
      </c>
      <c r="C3668" s="1">
        <v>45715.841666666667</v>
      </c>
      <c r="D3668" s="1">
        <v>45741.810277777768</v>
      </c>
      <c r="E3668" s="2">
        <f t="shared" si="57"/>
        <v>25.968611111100472</v>
      </c>
    </row>
    <row r="3669" spans="1:5" x14ac:dyDescent="0.25">
      <c r="A3669" t="s">
        <v>5</v>
      </c>
      <c r="B3669" t="s">
        <v>8</v>
      </c>
      <c r="C3669" s="1">
        <v>46124.879189814812</v>
      </c>
      <c r="D3669" s="1">
        <v>46152.936111111107</v>
      </c>
      <c r="E3669" s="2">
        <f t="shared" si="57"/>
        <v>28.056921296294604</v>
      </c>
    </row>
    <row r="3670" spans="1:5" x14ac:dyDescent="0.25">
      <c r="A3670" t="s">
        <v>5</v>
      </c>
      <c r="B3670" t="s">
        <v>8</v>
      </c>
      <c r="C3670" s="1">
        <v>45674.279166666667</v>
      </c>
      <c r="D3670" s="1">
        <v>45702.654166666667</v>
      </c>
      <c r="E3670" s="2">
        <f t="shared" si="57"/>
        <v>28.375</v>
      </c>
    </row>
    <row r="3671" spans="1:5" x14ac:dyDescent="0.25">
      <c r="A3671" t="s">
        <v>5</v>
      </c>
      <c r="B3671" t="s">
        <v>8</v>
      </c>
      <c r="C3671" s="1">
        <v>45731.86041666667</v>
      </c>
      <c r="D3671" s="1">
        <v>45761.405555555553</v>
      </c>
      <c r="E3671" s="2">
        <f t="shared" si="57"/>
        <v>29.54513888888323</v>
      </c>
    </row>
    <row r="3672" spans="1:5" x14ac:dyDescent="0.25">
      <c r="A3672" t="s">
        <v>5</v>
      </c>
      <c r="B3672" t="s">
        <v>8</v>
      </c>
      <c r="C3672" s="1">
        <v>45777.362500000003</v>
      </c>
      <c r="D3672" s="1">
        <v>45808.425081018519</v>
      </c>
      <c r="E3672" s="2">
        <f t="shared" si="57"/>
        <v>31.06258101851563</v>
      </c>
    </row>
    <row r="3673" spans="1:5" x14ac:dyDescent="0.25">
      <c r="A3673" t="s">
        <v>5</v>
      </c>
      <c r="B3673" t="s">
        <v>8</v>
      </c>
      <c r="C3673" s="1">
        <v>45681.762499999997</v>
      </c>
      <c r="D3673" s="1">
        <v>45706.875439814823</v>
      </c>
      <c r="E3673" s="2">
        <f t="shared" si="57"/>
        <v>25.11293981482595</v>
      </c>
    </row>
    <row r="3674" spans="1:5" x14ac:dyDescent="0.25">
      <c r="A3674" t="s">
        <v>5</v>
      </c>
      <c r="B3674" t="s">
        <v>8</v>
      </c>
      <c r="C3674" s="1">
        <v>45695.8125</v>
      </c>
      <c r="D3674" s="1">
        <v>45724.874305555553</v>
      </c>
      <c r="E3674" s="2">
        <f t="shared" si="57"/>
        <v>29.061805555553292</v>
      </c>
    </row>
    <row r="3675" spans="1:5" x14ac:dyDescent="0.25">
      <c r="A3675" t="s">
        <v>5</v>
      </c>
      <c r="B3675" t="s">
        <v>8</v>
      </c>
      <c r="C3675" s="1">
        <v>46159.081250000003</v>
      </c>
      <c r="D3675" s="1">
        <v>46181.674305555563</v>
      </c>
      <c r="E3675" s="2">
        <f t="shared" si="57"/>
        <v>22.593055555560568</v>
      </c>
    </row>
    <row r="3676" spans="1:5" x14ac:dyDescent="0.25">
      <c r="A3676" t="s">
        <v>5</v>
      </c>
      <c r="B3676" t="s">
        <v>8</v>
      </c>
      <c r="C3676" s="1">
        <v>46144.320833333331</v>
      </c>
      <c r="D3676" s="1">
        <v>46174.822662037041</v>
      </c>
      <c r="E3676" s="2">
        <f t="shared" si="57"/>
        <v>30.50182870370918</v>
      </c>
    </row>
    <row r="3677" spans="1:5" x14ac:dyDescent="0.25">
      <c r="A3677" t="s">
        <v>12</v>
      </c>
      <c r="B3677" t="s">
        <v>14</v>
      </c>
      <c r="C3677" s="1">
        <v>45913.968622685177</v>
      </c>
      <c r="D3677" s="1">
        <v>45977.877696759257</v>
      </c>
      <c r="E3677" s="2">
        <f t="shared" si="57"/>
        <v>63.909074074079399</v>
      </c>
    </row>
    <row r="3678" spans="1:5" x14ac:dyDescent="0.25">
      <c r="A3678" t="s">
        <v>5</v>
      </c>
      <c r="B3678" t="s">
        <v>8</v>
      </c>
      <c r="C3678" s="1">
        <v>45750.686111111107</v>
      </c>
      <c r="D3678" s="1">
        <v>45782.683333333327</v>
      </c>
      <c r="E3678" s="2">
        <f t="shared" si="57"/>
        <v>31.997222222220444</v>
      </c>
    </row>
    <row r="3679" spans="1:5" x14ac:dyDescent="0.25">
      <c r="A3679" t="s">
        <v>5</v>
      </c>
      <c r="B3679" t="s">
        <v>55</v>
      </c>
      <c r="C3679" s="1">
        <v>45735.674305555563</v>
      </c>
      <c r="D3679" s="1">
        <v>45767.89166666667</v>
      </c>
      <c r="E3679" s="2">
        <f t="shared" si="57"/>
        <v>32.217361111106584</v>
      </c>
    </row>
    <row r="3680" spans="1:5" x14ac:dyDescent="0.25">
      <c r="A3680" t="s">
        <v>5</v>
      </c>
      <c r="B3680" t="s">
        <v>8</v>
      </c>
      <c r="C3680" s="1">
        <v>45777.362500000003</v>
      </c>
      <c r="D3680" s="1">
        <v>45808.435416666667</v>
      </c>
      <c r="E3680" s="2">
        <f t="shared" si="57"/>
        <v>31.072916666664241</v>
      </c>
    </row>
    <row r="3681" spans="1:5" x14ac:dyDescent="0.25">
      <c r="A3681" t="s">
        <v>5</v>
      </c>
      <c r="B3681" t="s">
        <v>8</v>
      </c>
      <c r="C3681" s="1">
        <v>45671.509722222218</v>
      </c>
      <c r="D3681" s="1">
        <v>45697.265277777777</v>
      </c>
      <c r="E3681" s="2">
        <f t="shared" si="57"/>
        <v>25.755555555559113</v>
      </c>
    </row>
    <row r="3682" spans="1:5" x14ac:dyDescent="0.25">
      <c r="A3682" t="s">
        <v>5</v>
      </c>
      <c r="B3682" t="s">
        <v>8</v>
      </c>
      <c r="C3682" s="1">
        <v>46191.075983796298</v>
      </c>
      <c r="D3682" s="1">
        <v>46214.836111111108</v>
      </c>
      <c r="E3682" s="2">
        <f t="shared" si="57"/>
        <v>23.760127314810234</v>
      </c>
    </row>
    <row r="3683" spans="1:5" x14ac:dyDescent="0.25">
      <c r="A3683" t="s">
        <v>5</v>
      </c>
      <c r="B3683" t="s">
        <v>8</v>
      </c>
      <c r="C3683" s="1">
        <v>45758.019780092603</v>
      </c>
      <c r="D3683" s="1">
        <v>45789.869444444441</v>
      </c>
      <c r="E3683" s="2">
        <f t="shared" si="57"/>
        <v>31.849664351837419</v>
      </c>
    </row>
    <row r="3684" spans="1:5" x14ac:dyDescent="0.25">
      <c r="A3684" t="s">
        <v>5</v>
      </c>
      <c r="B3684" t="s">
        <v>8</v>
      </c>
      <c r="C3684" s="1">
        <v>45715.841666666667</v>
      </c>
      <c r="D3684" s="1">
        <v>45741.816666666673</v>
      </c>
      <c r="E3684" s="2">
        <f t="shared" si="57"/>
        <v>25.975000000005821</v>
      </c>
    </row>
    <row r="3685" spans="1:5" x14ac:dyDescent="0.25">
      <c r="A3685" t="s">
        <v>5</v>
      </c>
      <c r="B3685" t="s">
        <v>8</v>
      </c>
      <c r="C3685" s="1">
        <v>46144.320833333331</v>
      </c>
      <c r="D3685" s="1">
        <v>46174.830555555563</v>
      </c>
      <c r="E3685" s="2">
        <f t="shared" si="57"/>
        <v>30.509722222232085</v>
      </c>
    </row>
    <row r="3686" spans="1:5" x14ac:dyDescent="0.25">
      <c r="A3686" t="s">
        <v>5</v>
      </c>
      <c r="B3686" t="s">
        <v>8</v>
      </c>
      <c r="C3686" s="1">
        <v>46236.147800925923</v>
      </c>
      <c r="D3686" s="1">
        <v>46258.286412037043</v>
      </c>
      <c r="E3686" s="2">
        <f t="shared" si="57"/>
        <v>22.138611111120554</v>
      </c>
    </row>
    <row r="3687" spans="1:5" x14ac:dyDescent="0.25">
      <c r="A3687" t="s">
        <v>5</v>
      </c>
      <c r="B3687" t="s">
        <v>8</v>
      </c>
      <c r="C3687" s="1">
        <v>45681.762499999997</v>
      </c>
      <c r="D3687" s="1">
        <v>45706.871527777781</v>
      </c>
      <c r="E3687" s="2">
        <f t="shared" si="57"/>
        <v>25.109027777783922</v>
      </c>
    </row>
    <row r="3688" spans="1:5" x14ac:dyDescent="0.25">
      <c r="A3688" t="s">
        <v>5</v>
      </c>
      <c r="B3688" t="s">
        <v>8</v>
      </c>
      <c r="C3688" s="1">
        <v>45735.674305555563</v>
      </c>
      <c r="D3688" s="1">
        <v>45764.537499999999</v>
      </c>
      <c r="E3688" s="2">
        <f t="shared" si="57"/>
        <v>28.863194444435067</v>
      </c>
    </row>
    <row r="3689" spans="1:5" x14ac:dyDescent="0.25">
      <c r="A3689" t="s">
        <v>5</v>
      </c>
      <c r="B3689" t="s">
        <v>8</v>
      </c>
      <c r="C3689" s="1">
        <v>45735.674305555563</v>
      </c>
      <c r="D3689" s="1">
        <v>45764.537499999999</v>
      </c>
      <c r="E3689" s="2">
        <f t="shared" si="57"/>
        <v>28.863194444435067</v>
      </c>
    </row>
    <row r="3690" spans="1:5" x14ac:dyDescent="0.25">
      <c r="A3690" t="s">
        <v>5</v>
      </c>
      <c r="B3690" t="s">
        <v>8</v>
      </c>
      <c r="C3690" s="1">
        <v>45707.716666666667</v>
      </c>
      <c r="D3690" s="1">
        <v>45734.852777777778</v>
      </c>
      <c r="E3690" s="2">
        <f t="shared" si="57"/>
        <v>27.136111111110949</v>
      </c>
    </row>
    <row r="3691" spans="1:5" x14ac:dyDescent="0.25">
      <c r="A3691" t="s">
        <v>5</v>
      </c>
      <c r="B3691" t="s">
        <v>8</v>
      </c>
      <c r="C3691" s="1">
        <v>46194.835023148153</v>
      </c>
      <c r="D3691" s="1">
        <v>46216.121527777781</v>
      </c>
      <c r="E3691" s="2">
        <f t="shared" si="57"/>
        <v>21.286504629628325</v>
      </c>
    </row>
    <row r="3692" spans="1:5" x14ac:dyDescent="0.25">
      <c r="A3692" t="s">
        <v>5</v>
      </c>
      <c r="B3692" t="s">
        <v>8</v>
      </c>
      <c r="C3692" s="1">
        <v>45707.758333333331</v>
      </c>
      <c r="D3692" s="1">
        <v>45734.852777777778</v>
      </c>
      <c r="E3692" s="2">
        <f t="shared" si="57"/>
        <v>27.094444444446708</v>
      </c>
    </row>
    <row r="3693" spans="1:5" x14ac:dyDescent="0.25">
      <c r="A3693" t="s">
        <v>5</v>
      </c>
      <c r="B3693" t="s">
        <v>8</v>
      </c>
      <c r="C3693" s="1">
        <v>45659.054166666669</v>
      </c>
      <c r="D3693" s="1">
        <v>45685.674305555563</v>
      </c>
      <c r="E3693" s="2">
        <f t="shared" si="57"/>
        <v>26.620138888894871</v>
      </c>
    </row>
    <row r="3694" spans="1:5" x14ac:dyDescent="0.25">
      <c r="A3694" t="s">
        <v>5</v>
      </c>
      <c r="B3694" t="s">
        <v>8</v>
      </c>
      <c r="C3694" s="1">
        <v>46169.74722222222</v>
      </c>
      <c r="D3694" s="1">
        <v>46195.515729166669</v>
      </c>
      <c r="E3694" s="2">
        <f t="shared" si="57"/>
        <v>25.768506944448745</v>
      </c>
    </row>
    <row r="3695" spans="1:5" x14ac:dyDescent="0.25">
      <c r="A3695" t="s">
        <v>5</v>
      </c>
      <c r="B3695" t="s">
        <v>8</v>
      </c>
      <c r="C3695" s="1">
        <v>45750.73333333333</v>
      </c>
      <c r="D3695" s="1">
        <v>45782.671527777777</v>
      </c>
      <c r="E3695" s="2">
        <f t="shared" si="57"/>
        <v>31.938194444446708</v>
      </c>
    </row>
    <row r="3696" spans="1:5" x14ac:dyDescent="0.25">
      <c r="A3696" t="s">
        <v>5</v>
      </c>
      <c r="B3696" t="s">
        <v>8</v>
      </c>
      <c r="C3696" s="1">
        <v>45707.716666666667</v>
      </c>
      <c r="D3696" s="1">
        <v>45734.840219907397</v>
      </c>
      <c r="E3696" s="2">
        <f t="shared" si="57"/>
        <v>27.123553240729962</v>
      </c>
    </row>
    <row r="3697" spans="1:5" x14ac:dyDescent="0.25">
      <c r="A3697" t="s">
        <v>5</v>
      </c>
      <c r="B3697" t="s">
        <v>8</v>
      </c>
      <c r="C3697" s="1">
        <v>45695.8125</v>
      </c>
      <c r="D3697" s="1">
        <v>45724.874305555553</v>
      </c>
      <c r="E3697" s="2">
        <f t="shared" si="57"/>
        <v>29.061805555553292</v>
      </c>
    </row>
    <row r="3698" spans="1:5" x14ac:dyDescent="0.25">
      <c r="A3698" t="s">
        <v>5</v>
      </c>
      <c r="B3698" t="s">
        <v>8</v>
      </c>
      <c r="C3698" s="1">
        <v>46194.835023148153</v>
      </c>
      <c r="D3698" s="1">
        <v>46216.121527777781</v>
      </c>
      <c r="E3698" s="2">
        <f t="shared" si="57"/>
        <v>21.286504629628325</v>
      </c>
    </row>
    <row r="3699" spans="1:5" x14ac:dyDescent="0.25">
      <c r="A3699" t="s">
        <v>5</v>
      </c>
      <c r="B3699" t="s">
        <v>8</v>
      </c>
      <c r="C3699" s="1">
        <v>45722.095833333333</v>
      </c>
      <c r="D3699" s="1">
        <v>45749.925694444442</v>
      </c>
      <c r="E3699" s="2">
        <f t="shared" si="57"/>
        <v>27.829861111109494</v>
      </c>
    </row>
    <row r="3700" spans="1:5" x14ac:dyDescent="0.25">
      <c r="A3700" t="s">
        <v>5</v>
      </c>
      <c r="B3700" t="s">
        <v>8</v>
      </c>
      <c r="C3700" s="1">
        <v>46144.330104166656</v>
      </c>
      <c r="D3700" s="1">
        <v>46174.830555555563</v>
      </c>
      <c r="E3700" s="2">
        <f t="shared" si="57"/>
        <v>30.500451388907095</v>
      </c>
    </row>
    <row r="3701" spans="1:5" x14ac:dyDescent="0.25">
      <c r="A3701" t="s">
        <v>5</v>
      </c>
      <c r="B3701" t="s">
        <v>8</v>
      </c>
      <c r="C3701" s="1">
        <v>45750.686111111107</v>
      </c>
      <c r="D3701" s="1">
        <v>45782.671527777777</v>
      </c>
      <c r="E3701" s="2">
        <f t="shared" si="57"/>
        <v>31.985416666670062</v>
      </c>
    </row>
    <row r="3702" spans="1:5" x14ac:dyDescent="0.25">
      <c r="A3702" t="s">
        <v>5</v>
      </c>
      <c r="B3702" t="s">
        <v>8</v>
      </c>
      <c r="C3702" s="1">
        <v>45750.686111111107</v>
      </c>
      <c r="D3702" s="1">
        <v>45782.683333333327</v>
      </c>
      <c r="E3702" s="2">
        <f t="shared" si="57"/>
        <v>31.997222222220444</v>
      </c>
    </row>
    <row r="3703" spans="1:5" x14ac:dyDescent="0.25">
      <c r="A3703" t="s">
        <v>5</v>
      </c>
      <c r="B3703" t="s">
        <v>8</v>
      </c>
      <c r="C3703" s="1">
        <v>45695.8125</v>
      </c>
      <c r="D3703" s="1">
        <v>45724.874305555553</v>
      </c>
      <c r="E3703" s="2">
        <f t="shared" si="57"/>
        <v>29.061805555553292</v>
      </c>
    </row>
    <row r="3704" spans="1:5" x14ac:dyDescent="0.25">
      <c r="A3704" t="s">
        <v>5</v>
      </c>
      <c r="B3704" t="s">
        <v>8</v>
      </c>
      <c r="C3704" s="1">
        <v>45715.888888888891</v>
      </c>
      <c r="D3704" s="1">
        <v>45741.816666666673</v>
      </c>
      <c r="E3704" s="2">
        <f t="shared" si="57"/>
        <v>25.927777777782467</v>
      </c>
    </row>
    <row r="3705" spans="1:5" x14ac:dyDescent="0.25">
      <c r="A3705" t="s">
        <v>5</v>
      </c>
      <c r="B3705" t="s">
        <v>8</v>
      </c>
      <c r="C3705" s="1">
        <v>45671.125</v>
      </c>
      <c r="D3705" s="1">
        <v>45697.265277777777</v>
      </c>
      <c r="E3705" s="2">
        <f t="shared" si="57"/>
        <v>26.140277777776646</v>
      </c>
    </row>
    <row r="3706" spans="1:5" x14ac:dyDescent="0.25">
      <c r="A3706" t="s">
        <v>5</v>
      </c>
      <c r="B3706" t="s">
        <v>8</v>
      </c>
      <c r="C3706" s="1">
        <v>45707.758333333331</v>
      </c>
      <c r="D3706" s="1">
        <v>45734.852777777778</v>
      </c>
      <c r="E3706" s="2">
        <f t="shared" si="57"/>
        <v>27.094444444446708</v>
      </c>
    </row>
    <row r="3707" spans="1:5" x14ac:dyDescent="0.25">
      <c r="A3707" t="s">
        <v>5</v>
      </c>
      <c r="B3707" t="s">
        <v>8</v>
      </c>
      <c r="C3707" s="1">
        <v>45681.762499999997</v>
      </c>
      <c r="D3707" s="1">
        <v>45706.871527777781</v>
      </c>
      <c r="E3707" s="2">
        <f t="shared" si="57"/>
        <v>25.109027777783922</v>
      </c>
    </row>
    <row r="3708" spans="1:5" x14ac:dyDescent="0.25">
      <c r="A3708" t="s">
        <v>5</v>
      </c>
      <c r="B3708" t="s">
        <v>8</v>
      </c>
      <c r="C3708" s="1">
        <v>45707.716666666667</v>
      </c>
      <c r="D3708" s="1">
        <v>45734.852777777778</v>
      </c>
      <c r="E3708" s="2">
        <f t="shared" si="57"/>
        <v>27.136111111110949</v>
      </c>
    </row>
    <row r="3709" spans="1:5" x14ac:dyDescent="0.25">
      <c r="A3709" t="s">
        <v>5</v>
      </c>
      <c r="B3709" t="s">
        <v>8</v>
      </c>
      <c r="C3709" s="1">
        <v>45735.674305555563</v>
      </c>
      <c r="D3709" s="1">
        <v>45764.537499999999</v>
      </c>
      <c r="E3709" s="2">
        <f t="shared" si="57"/>
        <v>28.863194444435067</v>
      </c>
    </row>
    <row r="3710" spans="1:5" x14ac:dyDescent="0.25">
      <c r="A3710" t="s">
        <v>5</v>
      </c>
      <c r="B3710" t="s">
        <v>8</v>
      </c>
      <c r="C3710" s="1">
        <v>45671.125</v>
      </c>
      <c r="D3710" s="1">
        <v>45697.265277777777</v>
      </c>
      <c r="E3710" s="2">
        <f t="shared" si="57"/>
        <v>26.140277777776646</v>
      </c>
    </row>
    <row r="3711" spans="1:5" x14ac:dyDescent="0.25">
      <c r="A3711" t="s">
        <v>5</v>
      </c>
      <c r="B3711" t="s">
        <v>8</v>
      </c>
      <c r="C3711" s="1">
        <v>45777.362500000003</v>
      </c>
      <c r="D3711" s="1">
        <v>45808.425081018519</v>
      </c>
      <c r="E3711" s="2">
        <f t="shared" si="57"/>
        <v>31.06258101851563</v>
      </c>
    </row>
    <row r="3712" spans="1:5" x14ac:dyDescent="0.25">
      <c r="A3712" t="s">
        <v>5</v>
      </c>
      <c r="B3712" t="s">
        <v>8</v>
      </c>
      <c r="C3712" s="1">
        <v>45659.054166666669</v>
      </c>
      <c r="D3712" s="1">
        <v>45685.674305555563</v>
      </c>
      <c r="E3712" s="2">
        <f t="shared" si="57"/>
        <v>26.620138888894871</v>
      </c>
    </row>
    <row r="3713" spans="1:5" x14ac:dyDescent="0.25">
      <c r="A3713" t="s">
        <v>5</v>
      </c>
      <c r="B3713" t="s">
        <v>8</v>
      </c>
      <c r="C3713" s="1">
        <v>46144.320833333331</v>
      </c>
      <c r="D3713" s="1">
        <v>46174.822662037041</v>
      </c>
      <c r="E3713" s="2">
        <f t="shared" si="57"/>
        <v>30.50182870370918</v>
      </c>
    </row>
    <row r="3714" spans="1:5" x14ac:dyDescent="0.25">
      <c r="A3714" t="s">
        <v>5</v>
      </c>
      <c r="B3714" t="s">
        <v>8</v>
      </c>
      <c r="C3714" s="1">
        <v>45671.125</v>
      </c>
      <c r="D3714" s="1">
        <v>45697.265277777777</v>
      </c>
      <c r="E3714" s="2">
        <f t="shared" ref="E3714:E3777" si="58">D3714-C3714</f>
        <v>26.140277777776646</v>
      </c>
    </row>
    <row r="3715" spans="1:5" x14ac:dyDescent="0.25">
      <c r="A3715" t="s">
        <v>5</v>
      </c>
      <c r="B3715" t="s">
        <v>8</v>
      </c>
      <c r="C3715" s="1">
        <v>45701.708333333343</v>
      </c>
      <c r="D3715" s="1">
        <v>45730.222719907397</v>
      </c>
      <c r="E3715" s="2">
        <f t="shared" si="58"/>
        <v>28.514386574053788</v>
      </c>
    </row>
    <row r="3716" spans="1:5" x14ac:dyDescent="0.25">
      <c r="A3716" t="s">
        <v>5</v>
      </c>
      <c r="B3716" t="s">
        <v>8</v>
      </c>
      <c r="C3716" s="1">
        <v>45715.841666666667</v>
      </c>
      <c r="D3716" s="1">
        <v>45741.816666666673</v>
      </c>
      <c r="E3716" s="2">
        <f t="shared" si="58"/>
        <v>25.975000000005821</v>
      </c>
    </row>
    <row r="3717" spans="1:5" x14ac:dyDescent="0.25">
      <c r="A3717" t="s">
        <v>5</v>
      </c>
      <c r="B3717" t="s">
        <v>8</v>
      </c>
      <c r="C3717" s="1">
        <v>45674.279166666667</v>
      </c>
      <c r="D3717" s="1">
        <v>45702.654166666667</v>
      </c>
      <c r="E3717" s="2">
        <f t="shared" si="58"/>
        <v>28.375</v>
      </c>
    </row>
    <row r="3718" spans="1:5" x14ac:dyDescent="0.25">
      <c r="A3718" t="s">
        <v>23</v>
      </c>
      <c r="B3718" t="s">
        <v>12</v>
      </c>
      <c r="C3718" s="1">
        <v>46190.25</v>
      </c>
      <c r="D3718" s="1">
        <v>46208.613194444442</v>
      </c>
      <c r="E3718" s="2">
        <f t="shared" si="58"/>
        <v>18.363194444442343</v>
      </c>
    </row>
    <row r="3719" spans="1:5" x14ac:dyDescent="0.25">
      <c r="A3719" t="s">
        <v>5</v>
      </c>
      <c r="B3719" t="s">
        <v>8</v>
      </c>
      <c r="C3719" s="1">
        <v>46159.081250000003</v>
      </c>
      <c r="D3719" s="1">
        <v>46181.674976851849</v>
      </c>
      <c r="E3719" s="2">
        <f t="shared" si="58"/>
        <v>22.593726851846441</v>
      </c>
    </row>
    <row r="3720" spans="1:5" x14ac:dyDescent="0.25">
      <c r="A3720" t="s">
        <v>5</v>
      </c>
      <c r="B3720" t="s">
        <v>8</v>
      </c>
      <c r="C3720" s="1">
        <v>45707.716666666667</v>
      </c>
      <c r="D3720" s="1">
        <v>45734.840219907397</v>
      </c>
      <c r="E3720" s="2">
        <f t="shared" si="58"/>
        <v>27.123553240729962</v>
      </c>
    </row>
    <row r="3721" spans="1:5" x14ac:dyDescent="0.25">
      <c r="A3721" t="s">
        <v>5</v>
      </c>
      <c r="B3721" t="s">
        <v>8</v>
      </c>
      <c r="C3721" s="1">
        <v>45722.095833333333</v>
      </c>
      <c r="D3721" s="1">
        <v>45749.925694444442</v>
      </c>
      <c r="E3721" s="2">
        <f t="shared" si="58"/>
        <v>27.829861111109494</v>
      </c>
    </row>
    <row r="3722" spans="1:5" x14ac:dyDescent="0.25">
      <c r="A3722" t="s">
        <v>12</v>
      </c>
      <c r="B3722" t="s">
        <v>14</v>
      </c>
      <c r="C3722" s="1">
        <v>46065.768750000003</v>
      </c>
      <c r="D3722" s="1">
        <v>46134.822222222218</v>
      </c>
      <c r="E3722" s="2">
        <f t="shared" si="58"/>
        <v>69.053472222214623</v>
      </c>
    </row>
    <row r="3723" spans="1:5" x14ac:dyDescent="0.25">
      <c r="A3723" t="s">
        <v>23</v>
      </c>
      <c r="B3723" t="s">
        <v>12</v>
      </c>
      <c r="C3723" s="1">
        <v>46201.458333333343</v>
      </c>
      <c r="D3723" s="1">
        <v>46214.934027777781</v>
      </c>
      <c r="E3723" s="2">
        <f t="shared" si="58"/>
        <v>13.475694444437977</v>
      </c>
    </row>
    <row r="3724" spans="1:5" x14ac:dyDescent="0.25">
      <c r="A3724" t="s">
        <v>5</v>
      </c>
      <c r="B3724" t="s">
        <v>8</v>
      </c>
      <c r="C3724" s="1">
        <v>46159.081250000003</v>
      </c>
      <c r="D3724" s="1">
        <v>46181.674976851849</v>
      </c>
      <c r="E3724" s="2">
        <f t="shared" si="58"/>
        <v>22.593726851846441</v>
      </c>
    </row>
    <row r="3725" spans="1:5" x14ac:dyDescent="0.25">
      <c r="A3725" t="s">
        <v>23</v>
      </c>
      <c r="B3725" t="s">
        <v>12</v>
      </c>
      <c r="C3725" s="1">
        <v>46175.835416666669</v>
      </c>
      <c r="D3725" s="1">
        <v>46185.486111111109</v>
      </c>
      <c r="E3725" s="2">
        <f t="shared" si="58"/>
        <v>9.6506944444408873</v>
      </c>
    </row>
    <row r="3726" spans="1:5" x14ac:dyDescent="0.25">
      <c r="A3726" t="s">
        <v>5</v>
      </c>
      <c r="B3726" t="s">
        <v>8</v>
      </c>
      <c r="C3726" s="1">
        <v>45671.125</v>
      </c>
      <c r="D3726" s="1">
        <v>45697.265277777777</v>
      </c>
      <c r="E3726" s="2">
        <f t="shared" si="58"/>
        <v>26.140277777776646</v>
      </c>
    </row>
    <row r="3727" spans="1:5" x14ac:dyDescent="0.25">
      <c r="A3727" t="s">
        <v>5</v>
      </c>
      <c r="B3727" t="s">
        <v>55</v>
      </c>
      <c r="C3727" s="1">
        <v>45750.691666666673</v>
      </c>
      <c r="D3727" s="1">
        <v>45783.80972222222</v>
      </c>
      <c r="E3727" s="2">
        <f t="shared" si="58"/>
        <v>33.118055555547471</v>
      </c>
    </row>
    <row r="3728" spans="1:5" x14ac:dyDescent="0.25">
      <c r="A3728" t="s">
        <v>23</v>
      </c>
      <c r="B3728" t="s">
        <v>24</v>
      </c>
      <c r="C3728" s="1">
        <v>46157.916666666657</v>
      </c>
      <c r="D3728" s="1">
        <v>46245.729120370372</v>
      </c>
      <c r="E3728" s="2">
        <f t="shared" si="58"/>
        <v>87.812453703714709</v>
      </c>
    </row>
    <row r="3729" spans="1:5" x14ac:dyDescent="0.25">
      <c r="A3729" t="s">
        <v>5</v>
      </c>
      <c r="B3729" t="s">
        <v>8</v>
      </c>
      <c r="C3729" s="1">
        <v>46244.739722222221</v>
      </c>
      <c r="D3729" s="1">
        <v>46272.206944444442</v>
      </c>
      <c r="E3729" s="2">
        <f t="shared" si="58"/>
        <v>27.467222222221608</v>
      </c>
    </row>
    <row r="3730" spans="1:5" x14ac:dyDescent="0.25">
      <c r="A3730" t="s">
        <v>5</v>
      </c>
      <c r="B3730" t="s">
        <v>8</v>
      </c>
      <c r="C3730" s="1">
        <v>45695.8125</v>
      </c>
      <c r="D3730" s="1">
        <v>45724.874305555553</v>
      </c>
      <c r="E3730" s="2">
        <f t="shared" si="58"/>
        <v>29.061805555553292</v>
      </c>
    </row>
    <row r="3731" spans="1:5" x14ac:dyDescent="0.25">
      <c r="A3731" t="s">
        <v>5</v>
      </c>
      <c r="B3731" t="s">
        <v>8</v>
      </c>
      <c r="C3731" s="1">
        <v>45745.883333333331</v>
      </c>
      <c r="D3731" s="1">
        <v>45775.742037037038</v>
      </c>
      <c r="E3731" s="2">
        <f t="shared" si="58"/>
        <v>29.858703703706851</v>
      </c>
    </row>
    <row r="3732" spans="1:5" x14ac:dyDescent="0.25">
      <c r="A3732" t="s">
        <v>5</v>
      </c>
      <c r="B3732" t="s">
        <v>8</v>
      </c>
      <c r="C3732" s="1">
        <v>45659.054166666669</v>
      </c>
      <c r="D3732" s="1">
        <v>45685.674305555563</v>
      </c>
      <c r="E3732" s="2">
        <f t="shared" si="58"/>
        <v>26.620138888894871</v>
      </c>
    </row>
    <row r="3733" spans="1:5" x14ac:dyDescent="0.25">
      <c r="A3733" t="s">
        <v>5</v>
      </c>
      <c r="B3733" t="s">
        <v>8</v>
      </c>
      <c r="C3733" s="1">
        <v>45731.86041666667</v>
      </c>
      <c r="D3733" s="1">
        <v>45761.405555555553</v>
      </c>
      <c r="E3733" s="2">
        <f t="shared" si="58"/>
        <v>29.54513888888323</v>
      </c>
    </row>
    <row r="3734" spans="1:5" x14ac:dyDescent="0.25">
      <c r="A3734" t="s">
        <v>5</v>
      </c>
      <c r="B3734" t="s">
        <v>8</v>
      </c>
      <c r="C3734" s="1">
        <v>45722.095833333333</v>
      </c>
      <c r="D3734" s="1">
        <v>45749.925694444442</v>
      </c>
      <c r="E3734" s="2">
        <f t="shared" si="58"/>
        <v>27.829861111109494</v>
      </c>
    </row>
    <row r="3735" spans="1:5" x14ac:dyDescent="0.25">
      <c r="A3735" t="s">
        <v>5</v>
      </c>
      <c r="B3735" t="s">
        <v>8</v>
      </c>
      <c r="C3735" s="1">
        <v>46169.74722222222</v>
      </c>
      <c r="D3735" s="1">
        <v>46195.520138888889</v>
      </c>
      <c r="E3735" s="2">
        <f t="shared" si="58"/>
        <v>25.772916666668607</v>
      </c>
    </row>
    <row r="3736" spans="1:5" x14ac:dyDescent="0.25">
      <c r="A3736" t="s">
        <v>5</v>
      </c>
      <c r="B3736" t="s">
        <v>8</v>
      </c>
      <c r="C3736" s="1">
        <v>46244.724305555559</v>
      </c>
      <c r="D3736" s="1">
        <v>46272.206944444442</v>
      </c>
      <c r="E3736" s="2">
        <f t="shared" si="58"/>
        <v>27.48263888888323</v>
      </c>
    </row>
    <row r="3737" spans="1:5" x14ac:dyDescent="0.25">
      <c r="A3737" t="s">
        <v>5</v>
      </c>
      <c r="B3737" t="s">
        <v>8</v>
      </c>
      <c r="C3737" s="1">
        <v>45750.686111111107</v>
      </c>
      <c r="D3737" s="1">
        <v>45782.671527777777</v>
      </c>
      <c r="E3737" s="2">
        <f t="shared" si="58"/>
        <v>31.985416666670062</v>
      </c>
    </row>
    <row r="3738" spans="1:5" x14ac:dyDescent="0.25">
      <c r="A3738" t="s">
        <v>5</v>
      </c>
      <c r="B3738" t="s">
        <v>8</v>
      </c>
      <c r="C3738" s="1">
        <v>45674.279166666667</v>
      </c>
      <c r="D3738" s="1">
        <v>45702.654166666667</v>
      </c>
      <c r="E3738" s="2">
        <f t="shared" si="58"/>
        <v>28.375</v>
      </c>
    </row>
    <row r="3739" spans="1:5" x14ac:dyDescent="0.25">
      <c r="A3739" t="s">
        <v>5</v>
      </c>
      <c r="B3739" t="s">
        <v>8</v>
      </c>
      <c r="C3739" s="1">
        <v>45735.674305555563</v>
      </c>
      <c r="D3739" s="1">
        <v>45764.537499999999</v>
      </c>
      <c r="E3739" s="2">
        <f t="shared" si="58"/>
        <v>28.863194444435067</v>
      </c>
    </row>
    <row r="3740" spans="1:5" x14ac:dyDescent="0.25">
      <c r="A3740" t="s">
        <v>5</v>
      </c>
      <c r="B3740" t="s">
        <v>8</v>
      </c>
      <c r="C3740" s="1">
        <v>46244.724305555559</v>
      </c>
      <c r="D3740" s="1">
        <v>46272.206944444442</v>
      </c>
      <c r="E3740" s="2">
        <f t="shared" si="58"/>
        <v>27.48263888888323</v>
      </c>
    </row>
    <row r="3741" spans="1:5" x14ac:dyDescent="0.25">
      <c r="A3741" t="s">
        <v>5</v>
      </c>
      <c r="B3741" t="s">
        <v>8</v>
      </c>
      <c r="C3741" s="1">
        <v>45777.362500000003</v>
      </c>
      <c r="D3741" s="1">
        <v>45808.435416666667</v>
      </c>
      <c r="E3741" s="2">
        <f t="shared" si="58"/>
        <v>31.072916666664241</v>
      </c>
    </row>
    <row r="3742" spans="1:5" x14ac:dyDescent="0.25">
      <c r="A3742" t="s">
        <v>5</v>
      </c>
      <c r="B3742" t="s">
        <v>8</v>
      </c>
      <c r="C3742" s="1">
        <v>45707.716666666667</v>
      </c>
      <c r="D3742" s="1">
        <v>45734.840219907397</v>
      </c>
      <c r="E3742" s="2">
        <f t="shared" si="58"/>
        <v>27.123553240729962</v>
      </c>
    </row>
    <row r="3743" spans="1:5" x14ac:dyDescent="0.25">
      <c r="A3743" t="s">
        <v>5</v>
      </c>
      <c r="B3743" t="s">
        <v>8</v>
      </c>
      <c r="C3743" s="1">
        <v>45777.411111111112</v>
      </c>
      <c r="D3743" s="1">
        <v>45808.435416666667</v>
      </c>
      <c r="E3743" s="2">
        <f t="shared" si="58"/>
        <v>31.024305555554747</v>
      </c>
    </row>
    <row r="3744" spans="1:5" x14ac:dyDescent="0.25">
      <c r="A3744" t="s">
        <v>5</v>
      </c>
      <c r="B3744" t="s">
        <v>8</v>
      </c>
      <c r="C3744" s="1">
        <v>45707.716666666667</v>
      </c>
      <c r="D3744" s="1">
        <v>45734.852777777778</v>
      </c>
      <c r="E3744" s="2">
        <f t="shared" si="58"/>
        <v>27.136111111110949</v>
      </c>
    </row>
    <row r="3745" spans="1:5" x14ac:dyDescent="0.25">
      <c r="A3745" t="s">
        <v>5</v>
      </c>
      <c r="B3745" t="s">
        <v>8</v>
      </c>
      <c r="C3745" s="1">
        <v>45777.362500000003</v>
      </c>
      <c r="D3745" s="1">
        <v>45808.435416666667</v>
      </c>
      <c r="E3745" s="2">
        <f t="shared" si="58"/>
        <v>31.072916666664241</v>
      </c>
    </row>
    <row r="3746" spans="1:5" x14ac:dyDescent="0.25">
      <c r="A3746" t="s">
        <v>5</v>
      </c>
      <c r="B3746" t="s">
        <v>8</v>
      </c>
      <c r="C3746" s="1">
        <v>45750.686111111107</v>
      </c>
      <c r="D3746" s="1">
        <v>45782.671527777777</v>
      </c>
      <c r="E3746" s="2">
        <f t="shared" si="58"/>
        <v>31.985416666670062</v>
      </c>
    </row>
    <row r="3747" spans="1:5" x14ac:dyDescent="0.25">
      <c r="A3747" t="s">
        <v>5</v>
      </c>
      <c r="B3747" t="s">
        <v>8</v>
      </c>
      <c r="C3747" s="1">
        <v>46115.977094907408</v>
      </c>
      <c r="D3747" s="1">
        <v>46139.37164351852</v>
      </c>
      <c r="E3747" s="2">
        <f t="shared" si="58"/>
        <v>23.394548611111531</v>
      </c>
    </row>
    <row r="3748" spans="1:5" x14ac:dyDescent="0.25">
      <c r="A3748" t="s">
        <v>5</v>
      </c>
      <c r="B3748" t="s">
        <v>8</v>
      </c>
      <c r="C3748" s="1">
        <v>45715.841666666667</v>
      </c>
      <c r="D3748" s="1">
        <v>45741.816666666673</v>
      </c>
      <c r="E3748" s="2">
        <f t="shared" si="58"/>
        <v>25.975000000005821</v>
      </c>
    </row>
    <row r="3749" spans="1:5" x14ac:dyDescent="0.25">
      <c r="A3749" t="s">
        <v>5</v>
      </c>
      <c r="B3749" t="s">
        <v>8</v>
      </c>
      <c r="C3749" s="1">
        <v>46191.063888888893</v>
      </c>
      <c r="D3749" s="1">
        <v>46214.830520833333</v>
      </c>
      <c r="E3749" s="2">
        <f t="shared" si="58"/>
        <v>23.766631944439723</v>
      </c>
    </row>
    <row r="3750" spans="1:5" x14ac:dyDescent="0.25">
      <c r="A3750" t="s">
        <v>5</v>
      </c>
      <c r="B3750" t="s">
        <v>8</v>
      </c>
      <c r="C3750" s="1">
        <v>46144.330104166656</v>
      </c>
      <c r="D3750" s="1">
        <v>46174.830555555563</v>
      </c>
      <c r="E3750" s="2">
        <f t="shared" si="58"/>
        <v>30.500451388907095</v>
      </c>
    </row>
    <row r="3751" spans="1:5" x14ac:dyDescent="0.25">
      <c r="A3751" t="s">
        <v>5</v>
      </c>
      <c r="B3751" t="s">
        <v>55</v>
      </c>
      <c r="C3751" s="1">
        <v>45745.952974537038</v>
      </c>
      <c r="D3751" s="1">
        <v>45776.92083333333</v>
      </c>
      <c r="E3751" s="2">
        <f t="shared" si="58"/>
        <v>30.967858796291694</v>
      </c>
    </row>
    <row r="3752" spans="1:5" x14ac:dyDescent="0.25">
      <c r="A3752" t="s">
        <v>5</v>
      </c>
      <c r="B3752" t="s">
        <v>8</v>
      </c>
      <c r="C3752" s="1">
        <v>45777.362500000003</v>
      </c>
      <c r="D3752" s="1">
        <v>45808.425081018519</v>
      </c>
      <c r="E3752" s="2">
        <f t="shared" si="58"/>
        <v>31.06258101851563</v>
      </c>
    </row>
    <row r="3753" spans="1:5" x14ac:dyDescent="0.25">
      <c r="A3753" t="s">
        <v>5</v>
      </c>
      <c r="B3753" t="s">
        <v>8</v>
      </c>
      <c r="C3753" s="1">
        <v>45707.716666666667</v>
      </c>
      <c r="D3753" s="1">
        <v>45734.840219907397</v>
      </c>
      <c r="E3753" s="2">
        <f t="shared" si="58"/>
        <v>27.123553240729962</v>
      </c>
    </row>
    <row r="3754" spans="1:5" x14ac:dyDescent="0.25">
      <c r="A3754" t="s">
        <v>5</v>
      </c>
      <c r="B3754" t="s">
        <v>8</v>
      </c>
      <c r="C3754" s="1">
        <v>46169.74722222222</v>
      </c>
      <c r="D3754" s="1">
        <v>46195.520138888889</v>
      </c>
      <c r="E3754" s="2">
        <f t="shared" si="58"/>
        <v>25.772916666668607</v>
      </c>
    </row>
    <row r="3755" spans="1:5" x14ac:dyDescent="0.25">
      <c r="A3755" t="s">
        <v>5</v>
      </c>
      <c r="B3755" t="s">
        <v>8</v>
      </c>
      <c r="C3755" s="1">
        <v>45722.095833333333</v>
      </c>
      <c r="D3755" s="1">
        <v>45749.925694444442</v>
      </c>
      <c r="E3755" s="2">
        <f t="shared" si="58"/>
        <v>27.829861111109494</v>
      </c>
    </row>
    <row r="3756" spans="1:5" x14ac:dyDescent="0.25">
      <c r="A3756" t="s">
        <v>5</v>
      </c>
      <c r="B3756" t="s">
        <v>8</v>
      </c>
      <c r="C3756" s="1">
        <v>46194.835023148153</v>
      </c>
      <c r="D3756" s="1">
        <v>46216.121886574067</v>
      </c>
      <c r="E3756" s="2">
        <f t="shared" si="58"/>
        <v>21.286863425913907</v>
      </c>
    </row>
    <row r="3757" spans="1:5" x14ac:dyDescent="0.25">
      <c r="A3757" t="s">
        <v>5</v>
      </c>
      <c r="B3757" t="s">
        <v>8</v>
      </c>
      <c r="C3757" s="1">
        <v>45707.716666666667</v>
      </c>
      <c r="D3757" s="1">
        <v>45734.840219907397</v>
      </c>
      <c r="E3757" s="2">
        <f t="shared" si="58"/>
        <v>27.123553240729962</v>
      </c>
    </row>
    <row r="3758" spans="1:5" x14ac:dyDescent="0.25">
      <c r="A3758" t="s">
        <v>5</v>
      </c>
      <c r="B3758" t="s">
        <v>8</v>
      </c>
      <c r="C3758" s="1">
        <v>46144.330104166656</v>
      </c>
      <c r="D3758" s="1">
        <v>46174.830555555563</v>
      </c>
      <c r="E3758" s="2">
        <f t="shared" si="58"/>
        <v>30.500451388907095</v>
      </c>
    </row>
    <row r="3759" spans="1:5" x14ac:dyDescent="0.25">
      <c r="A3759" t="s">
        <v>5</v>
      </c>
      <c r="B3759" t="s">
        <v>8</v>
      </c>
      <c r="C3759" s="1">
        <v>46159.081250000003</v>
      </c>
      <c r="D3759" s="1">
        <v>46181.674305555563</v>
      </c>
      <c r="E3759" s="2">
        <f t="shared" si="58"/>
        <v>22.593055555560568</v>
      </c>
    </row>
    <row r="3760" spans="1:5" x14ac:dyDescent="0.25">
      <c r="A3760" t="s">
        <v>5</v>
      </c>
      <c r="B3760" t="s">
        <v>8</v>
      </c>
      <c r="C3760" s="1">
        <v>45722.095833333333</v>
      </c>
      <c r="D3760" s="1">
        <v>45749.925694444442</v>
      </c>
      <c r="E3760" s="2">
        <f t="shared" si="58"/>
        <v>27.829861111109494</v>
      </c>
    </row>
    <row r="3761" spans="1:5" x14ac:dyDescent="0.25">
      <c r="A3761" t="s">
        <v>5</v>
      </c>
      <c r="B3761" t="s">
        <v>8</v>
      </c>
      <c r="C3761" s="1">
        <v>45707.716666666667</v>
      </c>
      <c r="D3761" s="1">
        <v>45734.840219907397</v>
      </c>
      <c r="E3761" s="2">
        <f t="shared" si="58"/>
        <v>27.123553240729962</v>
      </c>
    </row>
    <row r="3762" spans="1:5" x14ac:dyDescent="0.25">
      <c r="A3762" t="s">
        <v>5</v>
      </c>
      <c r="B3762" t="s">
        <v>8</v>
      </c>
      <c r="C3762" s="1">
        <v>45750.686111111107</v>
      </c>
      <c r="D3762" s="1">
        <v>45782.671527777777</v>
      </c>
      <c r="E3762" s="2">
        <f t="shared" si="58"/>
        <v>31.985416666670062</v>
      </c>
    </row>
    <row r="3763" spans="1:5" x14ac:dyDescent="0.25">
      <c r="A3763" t="s">
        <v>5</v>
      </c>
      <c r="B3763" t="s">
        <v>8</v>
      </c>
      <c r="C3763" s="1">
        <v>45735.674305555563</v>
      </c>
      <c r="D3763" s="1">
        <v>45764.537499999999</v>
      </c>
      <c r="E3763" s="2">
        <f t="shared" si="58"/>
        <v>28.863194444435067</v>
      </c>
    </row>
    <row r="3764" spans="1:5" x14ac:dyDescent="0.25">
      <c r="A3764" t="s">
        <v>5</v>
      </c>
      <c r="B3764" t="s">
        <v>8</v>
      </c>
      <c r="C3764" s="1">
        <v>45715.841666666667</v>
      </c>
      <c r="D3764" s="1">
        <v>45741.816666666673</v>
      </c>
      <c r="E3764" s="2">
        <f t="shared" si="58"/>
        <v>25.975000000005821</v>
      </c>
    </row>
    <row r="3765" spans="1:5" x14ac:dyDescent="0.25">
      <c r="A3765" t="s">
        <v>5</v>
      </c>
      <c r="B3765" t="s">
        <v>8</v>
      </c>
      <c r="C3765" s="1">
        <v>45745.883333333331</v>
      </c>
      <c r="D3765" s="1">
        <v>45775.742037037038</v>
      </c>
      <c r="E3765" s="2">
        <f t="shared" si="58"/>
        <v>29.858703703706851</v>
      </c>
    </row>
    <row r="3766" spans="1:5" x14ac:dyDescent="0.25">
      <c r="A3766" t="s">
        <v>5</v>
      </c>
      <c r="B3766" t="s">
        <v>8</v>
      </c>
      <c r="C3766" s="1">
        <v>46191.063888888893</v>
      </c>
      <c r="D3766" s="1">
        <v>46214.836111111108</v>
      </c>
      <c r="E3766" s="2">
        <f t="shared" si="58"/>
        <v>23.772222222214623</v>
      </c>
    </row>
    <row r="3767" spans="1:5" x14ac:dyDescent="0.25">
      <c r="A3767" t="s">
        <v>5</v>
      </c>
      <c r="B3767" t="s">
        <v>8</v>
      </c>
      <c r="C3767" s="1">
        <v>45722.095833333333</v>
      </c>
      <c r="D3767" s="1">
        <v>45749.925694444442</v>
      </c>
      <c r="E3767" s="2">
        <f t="shared" si="58"/>
        <v>27.829861111109494</v>
      </c>
    </row>
    <row r="3768" spans="1:5" x14ac:dyDescent="0.25">
      <c r="A3768" t="s">
        <v>5</v>
      </c>
      <c r="B3768" t="s">
        <v>8</v>
      </c>
      <c r="C3768" s="1">
        <v>45707.716666666667</v>
      </c>
      <c r="D3768" s="1">
        <v>45734.852777777778</v>
      </c>
      <c r="E3768" s="2">
        <f t="shared" si="58"/>
        <v>27.136111111110949</v>
      </c>
    </row>
    <row r="3769" spans="1:5" x14ac:dyDescent="0.25">
      <c r="A3769" t="s">
        <v>5</v>
      </c>
      <c r="B3769" t="s">
        <v>8</v>
      </c>
      <c r="C3769" s="1">
        <v>45715.841666666667</v>
      </c>
      <c r="D3769" s="1">
        <v>45741.816666666673</v>
      </c>
      <c r="E3769" s="2">
        <f t="shared" si="58"/>
        <v>25.975000000005821</v>
      </c>
    </row>
    <row r="3770" spans="1:5" x14ac:dyDescent="0.25">
      <c r="A3770" t="s">
        <v>5</v>
      </c>
      <c r="B3770" t="s">
        <v>8</v>
      </c>
      <c r="C3770" s="1">
        <v>45707.716666666667</v>
      </c>
      <c r="D3770" s="1">
        <v>45734.840219907397</v>
      </c>
      <c r="E3770" s="2">
        <f t="shared" si="58"/>
        <v>27.123553240729962</v>
      </c>
    </row>
    <row r="3771" spans="1:5" x14ac:dyDescent="0.25">
      <c r="A3771" t="s">
        <v>5</v>
      </c>
      <c r="B3771" t="s">
        <v>8</v>
      </c>
      <c r="C3771" s="1">
        <v>46236.147800925923</v>
      </c>
      <c r="D3771" s="1">
        <v>46258.295138888891</v>
      </c>
      <c r="E3771" s="2">
        <f t="shared" si="58"/>
        <v>22.147337962967867</v>
      </c>
    </row>
    <row r="3772" spans="1:5" x14ac:dyDescent="0.25">
      <c r="A3772" t="s">
        <v>5</v>
      </c>
      <c r="B3772" t="s">
        <v>8</v>
      </c>
      <c r="C3772" s="1">
        <v>45659.054166666669</v>
      </c>
      <c r="D3772" s="1">
        <v>45685.674305555563</v>
      </c>
      <c r="E3772" s="2">
        <f t="shared" si="58"/>
        <v>26.620138888894871</v>
      </c>
    </row>
    <row r="3773" spans="1:5" x14ac:dyDescent="0.25">
      <c r="A3773" t="s">
        <v>15</v>
      </c>
      <c r="B3773" t="s">
        <v>55</v>
      </c>
      <c r="C3773" s="1">
        <v>46067.958333333343</v>
      </c>
      <c r="D3773" s="1">
        <v>46117.338194444441</v>
      </c>
      <c r="E3773" s="2">
        <f t="shared" si="58"/>
        <v>49.379861111097853</v>
      </c>
    </row>
    <row r="3774" spans="1:5" x14ac:dyDescent="0.25">
      <c r="A3774" t="s">
        <v>15</v>
      </c>
      <c r="B3774" t="s">
        <v>55</v>
      </c>
      <c r="C3774" s="1">
        <v>45989.729166666657</v>
      </c>
      <c r="D3774" s="1">
        <v>46037.958333333343</v>
      </c>
      <c r="E3774" s="2">
        <f t="shared" si="58"/>
        <v>48.229166666686069</v>
      </c>
    </row>
    <row r="3775" spans="1:5" x14ac:dyDescent="0.25">
      <c r="A3775" t="s">
        <v>40</v>
      </c>
      <c r="B3775" t="s">
        <v>37</v>
      </c>
      <c r="C3775" s="1">
        <v>45953.154803240737</v>
      </c>
      <c r="D3775" s="1">
        <v>45970.345833333333</v>
      </c>
      <c r="E3775" s="2">
        <f t="shared" si="58"/>
        <v>17.191030092595611</v>
      </c>
    </row>
    <row r="3776" spans="1:5" x14ac:dyDescent="0.25">
      <c r="A3776" t="s">
        <v>23</v>
      </c>
      <c r="B3776" t="s">
        <v>19</v>
      </c>
      <c r="C3776" s="1">
        <v>45766.770833333343</v>
      </c>
      <c r="D3776" s="1">
        <v>45811.895138888889</v>
      </c>
      <c r="E3776" s="2">
        <f t="shared" si="58"/>
        <v>45.124305555546016</v>
      </c>
    </row>
    <row r="3777" spans="1:5" x14ac:dyDescent="0.25">
      <c r="A3777" t="s">
        <v>18</v>
      </c>
      <c r="B3777" t="s">
        <v>27</v>
      </c>
      <c r="C3777" s="1">
        <v>45991.690972222219</v>
      </c>
      <c r="D3777" s="1">
        <v>46083.751388888893</v>
      </c>
      <c r="E3777" s="2">
        <f t="shared" si="58"/>
        <v>92.060416666674428</v>
      </c>
    </row>
    <row r="3778" spans="1:5" x14ac:dyDescent="0.25">
      <c r="A3778" t="s">
        <v>23</v>
      </c>
      <c r="B3778" t="s">
        <v>19</v>
      </c>
      <c r="C3778" s="1">
        <v>45792.591666666667</v>
      </c>
      <c r="D3778" s="1">
        <v>45827.607638888891</v>
      </c>
      <c r="E3778" s="2">
        <f t="shared" ref="E3778:E3841" si="59">D3778-C3778</f>
        <v>35.015972222223354</v>
      </c>
    </row>
    <row r="3779" spans="1:5" x14ac:dyDescent="0.25">
      <c r="A3779" t="s">
        <v>28</v>
      </c>
      <c r="B3779" t="s">
        <v>8</v>
      </c>
      <c r="C3779" s="1">
        <v>45990.067361111112</v>
      </c>
      <c r="D3779" s="1">
        <v>46068.083333333343</v>
      </c>
      <c r="E3779" s="2">
        <f t="shared" si="59"/>
        <v>78.01597222223063</v>
      </c>
    </row>
    <row r="3780" spans="1:5" x14ac:dyDescent="0.25">
      <c r="A3780" t="s">
        <v>12</v>
      </c>
      <c r="B3780" t="s">
        <v>8</v>
      </c>
      <c r="C3780" s="1">
        <v>45933.466666666667</v>
      </c>
      <c r="D3780" s="1">
        <v>45991</v>
      </c>
      <c r="E3780" s="2">
        <f t="shared" si="59"/>
        <v>57.533333333332848</v>
      </c>
    </row>
    <row r="3781" spans="1:5" x14ac:dyDescent="0.25">
      <c r="A3781" t="s">
        <v>15</v>
      </c>
      <c r="B3781" t="s">
        <v>38</v>
      </c>
      <c r="C3781" s="1">
        <v>46205.645833333343</v>
      </c>
      <c r="D3781" s="1">
        <v>46266.483865740738</v>
      </c>
      <c r="E3781" s="2">
        <f t="shared" si="59"/>
        <v>60.838032407395076</v>
      </c>
    </row>
    <row r="3782" spans="1:5" x14ac:dyDescent="0.25">
      <c r="A3782" t="s">
        <v>22</v>
      </c>
      <c r="B3782" t="s">
        <v>19</v>
      </c>
      <c r="C3782" s="1">
        <v>45817.678472222222</v>
      </c>
      <c r="D3782" s="1">
        <v>45869.829861111109</v>
      </c>
      <c r="E3782" s="2">
        <f t="shared" si="59"/>
        <v>52.151388888887595</v>
      </c>
    </row>
    <row r="3783" spans="1:5" x14ac:dyDescent="0.25">
      <c r="A3783" t="s">
        <v>7</v>
      </c>
      <c r="B3783" t="s">
        <v>13</v>
      </c>
      <c r="C3783" s="1">
        <v>46050.911111111112</v>
      </c>
      <c r="D3783" s="1">
        <v>46091.636111111111</v>
      </c>
      <c r="E3783" s="2">
        <f t="shared" si="59"/>
        <v>40.724999999998545</v>
      </c>
    </row>
    <row r="3784" spans="1:5" x14ac:dyDescent="0.25">
      <c r="A3784" t="s">
        <v>16</v>
      </c>
      <c r="B3784" t="s">
        <v>8</v>
      </c>
      <c r="C3784" s="1">
        <v>45764.879166666673</v>
      </c>
      <c r="D3784" s="1">
        <v>45827.75</v>
      </c>
      <c r="E3784" s="2">
        <f t="shared" si="59"/>
        <v>62.870833333327028</v>
      </c>
    </row>
    <row r="3785" spans="1:5" x14ac:dyDescent="0.25">
      <c r="A3785" t="s">
        <v>15</v>
      </c>
      <c r="B3785" t="s">
        <v>13</v>
      </c>
      <c r="C3785" s="1">
        <v>45847.16201388889</v>
      </c>
      <c r="D3785" s="1">
        <v>45885.583333333343</v>
      </c>
      <c r="E3785" s="2">
        <f t="shared" si="59"/>
        <v>38.42131944445282</v>
      </c>
    </row>
    <row r="3786" spans="1:5" x14ac:dyDescent="0.25">
      <c r="A3786" t="s">
        <v>27</v>
      </c>
      <c r="B3786" t="s">
        <v>8</v>
      </c>
      <c r="C3786" s="1">
        <v>46180.088888888888</v>
      </c>
      <c r="D3786" s="1">
        <v>46237.041666666657</v>
      </c>
      <c r="E3786" s="2">
        <f t="shared" si="59"/>
        <v>56.95277777776937</v>
      </c>
    </row>
    <row r="3787" spans="1:5" x14ac:dyDescent="0.25">
      <c r="A3787" t="s">
        <v>15</v>
      </c>
      <c r="B3787" t="s">
        <v>6</v>
      </c>
      <c r="C3787" s="1">
        <v>46081.041666666657</v>
      </c>
      <c r="D3787" s="1">
        <v>46145.429166666669</v>
      </c>
      <c r="E3787" s="2">
        <f t="shared" si="59"/>
        <v>64.387500000011642</v>
      </c>
    </row>
    <row r="3788" spans="1:5" x14ac:dyDescent="0.25">
      <c r="A3788" t="s">
        <v>10</v>
      </c>
      <c r="B3788" t="s">
        <v>8</v>
      </c>
      <c r="C3788" s="1">
        <v>46182.180555555547</v>
      </c>
      <c r="D3788" s="1">
        <v>46201.631249999999</v>
      </c>
      <c r="E3788" s="2">
        <f t="shared" si="59"/>
        <v>19.450694444451074</v>
      </c>
    </row>
    <row r="3789" spans="1:5" x14ac:dyDescent="0.25">
      <c r="A3789" t="s">
        <v>11</v>
      </c>
      <c r="B3789" t="s">
        <v>19</v>
      </c>
      <c r="C3789" s="1">
        <v>46157.958333333343</v>
      </c>
      <c r="D3789" s="1">
        <v>46221.254166666673</v>
      </c>
      <c r="E3789" s="2">
        <f t="shared" si="59"/>
        <v>63.295833333329938</v>
      </c>
    </row>
    <row r="3790" spans="1:5" x14ac:dyDescent="0.25">
      <c r="A3790" t="s">
        <v>13</v>
      </c>
      <c r="B3790" t="s">
        <v>8</v>
      </c>
      <c r="C3790" s="1">
        <v>45814.308333333327</v>
      </c>
      <c r="D3790" s="1">
        <v>45839</v>
      </c>
      <c r="E3790" s="2">
        <f t="shared" si="59"/>
        <v>24.691666666672972</v>
      </c>
    </row>
    <row r="3791" spans="1:5" x14ac:dyDescent="0.25">
      <c r="A3791" t="s">
        <v>15</v>
      </c>
      <c r="B3791" t="s">
        <v>6</v>
      </c>
      <c r="C3791" s="1">
        <v>46168.375</v>
      </c>
      <c r="D3791" s="1">
        <v>46234.747881944437</v>
      </c>
      <c r="E3791" s="2">
        <f t="shared" si="59"/>
        <v>66.372881944436813</v>
      </c>
    </row>
    <row r="3792" spans="1:5" x14ac:dyDescent="0.25">
      <c r="A3792" t="s">
        <v>12</v>
      </c>
      <c r="B3792" t="s">
        <v>18</v>
      </c>
      <c r="C3792" s="1">
        <v>45799.050694444442</v>
      </c>
      <c r="D3792" s="1">
        <v>45869.003472222219</v>
      </c>
      <c r="E3792" s="2">
        <f t="shared" si="59"/>
        <v>69.952777777776646</v>
      </c>
    </row>
    <row r="3793" spans="1:5" x14ac:dyDescent="0.25">
      <c r="A3793" t="s">
        <v>12</v>
      </c>
      <c r="B3793" t="s">
        <v>13</v>
      </c>
      <c r="C3793" s="1">
        <v>46012.541666666657</v>
      </c>
      <c r="D3793" s="1">
        <v>46059.751388888893</v>
      </c>
      <c r="E3793" s="2">
        <f t="shared" si="59"/>
        <v>47.209722222236451</v>
      </c>
    </row>
    <row r="3794" spans="1:5" x14ac:dyDescent="0.25">
      <c r="A3794" t="s">
        <v>16</v>
      </c>
      <c r="B3794" t="s">
        <v>8</v>
      </c>
      <c r="C3794" s="1">
        <v>45744.76666666667</v>
      </c>
      <c r="D3794" s="1">
        <v>45791.914583333331</v>
      </c>
      <c r="E3794" s="2">
        <f t="shared" si="59"/>
        <v>47.147916666661331</v>
      </c>
    </row>
    <row r="3795" spans="1:5" x14ac:dyDescent="0.25">
      <c r="A3795" t="s">
        <v>7</v>
      </c>
      <c r="B3795" t="s">
        <v>20</v>
      </c>
      <c r="C3795" s="1">
        <v>46041.307025462957</v>
      </c>
      <c r="D3795" s="1">
        <v>46115.032638888893</v>
      </c>
      <c r="E3795" s="2">
        <f t="shared" si="59"/>
        <v>73.725613425936899</v>
      </c>
    </row>
    <row r="3796" spans="1:5" x14ac:dyDescent="0.25">
      <c r="A3796" t="s">
        <v>15</v>
      </c>
      <c r="B3796" t="s">
        <v>6</v>
      </c>
      <c r="C3796" s="1">
        <v>45886.5</v>
      </c>
      <c r="D3796" s="1">
        <v>45943.01666666667</v>
      </c>
      <c r="E3796" s="2">
        <f t="shared" si="59"/>
        <v>56.516666666670062</v>
      </c>
    </row>
    <row r="3797" spans="1:5" x14ac:dyDescent="0.25">
      <c r="A3797" t="s">
        <v>27</v>
      </c>
      <c r="B3797" t="s">
        <v>65</v>
      </c>
      <c r="C3797" s="1">
        <v>46219.816666666673</v>
      </c>
      <c r="D3797" s="1">
        <v>46274.908333333333</v>
      </c>
      <c r="E3797" s="2">
        <f t="shared" si="59"/>
        <v>55.091666666659876</v>
      </c>
    </row>
    <row r="3798" spans="1:5" x14ac:dyDescent="0.25">
      <c r="A3798" t="s">
        <v>5</v>
      </c>
      <c r="B3798" t="s">
        <v>6</v>
      </c>
      <c r="C3798" s="1">
        <v>45805.558333333327</v>
      </c>
      <c r="D3798" s="1">
        <v>45869.125</v>
      </c>
      <c r="E3798" s="2">
        <f t="shared" si="59"/>
        <v>63.566666666672972</v>
      </c>
    </row>
    <row r="3799" spans="1:5" x14ac:dyDescent="0.25">
      <c r="A3799" t="s">
        <v>9</v>
      </c>
      <c r="B3799" t="s">
        <v>11</v>
      </c>
      <c r="C3799" s="1">
        <v>45934.82916666667</v>
      </c>
      <c r="D3799" s="1">
        <v>46007.037499999999</v>
      </c>
      <c r="E3799" s="2">
        <f t="shared" si="59"/>
        <v>72.208333333328483</v>
      </c>
    </row>
    <row r="3800" spans="1:5" x14ac:dyDescent="0.25">
      <c r="A3800" t="s">
        <v>9</v>
      </c>
      <c r="B3800" t="s">
        <v>11</v>
      </c>
      <c r="C3800" s="1">
        <v>45883.629166666673</v>
      </c>
      <c r="D3800" s="1">
        <v>45951.404166666667</v>
      </c>
      <c r="E3800" s="2">
        <f t="shared" si="59"/>
        <v>67.774999999994179</v>
      </c>
    </row>
    <row r="3801" spans="1:5" x14ac:dyDescent="0.25">
      <c r="A3801" t="s">
        <v>5</v>
      </c>
      <c r="B3801" t="s">
        <v>8</v>
      </c>
      <c r="C3801" s="1">
        <v>46049.5</v>
      </c>
      <c r="D3801" s="1">
        <v>46091.345833333333</v>
      </c>
      <c r="E3801" s="2">
        <f t="shared" si="59"/>
        <v>41.845833333332848</v>
      </c>
    </row>
    <row r="3802" spans="1:5" x14ac:dyDescent="0.25">
      <c r="A3802" t="s">
        <v>7</v>
      </c>
      <c r="B3802" t="s">
        <v>8</v>
      </c>
      <c r="C3802" s="1">
        <v>45940.345833333333</v>
      </c>
      <c r="D3802" s="1">
        <v>45989.166666666657</v>
      </c>
      <c r="E3802" s="2">
        <f t="shared" si="59"/>
        <v>48.820833333324117</v>
      </c>
    </row>
    <row r="3803" spans="1:5" x14ac:dyDescent="0.25">
      <c r="A3803" t="s">
        <v>7</v>
      </c>
      <c r="B3803" t="s">
        <v>8</v>
      </c>
      <c r="C3803" s="1">
        <v>45834.537499999999</v>
      </c>
      <c r="D3803" s="1">
        <v>45885.783333333333</v>
      </c>
      <c r="E3803" s="2">
        <f t="shared" si="59"/>
        <v>51.245833333334303</v>
      </c>
    </row>
    <row r="3804" spans="1:5" x14ac:dyDescent="0.25">
      <c r="A3804" t="s">
        <v>5</v>
      </c>
      <c r="B3804" t="s">
        <v>8</v>
      </c>
      <c r="C3804" s="1">
        <v>46061.879166666673</v>
      </c>
      <c r="D3804" s="1">
        <v>46112.529166666667</v>
      </c>
      <c r="E3804" s="2">
        <f t="shared" si="59"/>
        <v>50.649999999994179</v>
      </c>
    </row>
    <row r="3805" spans="1:5" x14ac:dyDescent="0.25">
      <c r="A3805" t="s">
        <v>7</v>
      </c>
      <c r="B3805" t="s">
        <v>8</v>
      </c>
      <c r="C3805" s="1">
        <v>45808.775000000001</v>
      </c>
      <c r="D3805" s="1">
        <v>45853.816666666673</v>
      </c>
      <c r="E3805" s="2">
        <f t="shared" si="59"/>
        <v>45.041666666671517</v>
      </c>
    </row>
    <row r="3806" spans="1:5" x14ac:dyDescent="0.25">
      <c r="A3806" t="s">
        <v>7</v>
      </c>
      <c r="B3806" t="s">
        <v>8</v>
      </c>
      <c r="C3806" s="1">
        <v>45940.345833333333</v>
      </c>
      <c r="D3806" s="1">
        <v>45989.166666666657</v>
      </c>
      <c r="E3806" s="2">
        <f t="shared" si="59"/>
        <v>48.820833333324117</v>
      </c>
    </row>
    <row r="3807" spans="1:5" x14ac:dyDescent="0.25">
      <c r="A3807" t="s">
        <v>5</v>
      </c>
      <c r="B3807" t="s">
        <v>6</v>
      </c>
      <c r="C3807" s="1">
        <v>45982.8</v>
      </c>
      <c r="D3807" s="1">
        <v>46046.2</v>
      </c>
      <c r="E3807" s="2">
        <f t="shared" si="59"/>
        <v>63.399999999994179</v>
      </c>
    </row>
    <row r="3808" spans="1:5" x14ac:dyDescent="0.25">
      <c r="A3808" t="s">
        <v>48</v>
      </c>
      <c r="B3808" t="s">
        <v>12</v>
      </c>
      <c r="C3808" s="1">
        <v>46066.07916666667</v>
      </c>
      <c r="D3808" s="1">
        <v>46144.05</v>
      </c>
      <c r="E3808" s="2">
        <f t="shared" si="59"/>
        <v>77.970833333332848</v>
      </c>
    </row>
    <row r="3809" spans="1:5" x14ac:dyDescent="0.25">
      <c r="A3809" t="s">
        <v>5</v>
      </c>
      <c r="B3809" t="s">
        <v>8</v>
      </c>
      <c r="C3809" s="1">
        <v>46128.754166666673</v>
      </c>
      <c r="D3809" s="1">
        <v>46162.866666666669</v>
      </c>
      <c r="E3809" s="2">
        <f t="shared" si="59"/>
        <v>34.112499999995634</v>
      </c>
    </row>
    <row r="3810" spans="1:5" x14ac:dyDescent="0.25">
      <c r="A3810" t="s">
        <v>7</v>
      </c>
      <c r="B3810" t="s">
        <v>8</v>
      </c>
      <c r="C3810" s="1">
        <v>45903.083333333343</v>
      </c>
      <c r="D3810" s="1">
        <v>45938.662499999999</v>
      </c>
      <c r="E3810" s="2">
        <f t="shared" si="59"/>
        <v>35.57916666665551</v>
      </c>
    </row>
    <row r="3811" spans="1:5" x14ac:dyDescent="0.25">
      <c r="A3811" t="s">
        <v>5</v>
      </c>
      <c r="B3811" t="s">
        <v>8</v>
      </c>
      <c r="C3811" s="1">
        <v>46113.60833333333</v>
      </c>
      <c r="D3811" s="1">
        <v>46155.262499999997</v>
      </c>
      <c r="E3811" s="2">
        <f t="shared" si="59"/>
        <v>41.654166666667152</v>
      </c>
    </row>
    <row r="3812" spans="1:5" x14ac:dyDescent="0.25">
      <c r="A3812" t="s">
        <v>5</v>
      </c>
      <c r="B3812" t="s">
        <v>8</v>
      </c>
      <c r="C3812" s="1">
        <v>46115.291666666657</v>
      </c>
      <c r="D3812" s="1">
        <v>46188.845833333333</v>
      </c>
      <c r="E3812" s="2">
        <f t="shared" si="59"/>
        <v>73.554166666675883</v>
      </c>
    </row>
    <row r="3813" spans="1:5" x14ac:dyDescent="0.25">
      <c r="A3813" t="s">
        <v>9</v>
      </c>
      <c r="B3813" t="s">
        <v>11</v>
      </c>
      <c r="C3813" s="1">
        <v>45893.991666666669</v>
      </c>
      <c r="D3813" s="1">
        <v>45965.345833333333</v>
      </c>
      <c r="E3813" s="2">
        <f t="shared" si="59"/>
        <v>71.354166666664241</v>
      </c>
    </row>
    <row r="3814" spans="1:5" x14ac:dyDescent="0.25">
      <c r="A3814" t="s">
        <v>5</v>
      </c>
      <c r="B3814" t="s">
        <v>8</v>
      </c>
      <c r="C3814" s="1">
        <v>45945.658333333333</v>
      </c>
      <c r="D3814" s="1">
        <v>45993.345833333333</v>
      </c>
      <c r="E3814" s="2">
        <f t="shared" si="59"/>
        <v>47.6875</v>
      </c>
    </row>
    <row r="3815" spans="1:5" x14ac:dyDescent="0.25">
      <c r="A3815" t="s">
        <v>7</v>
      </c>
      <c r="B3815" t="s">
        <v>8</v>
      </c>
      <c r="C3815" s="1">
        <v>45911.674305555563</v>
      </c>
      <c r="D3815" s="1">
        <v>45948.104166666657</v>
      </c>
      <c r="E3815" s="2">
        <f t="shared" si="59"/>
        <v>36.429861111093487</v>
      </c>
    </row>
    <row r="3816" spans="1:5" x14ac:dyDescent="0.25">
      <c r="A3816" t="s">
        <v>7</v>
      </c>
      <c r="B3816" t="s">
        <v>8</v>
      </c>
      <c r="C3816" s="1">
        <v>46002.212500000001</v>
      </c>
      <c r="D3816" s="1">
        <v>46047.712500000001</v>
      </c>
      <c r="E3816" s="2">
        <f t="shared" si="59"/>
        <v>45.5</v>
      </c>
    </row>
    <row r="3817" spans="1:5" x14ac:dyDescent="0.25">
      <c r="A3817" t="s">
        <v>5</v>
      </c>
      <c r="B3817" t="s">
        <v>8</v>
      </c>
      <c r="C3817" s="1">
        <v>46128.754166666673</v>
      </c>
      <c r="D3817" s="1">
        <v>46162.866666666669</v>
      </c>
      <c r="E3817" s="2">
        <f t="shared" si="59"/>
        <v>34.112499999995634</v>
      </c>
    </row>
    <row r="3818" spans="1:5" x14ac:dyDescent="0.25">
      <c r="A3818" t="s">
        <v>7</v>
      </c>
      <c r="B3818" t="s">
        <v>8</v>
      </c>
      <c r="C3818" s="1">
        <v>45777.64166666667</v>
      </c>
      <c r="D3818" s="1">
        <v>45818.433333333327</v>
      </c>
      <c r="E3818" s="2">
        <f t="shared" si="59"/>
        <v>40.791666666656965</v>
      </c>
    </row>
    <row r="3819" spans="1:5" x14ac:dyDescent="0.25">
      <c r="A3819" t="s">
        <v>7</v>
      </c>
      <c r="B3819" t="s">
        <v>11</v>
      </c>
      <c r="C3819" s="1">
        <v>46016.362500000003</v>
      </c>
      <c r="D3819" s="1">
        <v>46097.9375</v>
      </c>
      <c r="E3819" s="2">
        <f t="shared" si="59"/>
        <v>81.57499999999709</v>
      </c>
    </row>
    <row r="3820" spans="1:5" x14ac:dyDescent="0.25">
      <c r="A3820" t="s">
        <v>34</v>
      </c>
      <c r="B3820" t="s">
        <v>8</v>
      </c>
      <c r="C3820" s="1">
        <v>46007.292361111111</v>
      </c>
      <c r="D3820" s="1">
        <v>46044.491666666669</v>
      </c>
      <c r="E3820" s="2">
        <f t="shared" si="59"/>
        <v>37.199305555557657</v>
      </c>
    </row>
    <row r="3821" spans="1:5" x14ac:dyDescent="0.25">
      <c r="A3821" t="s">
        <v>7</v>
      </c>
      <c r="B3821" t="s">
        <v>8</v>
      </c>
      <c r="C3821" s="1">
        <v>45891.654166666667</v>
      </c>
      <c r="D3821" s="1">
        <v>45938.662499999999</v>
      </c>
      <c r="E3821" s="2">
        <f t="shared" si="59"/>
        <v>47.008333333331393</v>
      </c>
    </row>
    <row r="3822" spans="1:5" x14ac:dyDescent="0.25">
      <c r="A3822" t="s">
        <v>5</v>
      </c>
      <c r="B3822" t="s">
        <v>8</v>
      </c>
      <c r="C3822" s="1">
        <v>45958.999305555553</v>
      </c>
      <c r="D3822" s="1">
        <v>45993.345833333333</v>
      </c>
      <c r="E3822" s="2">
        <f t="shared" si="59"/>
        <v>34.346527777779556</v>
      </c>
    </row>
    <row r="3823" spans="1:5" x14ac:dyDescent="0.25">
      <c r="A3823" t="s">
        <v>34</v>
      </c>
      <c r="B3823" t="s">
        <v>8</v>
      </c>
      <c r="C3823" s="1">
        <v>46083.416666666657</v>
      </c>
      <c r="D3823" s="1">
        <v>46114.862500000003</v>
      </c>
      <c r="E3823" s="2">
        <f t="shared" si="59"/>
        <v>31.445833333345945</v>
      </c>
    </row>
    <row r="3824" spans="1:5" x14ac:dyDescent="0.25">
      <c r="A3824" t="s">
        <v>5</v>
      </c>
      <c r="B3824" t="s">
        <v>8</v>
      </c>
      <c r="C3824" s="1">
        <v>46128.754166666673</v>
      </c>
      <c r="D3824" s="1">
        <v>46162.866666666669</v>
      </c>
      <c r="E3824" s="2">
        <f t="shared" si="59"/>
        <v>34.112499999995634</v>
      </c>
    </row>
    <row r="3825" spans="1:5" x14ac:dyDescent="0.25">
      <c r="A3825" t="s">
        <v>7</v>
      </c>
      <c r="B3825" t="s">
        <v>8</v>
      </c>
      <c r="C3825" s="1">
        <v>45874.839583333327</v>
      </c>
      <c r="D3825" s="1">
        <v>45920.2</v>
      </c>
      <c r="E3825" s="2">
        <f t="shared" si="59"/>
        <v>45.360416666670062</v>
      </c>
    </row>
    <row r="3826" spans="1:5" x14ac:dyDescent="0.25">
      <c r="A3826" t="s">
        <v>7</v>
      </c>
      <c r="B3826" t="s">
        <v>11</v>
      </c>
      <c r="C3826" s="1">
        <v>45883.124305555553</v>
      </c>
      <c r="D3826" s="1">
        <v>45951.404166666667</v>
      </c>
      <c r="E3826" s="2">
        <f t="shared" si="59"/>
        <v>68.27986111111386</v>
      </c>
    </row>
    <row r="3827" spans="1:5" x14ac:dyDescent="0.25">
      <c r="A3827" t="s">
        <v>7</v>
      </c>
      <c r="B3827" t="s">
        <v>8</v>
      </c>
      <c r="C3827" s="1">
        <v>45911.604166666657</v>
      </c>
      <c r="D3827" s="1">
        <v>45948.104166666657</v>
      </c>
      <c r="E3827" s="2">
        <f t="shared" si="59"/>
        <v>36.5</v>
      </c>
    </row>
    <row r="3828" spans="1:5" x14ac:dyDescent="0.25">
      <c r="A3828" t="s">
        <v>7</v>
      </c>
      <c r="B3828" t="s">
        <v>11</v>
      </c>
      <c r="C3828" s="1">
        <v>45836.792361111111</v>
      </c>
      <c r="D3828" s="1">
        <v>45909.995833333327</v>
      </c>
      <c r="E3828" s="2">
        <f t="shared" si="59"/>
        <v>73.203472222216078</v>
      </c>
    </row>
    <row r="3829" spans="1:5" x14ac:dyDescent="0.25">
      <c r="A3829" t="s">
        <v>5</v>
      </c>
      <c r="B3829" t="s">
        <v>8</v>
      </c>
      <c r="C3829" s="1">
        <v>46072.658333333333</v>
      </c>
      <c r="D3829" s="1">
        <v>46107.929166666669</v>
      </c>
      <c r="E3829" s="2">
        <f t="shared" si="59"/>
        <v>35.270833333335759</v>
      </c>
    </row>
    <row r="3830" spans="1:5" x14ac:dyDescent="0.25">
      <c r="A3830" t="s">
        <v>7</v>
      </c>
      <c r="B3830" t="s">
        <v>8</v>
      </c>
      <c r="C3830" s="1">
        <v>45847.879166666673</v>
      </c>
      <c r="D3830" s="1">
        <v>45910.25</v>
      </c>
      <c r="E3830" s="2">
        <f t="shared" si="59"/>
        <v>62.370833333327028</v>
      </c>
    </row>
    <row r="3831" spans="1:5" x14ac:dyDescent="0.25">
      <c r="A3831" t="s">
        <v>5</v>
      </c>
      <c r="B3831" t="s">
        <v>8</v>
      </c>
      <c r="C3831" s="1">
        <v>46121.404166666667</v>
      </c>
      <c r="D3831" s="1">
        <v>46162.866666666669</v>
      </c>
      <c r="E3831" s="2">
        <f t="shared" si="59"/>
        <v>41.462500000001455</v>
      </c>
    </row>
    <row r="3832" spans="1:5" x14ac:dyDescent="0.25">
      <c r="A3832" t="s">
        <v>5</v>
      </c>
      <c r="B3832" t="s">
        <v>8</v>
      </c>
      <c r="C3832" s="1">
        <v>46093.625</v>
      </c>
      <c r="D3832" s="1">
        <v>46141.354166666657</v>
      </c>
      <c r="E3832" s="2">
        <f t="shared" si="59"/>
        <v>47.729166666656965</v>
      </c>
    </row>
    <row r="3833" spans="1:5" x14ac:dyDescent="0.25">
      <c r="A3833" t="s">
        <v>34</v>
      </c>
      <c r="B3833" t="s">
        <v>21</v>
      </c>
      <c r="C3833" s="1">
        <v>45850.99722222222</v>
      </c>
      <c r="D3833" s="1">
        <v>45863.520833333343</v>
      </c>
      <c r="E3833" s="2">
        <f t="shared" si="59"/>
        <v>12.523611111122591</v>
      </c>
    </row>
    <row r="3834" spans="1:5" x14ac:dyDescent="0.25">
      <c r="A3834" t="s">
        <v>7</v>
      </c>
      <c r="B3834" t="s">
        <v>8</v>
      </c>
      <c r="C3834" s="1">
        <v>45875.462500000001</v>
      </c>
      <c r="D3834" s="1">
        <v>45920.208333333343</v>
      </c>
      <c r="E3834" s="2">
        <f t="shared" si="59"/>
        <v>44.745833333341579</v>
      </c>
    </row>
    <row r="3835" spans="1:5" x14ac:dyDescent="0.25">
      <c r="A3835" t="s">
        <v>5</v>
      </c>
      <c r="B3835" t="s">
        <v>8</v>
      </c>
      <c r="C3835" s="1">
        <v>45982.8</v>
      </c>
      <c r="D3835" s="1">
        <v>46017.370833333327</v>
      </c>
      <c r="E3835" s="2">
        <f t="shared" si="59"/>
        <v>34.570833333324117</v>
      </c>
    </row>
    <row r="3836" spans="1:5" x14ac:dyDescent="0.25">
      <c r="A3836" t="s">
        <v>7</v>
      </c>
      <c r="B3836" t="s">
        <v>8</v>
      </c>
      <c r="C3836" s="1">
        <v>45785.595833333333</v>
      </c>
      <c r="D3836" s="1">
        <v>45818.433333333327</v>
      </c>
      <c r="E3836" s="2">
        <f t="shared" si="59"/>
        <v>32.837499999994179</v>
      </c>
    </row>
    <row r="3837" spans="1:5" x14ac:dyDescent="0.25">
      <c r="A3837" t="s">
        <v>5</v>
      </c>
      <c r="B3837" t="s">
        <v>8</v>
      </c>
      <c r="C3837" s="1">
        <v>46088.612500000003</v>
      </c>
      <c r="D3837" s="1">
        <v>46141.354166666657</v>
      </c>
      <c r="E3837" s="2">
        <f t="shared" si="59"/>
        <v>52.741666666654055</v>
      </c>
    </row>
    <row r="3838" spans="1:5" x14ac:dyDescent="0.25">
      <c r="A3838" t="s">
        <v>7</v>
      </c>
      <c r="B3838" t="s">
        <v>8</v>
      </c>
      <c r="C3838" s="1">
        <v>45940.345833333333</v>
      </c>
      <c r="D3838" s="1">
        <v>45989.166666666657</v>
      </c>
      <c r="E3838" s="2">
        <f t="shared" si="59"/>
        <v>48.820833333324117</v>
      </c>
    </row>
    <row r="3839" spans="1:5" x14ac:dyDescent="0.25">
      <c r="A3839" t="s">
        <v>9</v>
      </c>
      <c r="B3839" t="s">
        <v>11</v>
      </c>
      <c r="C3839" s="1">
        <v>45984.033333333333</v>
      </c>
      <c r="D3839" s="1">
        <v>46048.945833333331</v>
      </c>
      <c r="E3839" s="2">
        <f t="shared" si="59"/>
        <v>64.912499999998545</v>
      </c>
    </row>
    <row r="3840" spans="1:5" x14ac:dyDescent="0.25">
      <c r="A3840" t="s">
        <v>9</v>
      </c>
      <c r="B3840" t="s">
        <v>8</v>
      </c>
      <c r="C3840" s="1">
        <v>45908.697222222218</v>
      </c>
      <c r="D3840" s="1">
        <v>45976.39166666667</v>
      </c>
      <c r="E3840" s="2">
        <f t="shared" si="59"/>
        <v>67.694444444452529</v>
      </c>
    </row>
    <row r="3841" spans="1:5" x14ac:dyDescent="0.25">
      <c r="A3841" t="s">
        <v>9</v>
      </c>
      <c r="B3841" t="s">
        <v>8</v>
      </c>
      <c r="C3841" s="1">
        <v>45972.148611111108</v>
      </c>
      <c r="D3841" s="1">
        <v>46003.89166666667</v>
      </c>
      <c r="E3841" s="2">
        <f t="shared" si="59"/>
        <v>31.743055555562023</v>
      </c>
    </row>
    <row r="3842" spans="1:5" x14ac:dyDescent="0.25">
      <c r="A3842" t="s">
        <v>5</v>
      </c>
      <c r="B3842" t="s">
        <v>8</v>
      </c>
      <c r="C3842" s="1">
        <v>46065.004166666673</v>
      </c>
      <c r="D3842" s="1">
        <v>46099.525000000001</v>
      </c>
      <c r="E3842" s="2">
        <f t="shared" ref="E3842:E3905" si="60">D3842-C3842</f>
        <v>34.520833333328483</v>
      </c>
    </row>
    <row r="3843" spans="1:5" x14ac:dyDescent="0.25">
      <c r="A3843" t="s">
        <v>7</v>
      </c>
      <c r="B3843" t="s">
        <v>8</v>
      </c>
      <c r="C3843" s="1">
        <v>45882.166666666657</v>
      </c>
      <c r="D3843" s="1">
        <v>45938.662499999999</v>
      </c>
      <c r="E3843" s="2">
        <f t="shared" si="60"/>
        <v>56.495833333341579</v>
      </c>
    </row>
    <row r="3844" spans="1:5" x14ac:dyDescent="0.25">
      <c r="A3844" t="s">
        <v>7</v>
      </c>
      <c r="B3844" t="s">
        <v>8</v>
      </c>
      <c r="C3844" s="1">
        <v>45891.654166666667</v>
      </c>
      <c r="D3844" s="1">
        <v>45938.662499999999</v>
      </c>
      <c r="E3844" s="2">
        <f t="shared" si="60"/>
        <v>47.008333333331393</v>
      </c>
    </row>
    <row r="3845" spans="1:5" x14ac:dyDescent="0.25">
      <c r="A3845" t="s">
        <v>5</v>
      </c>
      <c r="B3845" t="s">
        <v>8</v>
      </c>
      <c r="C3845" s="1">
        <v>46115.291666666657</v>
      </c>
      <c r="D3845" s="1">
        <v>46188.845833333333</v>
      </c>
      <c r="E3845" s="2">
        <f t="shared" si="60"/>
        <v>73.554166666675883</v>
      </c>
    </row>
    <row r="3846" spans="1:5" x14ac:dyDescent="0.25">
      <c r="A3846" t="s">
        <v>5</v>
      </c>
      <c r="B3846" t="s">
        <v>8</v>
      </c>
      <c r="C3846" s="1">
        <v>45945.658333333333</v>
      </c>
      <c r="D3846" s="1">
        <v>45993.345833333333</v>
      </c>
      <c r="E3846" s="2">
        <f t="shared" si="60"/>
        <v>47.6875</v>
      </c>
    </row>
    <row r="3847" spans="1:5" x14ac:dyDescent="0.25">
      <c r="A3847" t="s">
        <v>7</v>
      </c>
      <c r="B3847" t="s">
        <v>8</v>
      </c>
      <c r="C3847" s="1">
        <v>45940.345833333333</v>
      </c>
      <c r="D3847" s="1">
        <v>45989.166666666657</v>
      </c>
      <c r="E3847" s="2">
        <f t="shared" si="60"/>
        <v>48.820833333324117</v>
      </c>
    </row>
    <row r="3848" spans="1:5" x14ac:dyDescent="0.25">
      <c r="A3848" t="s">
        <v>5</v>
      </c>
      <c r="B3848" t="s">
        <v>8</v>
      </c>
      <c r="C3848" s="1">
        <v>46101.51666666667</v>
      </c>
      <c r="D3848" s="1">
        <v>46146.737500000003</v>
      </c>
      <c r="E3848" s="2">
        <f t="shared" si="60"/>
        <v>45.220833333332848</v>
      </c>
    </row>
    <row r="3849" spans="1:5" x14ac:dyDescent="0.25">
      <c r="A3849" t="s">
        <v>7</v>
      </c>
      <c r="B3849" t="s">
        <v>8</v>
      </c>
      <c r="C3849" s="1">
        <v>45891.654166666667</v>
      </c>
      <c r="D3849" s="1">
        <v>45938.662499999999</v>
      </c>
      <c r="E3849" s="2">
        <f t="shared" si="60"/>
        <v>47.008333333331393</v>
      </c>
    </row>
    <row r="3850" spans="1:5" x14ac:dyDescent="0.25">
      <c r="A3850" t="s">
        <v>5</v>
      </c>
      <c r="B3850" t="s">
        <v>47</v>
      </c>
      <c r="C3850" s="1">
        <v>46115.291666666657</v>
      </c>
      <c r="D3850" s="1">
        <v>46168.10833333333</v>
      </c>
      <c r="E3850" s="2">
        <f t="shared" si="60"/>
        <v>52.816666666672972</v>
      </c>
    </row>
    <row r="3851" spans="1:5" x14ac:dyDescent="0.25">
      <c r="A3851" t="s">
        <v>5</v>
      </c>
      <c r="B3851" t="s">
        <v>8</v>
      </c>
      <c r="C3851" s="1">
        <v>46078.916666666657</v>
      </c>
      <c r="D3851" s="1">
        <v>46113.395833333343</v>
      </c>
      <c r="E3851" s="2">
        <f t="shared" si="60"/>
        <v>34.479166666686069</v>
      </c>
    </row>
    <row r="3852" spans="1:5" x14ac:dyDescent="0.25">
      <c r="A3852" t="s">
        <v>7</v>
      </c>
      <c r="B3852" t="s">
        <v>8</v>
      </c>
      <c r="C3852" s="1">
        <v>45920.587500000001</v>
      </c>
      <c r="D3852" s="1">
        <v>45965.662499999999</v>
      </c>
      <c r="E3852" s="2">
        <f t="shared" si="60"/>
        <v>45.07499999999709</v>
      </c>
    </row>
    <row r="3853" spans="1:5" x14ac:dyDescent="0.25">
      <c r="A3853" t="s">
        <v>7</v>
      </c>
      <c r="B3853" t="s">
        <v>8</v>
      </c>
      <c r="C3853" s="1">
        <v>45902.879166666673</v>
      </c>
      <c r="D3853" s="1">
        <v>45938.669444444437</v>
      </c>
      <c r="E3853" s="2">
        <f t="shared" si="60"/>
        <v>35.790277777763549</v>
      </c>
    </row>
    <row r="3854" spans="1:5" x14ac:dyDescent="0.25">
      <c r="A3854" t="s">
        <v>5</v>
      </c>
      <c r="B3854" t="s">
        <v>8</v>
      </c>
      <c r="C3854" s="1">
        <v>46115.291666666657</v>
      </c>
      <c r="D3854" s="1">
        <v>46188.845833333333</v>
      </c>
      <c r="E3854" s="2">
        <f t="shared" si="60"/>
        <v>73.554166666675883</v>
      </c>
    </row>
    <row r="3855" spans="1:5" x14ac:dyDescent="0.25">
      <c r="A3855" t="s">
        <v>7</v>
      </c>
      <c r="B3855" t="s">
        <v>8</v>
      </c>
      <c r="C3855" s="1">
        <v>45777.64166666667</v>
      </c>
      <c r="D3855" s="1">
        <v>45818.433333333327</v>
      </c>
      <c r="E3855" s="2">
        <f t="shared" si="60"/>
        <v>40.791666666656965</v>
      </c>
    </row>
    <row r="3856" spans="1:5" x14ac:dyDescent="0.25">
      <c r="A3856" t="s">
        <v>7</v>
      </c>
      <c r="B3856" t="s">
        <v>8</v>
      </c>
      <c r="C3856" s="1">
        <v>45822.261805555558</v>
      </c>
      <c r="D3856" s="1">
        <v>45875.612500000003</v>
      </c>
      <c r="E3856" s="2">
        <f t="shared" si="60"/>
        <v>53.350694444445253</v>
      </c>
    </row>
    <row r="3857" spans="1:5" x14ac:dyDescent="0.25">
      <c r="A3857" t="s">
        <v>5</v>
      </c>
      <c r="B3857" t="s">
        <v>8</v>
      </c>
      <c r="C3857" s="1">
        <v>46093.616666666669</v>
      </c>
      <c r="D3857" s="1">
        <v>46141.354166666657</v>
      </c>
      <c r="E3857" s="2">
        <f t="shared" si="60"/>
        <v>47.737499999988358</v>
      </c>
    </row>
    <row r="3858" spans="1:5" x14ac:dyDescent="0.25">
      <c r="A3858" t="s">
        <v>5</v>
      </c>
      <c r="B3858" t="s">
        <v>8</v>
      </c>
      <c r="C3858" s="1">
        <v>45982.8</v>
      </c>
      <c r="D3858" s="1">
        <v>46017.370833333327</v>
      </c>
      <c r="E3858" s="2">
        <f t="shared" si="60"/>
        <v>34.570833333324117</v>
      </c>
    </row>
    <row r="3859" spans="1:5" x14ac:dyDescent="0.25">
      <c r="A3859" t="s">
        <v>5</v>
      </c>
      <c r="B3859" t="s">
        <v>56</v>
      </c>
      <c r="C3859" s="1">
        <v>46093.616666666669</v>
      </c>
      <c r="D3859" s="1">
        <v>46125.1875</v>
      </c>
      <c r="E3859" s="2">
        <f t="shared" si="60"/>
        <v>31.570833333331393</v>
      </c>
    </row>
    <row r="3860" spans="1:5" x14ac:dyDescent="0.25">
      <c r="A3860" t="s">
        <v>7</v>
      </c>
      <c r="B3860" t="s">
        <v>8</v>
      </c>
      <c r="C3860" s="1">
        <v>45875.462500000001</v>
      </c>
      <c r="D3860" s="1">
        <v>45920.2</v>
      </c>
      <c r="E3860" s="2">
        <f t="shared" si="60"/>
        <v>44.737499999995634</v>
      </c>
    </row>
    <row r="3861" spans="1:5" x14ac:dyDescent="0.25">
      <c r="A3861" t="s">
        <v>5</v>
      </c>
      <c r="B3861" t="s">
        <v>8</v>
      </c>
      <c r="C3861" s="1">
        <v>45994.443749999999</v>
      </c>
      <c r="D3861" s="1">
        <v>46028.791666666657</v>
      </c>
      <c r="E3861" s="2">
        <f t="shared" si="60"/>
        <v>34.347916666658421</v>
      </c>
    </row>
    <row r="3862" spans="1:5" x14ac:dyDescent="0.25">
      <c r="A3862" t="s">
        <v>7</v>
      </c>
      <c r="B3862" t="s">
        <v>8</v>
      </c>
      <c r="C3862" s="1">
        <v>45931.208333333343</v>
      </c>
      <c r="D3862" s="1">
        <v>45966.508333333331</v>
      </c>
      <c r="E3862" s="2">
        <f t="shared" si="60"/>
        <v>35.299999999988358</v>
      </c>
    </row>
    <row r="3863" spans="1:5" x14ac:dyDescent="0.25">
      <c r="A3863" t="s">
        <v>5</v>
      </c>
      <c r="B3863" t="s">
        <v>8</v>
      </c>
      <c r="C3863" s="1">
        <v>46011.283333333333</v>
      </c>
      <c r="D3863" s="1">
        <v>46047.712500000001</v>
      </c>
      <c r="E3863" s="2">
        <f t="shared" si="60"/>
        <v>36.429166666668607</v>
      </c>
    </row>
    <row r="3864" spans="1:5" x14ac:dyDescent="0.25">
      <c r="A3864" t="s">
        <v>7</v>
      </c>
      <c r="B3864" t="s">
        <v>8</v>
      </c>
      <c r="C3864" s="1">
        <v>45777.64166666667</v>
      </c>
      <c r="D3864" s="1">
        <v>45818.433333333327</v>
      </c>
      <c r="E3864" s="2">
        <f t="shared" si="60"/>
        <v>40.791666666656965</v>
      </c>
    </row>
    <row r="3865" spans="1:5" x14ac:dyDescent="0.25">
      <c r="A3865" t="s">
        <v>34</v>
      </c>
      <c r="B3865" t="s">
        <v>8</v>
      </c>
      <c r="C3865" s="1">
        <v>46078.041666666657</v>
      </c>
      <c r="D3865" s="1">
        <v>46113.89166666667</v>
      </c>
      <c r="E3865" s="2">
        <f t="shared" si="60"/>
        <v>35.850000000013097</v>
      </c>
    </row>
    <row r="3866" spans="1:5" x14ac:dyDescent="0.25">
      <c r="A3866" t="s">
        <v>7</v>
      </c>
      <c r="B3866" t="s">
        <v>8</v>
      </c>
      <c r="C3866" s="1">
        <v>45777.64166666667</v>
      </c>
      <c r="D3866" s="1">
        <v>45818.433333333327</v>
      </c>
      <c r="E3866" s="2">
        <f t="shared" si="60"/>
        <v>40.791666666656965</v>
      </c>
    </row>
    <row r="3867" spans="1:5" x14ac:dyDescent="0.25">
      <c r="A3867" t="s">
        <v>7</v>
      </c>
      <c r="B3867" t="s">
        <v>8</v>
      </c>
      <c r="C3867" s="1">
        <v>46002.212500000001</v>
      </c>
      <c r="D3867" s="1">
        <v>46047.712500000001</v>
      </c>
      <c r="E3867" s="2">
        <f t="shared" si="60"/>
        <v>45.5</v>
      </c>
    </row>
    <row r="3868" spans="1:5" x14ac:dyDescent="0.25">
      <c r="A3868" t="s">
        <v>9</v>
      </c>
      <c r="B3868" t="s">
        <v>8</v>
      </c>
      <c r="C3868" s="1">
        <v>45879.48333333333</v>
      </c>
      <c r="D3868" s="1">
        <v>45938.662499999999</v>
      </c>
      <c r="E3868" s="2">
        <f t="shared" si="60"/>
        <v>59.179166666668607</v>
      </c>
    </row>
    <row r="3869" spans="1:5" x14ac:dyDescent="0.25">
      <c r="A3869" t="s">
        <v>7</v>
      </c>
      <c r="B3869" t="s">
        <v>11</v>
      </c>
      <c r="C3869" s="1">
        <v>46092.262499999997</v>
      </c>
      <c r="D3869" s="1">
        <v>46168.354166666657</v>
      </c>
      <c r="E3869" s="2">
        <f t="shared" si="60"/>
        <v>76.091666666659876</v>
      </c>
    </row>
    <row r="3870" spans="1:5" x14ac:dyDescent="0.25">
      <c r="A3870" t="s">
        <v>8</v>
      </c>
      <c r="B3870" t="s">
        <v>7</v>
      </c>
      <c r="C3870" s="1">
        <v>45928.775000000001</v>
      </c>
      <c r="D3870" s="1">
        <v>45968.229166666657</v>
      </c>
      <c r="E3870" s="2">
        <f t="shared" si="60"/>
        <v>39.45416666665551</v>
      </c>
    </row>
    <row r="3871" spans="1:5" x14ac:dyDescent="0.25">
      <c r="A3871" t="s">
        <v>7</v>
      </c>
      <c r="B3871" t="s">
        <v>8</v>
      </c>
      <c r="C3871" s="1">
        <v>45903.083333333343</v>
      </c>
      <c r="D3871" s="1">
        <v>45938.662499999999</v>
      </c>
      <c r="E3871" s="2">
        <f t="shared" si="60"/>
        <v>35.57916666665551</v>
      </c>
    </row>
    <row r="3872" spans="1:5" x14ac:dyDescent="0.25">
      <c r="A3872" t="s">
        <v>7</v>
      </c>
      <c r="B3872" t="s">
        <v>11</v>
      </c>
      <c r="C3872" s="1">
        <v>46109.013888888891</v>
      </c>
      <c r="D3872" s="1">
        <v>46182.275000000001</v>
      </c>
      <c r="E3872" s="2">
        <f t="shared" si="60"/>
        <v>73.261111111110949</v>
      </c>
    </row>
    <row r="3873" spans="1:5" x14ac:dyDescent="0.25">
      <c r="A3873" t="s">
        <v>7</v>
      </c>
      <c r="B3873" t="s">
        <v>8</v>
      </c>
      <c r="C3873" s="1">
        <v>45800.645833333343</v>
      </c>
      <c r="D3873" s="1">
        <v>45839.3125</v>
      </c>
      <c r="E3873" s="2">
        <f t="shared" si="60"/>
        <v>38.666666666656965</v>
      </c>
    </row>
    <row r="3874" spans="1:5" x14ac:dyDescent="0.25">
      <c r="A3874" t="s">
        <v>5</v>
      </c>
      <c r="B3874" t="s">
        <v>6</v>
      </c>
      <c r="C3874" s="1">
        <v>46072.658333333333</v>
      </c>
      <c r="D3874" s="1">
        <v>46122.51666666667</v>
      </c>
      <c r="E3874" s="2">
        <f t="shared" si="60"/>
        <v>49.858333333337214</v>
      </c>
    </row>
    <row r="3875" spans="1:5" x14ac:dyDescent="0.25">
      <c r="A3875" t="s">
        <v>5</v>
      </c>
      <c r="B3875" t="s">
        <v>8</v>
      </c>
      <c r="C3875" s="1">
        <v>46115.291666666657</v>
      </c>
      <c r="D3875" s="1">
        <v>46188.845833333333</v>
      </c>
      <c r="E3875" s="2">
        <f t="shared" si="60"/>
        <v>73.554166666675883</v>
      </c>
    </row>
    <row r="3876" spans="1:5" x14ac:dyDescent="0.25">
      <c r="A3876" t="s">
        <v>5</v>
      </c>
      <c r="B3876" t="s">
        <v>8</v>
      </c>
      <c r="C3876" s="1">
        <v>46028.258333333331</v>
      </c>
      <c r="D3876" s="1">
        <v>46071.058333333327</v>
      </c>
      <c r="E3876" s="2">
        <f t="shared" si="60"/>
        <v>42.799999999995634</v>
      </c>
    </row>
    <row r="3877" spans="1:5" x14ac:dyDescent="0.25">
      <c r="A3877" t="s">
        <v>48</v>
      </c>
      <c r="B3877" t="s">
        <v>12</v>
      </c>
      <c r="C3877" s="1">
        <v>45828.033333333333</v>
      </c>
      <c r="D3877" s="1">
        <v>45892.125</v>
      </c>
      <c r="E3877" s="2">
        <f t="shared" si="60"/>
        <v>64.091666666667152</v>
      </c>
    </row>
    <row r="3878" spans="1:5" x14ac:dyDescent="0.25">
      <c r="A3878" t="s">
        <v>7</v>
      </c>
      <c r="B3878" t="s">
        <v>8</v>
      </c>
      <c r="C3878" s="1">
        <v>45891.654166666667</v>
      </c>
      <c r="D3878" s="1">
        <v>45938.662499999999</v>
      </c>
      <c r="E3878" s="2">
        <f t="shared" si="60"/>
        <v>47.008333333331393</v>
      </c>
    </row>
    <row r="3879" spans="1:5" x14ac:dyDescent="0.25">
      <c r="A3879" t="s">
        <v>5</v>
      </c>
      <c r="B3879" t="s">
        <v>8</v>
      </c>
      <c r="C3879" s="1">
        <v>46101.51666666667</v>
      </c>
      <c r="D3879" s="1">
        <v>46146.737500000003</v>
      </c>
      <c r="E3879" s="2">
        <f t="shared" si="60"/>
        <v>45.220833333332848</v>
      </c>
    </row>
    <row r="3880" spans="1:5" x14ac:dyDescent="0.25">
      <c r="A3880" t="s">
        <v>7</v>
      </c>
      <c r="B3880" t="s">
        <v>8</v>
      </c>
      <c r="C3880" s="1">
        <v>45808.775000000001</v>
      </c>
      <c r="D3880" s="1">
        <v>45853.816666666673</v>
      </c>
      <c r="E3880" s="2">
        <f t="shared" si="60"/>
        <v>45.041666666671517</v>
      </c>
    </row>
    <row r="3881" spans="1:5" x14ac:dyDescent="0.25">
      <c r="A3881" t="s">
        <v>7</v>
      </c>
      <c r="B3881" t="s">
        <v>8</v>
      </c>
      <c r="C3881" s="1">
        <v>45843.85</v>
      </c>
      <c r="D3881" s="1">
        <v>45910.25</v>
      </c>
      <c r="E3881" s="2">
        <f t="shared" si="60"/>
        <v>66.400000000001455</v>
      </c>
    </row>
    <row r="3882" spans="1:5" x14ac:dyDescent="0.25">
      <c r="A3882" t="s">
        <v>5</v>
      </c>
      <c r="B3882" t="s">
        <v>8</v>
      </c>
      <c r="C3882" s="1">
        <v>46113.60833333333</v>
      </c>
      <c r="D3882" s="1">
        <v>46155.262499999997</v>
      </c>
      <c r="E3882" s="2">
        <f t="shared" si="60"/>
        <v>41.654166666667152</v>
      </c>
    </row>
    <row r="3883" spans="1:5" x14ac:dyDescent="0.25">
      <c r="A3883" t="s">
        <v>5</v>
      </c>
      <c r="B3883" t="s">
        <v>8</v>
      </c>
      <c r="C3883" s="1">
        <v>45982.8</v>
      </c>
      <c r="D3883" s="1">
        <v>46017.370833333327</v>
      </c>
      <c r="E3883" s="2">
        <f t="shared" si="60"/>
        <v>34.570833333324117</v>
      </c>
    </row>
    <row r="3884" spans="1:5" x14ac:dyDescent="0.25">
      <c r="A3884" t="s">
        <v>9</v>
      </c>
      <c r="B3884" t="s">
        <v>11</v>
      </c>
      <c r="C3884" s="1">
        <v>45818.645833333343</v>
      </c>
      <c r="D3884" s="1">
        <v>45887.554166666669</v>
      </c>
      <c r="E3884" s="2">
        <f t="shared" si="60"/>
        <v>68.908333333325572</v>
      </c>
    </row>
    <row r="3885" spans="1:5" x14ac:dyDescent="0.25">
      <c r="A3885" t="s">
        <v>7</v>
      </c>
      <c r="B3885" t="s">
        <v>8</v>
      </c>
      <c r="C3885" s="1">
        <v>45931.208333333343</v>
      </c>
      <c r="D3885" s="1">
        <v>45966.508333333331</v>
      </c>
      <c r="E3885" s="2">
        <f t="shared" si="60"/>
        <v>35.299999999988358</v>
      </c>
    </row>
    <row r="3886" spans="1:5" x14ac:dyDescent="0.25">
      <c r="A3886" t="s">
        <v>5</v>
      </c>
      <c r="B3886" t="s">
        <v>8</v>
      </c>
      <c r="C3886" s="1">
        <v>46113.625</v>
      </c>
      <c r="D3886" s="1">
        <v>46155.262499999997</v>
      </c>
      <c r="E3886" s="2">
        <f t="shared" si="60"/>
        <v>41.63749999999709</v>
      </c>
    </row>
    <row r="3887" spans="1:5" x14ac:dyDescent="0.25">
      <c r="A3887" t="s">
        <v>35</v>
      </c>
      <c r="B3887" t="s">
        <v>13</v>
      </c>
      <c r="C3887" s="1">
        <v>46143</v>
      </c>
      <c r="D3887" s="1">
        <v>46185.354166666657</v>
      </c>
      <c r="E3887" s="2">
        <f t="shared" si="60"/>
        <v>42.354166666656965</v>
      </c>
    </row>
    <row r="3888" spans="1:5" x14ac:dyDescent="0.25">
      <c r="A3888" t="s">
        <v>7</v>
      </c>
      <c r="B3888" t="s">
        <v>8</v>
      </c>
      <c r="C3888" s="1">
        <v>45875.462500000001</v>
      </c>
      <c r="D3888" s="1">
        <v>45920.2</v>
      </c>
      <c r="E3888" s="2">
        <f t="shared" si="60"/>
        <v>44.737499999995634</v>
      </c>
    </row>
    <row r="3889" spans="1:5" x14ac:dyDescent="0.25">
      <c r="A3889" t="s">
        <v>7</v>
      </c>
      <c r="B3889" t="s">
        <v>8</v>
      </c>
      <c r="C3889" s="1">
        <v>46002.212500000001</v>
      </c>
      <c r="D3889" s="1">
        <v>46047.712500000001</v>
      </c>
      <c r="E3889" s="2">
        <f t="shared" si="60"/>
        <v>45.5</v>
      </c>
    </row>
    <row r="3890" spans="1:5" x14ac:dyDescent="0.25">
      <c r="A3890" t="s">
        <v>7</v>
      </c>
      <c r="B3890" t="s">
        <v>8</v>
      </c>
      <c r="C3890" s="1">
        <v>45808.775000000001</v>
      </c>
      <c r="D3890" s="1">
        <v>45853.816666666673</v>
      </c>
      <c r="E3890" s="2">
        <f t="shared" si="60"/>
        <v>45.041666666671517</v>
      </c>
    </row>
    <row r="3891" spans="1:5" x14ac:dyDescent="0.25">
      <c r="A3891" t="s">
        <v>7</v>
      </c>
      <c r="B3891" t="s">
        <v>8</v>
      </c>
      <c r="C3891" s="1">
        <v>45882.166666666657</v>
      </c>
      <c r="D3891" s="1">
        <v>45938.662499999999</v>
      </c>
      <c r="E3891" s="2">
        <f t="shared" si="60"/>
        <v>56.495833333341579</v>
      </c>
    </row>
    <row r="3892" spans="1:5" x14ac:dyDescent="0.25">
      <c r="A3892" t="s">
        <v>7</v>
      </c>
      <c r="B3892" t="s">
        <v>8</v>
      </c>
      <c r="C3892" s="1">
        <v>45920.587500000001</v>
      </c>
      <c r="D3892" s="1">
        <v>45965.662499999999</v>
      </c>
      <c r="E3892" s="2">
        <f t="shared" si="60"/>
        <v>45.07499999999709</v>
      </c>
    </row>
    <row r="3893" spans="1:5" x14ac:dyDescent="0.25">
      <c r="A3893" t="s">
        <v>5</v>
      </c>
      <c r="B3893" t="s">
        <v>8</v>
      </c>
      <c r="C3893" s="1">
        <v>46128.754166666673</v>
      </c>
      <c r="D3893" s="1">
        <v>46162.866666666669</v>
      </c>
      <c r="E3893" s="2">
        <f t="shared" si="60"/>
        <v>34.112499999995634</v>
      </c>
    </row>
    <row r="3894" spans="1:5" x14ac:dyDescent="0.25">
      <c r="A3894" t="s">
        <v>5</v>
      </c>
      <c r="B3894" t="s">
        <v>8</v>
      </c>
      <c r="C3894" s="1">
        <v>46025.436111111107</v>
      </c>
      <c r="D3894" s="1">
        <v>46071.058333333327</v>
      </c>
      <c r="E3894" s="2">
        <f t="shared" si="60"/>
        <v>45.622222222220444</v>
      </c>
    </row>
    <row r="3895" spans="1:5" x14ac:dyDescent="0.25">
      <c r="A3895" t="s">
        <v>9</v>
      </c>
      <c r="B3895" t="s">
        <v>8</v>
      </c>
      <c r="C3895" s="1">
        <v>45836.333333333343</v>
      </c>
      <c r="D3895" s="1">
        <v>45885.783333333333</v>
      </c>
      <c r="E3895" s="2">
        <f t="shared" si="60"/>
        <v>49.449999999989814</v>
      </c>
    </row>
    <row r="3896" spans="1:5" x14ac:dyDescent="0.25">
      <c r="A3896" t="s">
        <v>5</v>
      </c>
      <c r="B3896" t="s">
        <v>8</v>
      </c>
      <c r="C3896" s="1">
        <v>45945.658333333333</v>
      </c>
      <c r="D3896" s="1">
        <v>45993.345833333333</v>
      </c>
      <c r="E3896" s="2">
        <f t="shared" si="60"/>
        <v>47.6875</v>
      </c>
    </row>
    <row r="3897" spans="1:5" x14ac:dyDescent="0.25">
      <c r="A3897" t="s">
        <v>5</v>
      </c>
      <c r="B3897" t="s">
        <v>8</v>
      </c>
      <c r="C3897" s="1">
        <v>45967.658333333333</v>
      </c>
      <c r="D3897" s="1">
        <v>46003.89166666667</v>
      </c>
      <c r="E3897" s="2">
        <f t="shared" si="60"/>
        <v>36.233333333337214</v>
      </c>
    </row>
    <row r="3898" spans="1:5" x14ac:dyDescent="0.25">
      <c r="A3898" t="s">
        <v>5</v>
      </c>
      <c r="B3898" t="s">
        <v>8</v>
      </c>
      <c r="C3898" s="1">
        <v>46113.60833333333</v>
      </c>
      <c r="D3898" s="1">
        <v>46155.262499999997</v>
      </c>
      <c r="E3898" s="2">
        <f t="shared" si="60"/>
        <v>41.654166666667152</v>
      </c>
    </row>
    <row r="3899" spans="1:5" x14ac:dyDescent="0.25">
      <c r="A3899" t="s">
        <v>7</v>
      </c>
      <c r="B3899" t="s">
        <v>8</v>
      </c>
      <c r="C3899" s="1">
        <v>45875.352777777778</v>
      </c>
      <c r="D3899" s="1">
        <v>45920.2</v>
      </c>
      <c r="E3899" s="2">
        <f t="shared" si="60"/>
        <v>44.847222222218988</v>
      </c>
    </row>
    <row r="3900" spans="1:5" x14ac:dyDescent="0.25">
      <c r="A3900" t="s">
        <v>7</v>
      </c>
      <c r="B3900" t="s">
        <v>8</v>
      </c>
      <c r="C3900" s="1">
        <v>45792.854166666657</v>
      </c>
      <c r="D3900" s="1">
        <v>45839.3125</v>
      </c>
      <c r="E3900" s="2">
        <f t="shared" si="60"/>
        <v>46.458333333343035</v>
      </c>
    </row>
    <row r="3901" spans="1:5" x14ac:dyDescent="0.25">
      <c r="A3901" t="s">
        <v>7</v>
      </c>
      <c r="B3901" t="s">
        <v>8</v>
      </c>
      <c r="C3901" s="1">
        <v>45792.854166666657</v>
      </c>
      <c r="D3901" s="1">
        <v>45839.3125</v>
      </c>
      <c r="E3901" s="2">
        <f t="shared" si="60"/>
        <v>46.458333333343035</v>
      </c>
    </row>
    <row r="3902" spans="1:5" x14ac:dyDescent="0.25">
      <c r="A3902" t="s">
        <v>15</v>
      </c>
      <c r="B3902" t="s">
        <v>6</v>
      </c>
      <c r="C3902" s="1">
        <v>45859.9375</v>
      </c>
      <c r="D3902" s="1">
        <v>45923.366666666669</v>
      </c>
      <c r="E3902" s="2">
        <f t="shared" si="60"/>
        <v>63.429166666668607</v>
      </c>
    </row>
    <row r="3903" spans="1:5" x14ac:dyDescent="0.25">
      <c r="A3903" t="s">
        <v>5</v>
      </c>
      <c r="B3903" t="s">
        <v>8</v>
      </c>
      <c r="C3903" s="1">
        <v>45994.920138888891</v>
      </c>
      <c r="D3903" s="1">
        <v>46028.791666666657</v>
      </c>
      <c r="E3903" s="2">
        <f t="shared" si="60"/>
        <v>33.87152777776646</v>
      </c>
    </row>
    <row r="3904" spans="1:5" x14ac:dyDescent="0.25">
      <c r="A3904" t="s">
        <v>7</v>
      </c>
      <c r="B3904" t="s">
        <v>11</v>
      </c>
      <c r="C3904" s="1">
        <v>46042.912499999999</v>
      </c>
      <c r="D3904" s="1">
        <v>46112.7</v>
      </c>
      <c r="E3904" s="2">
        <f t="shared" si="60"/>
        <v>69.787499999998545</v>
      </c>
    </row>
    <row r="3905" spans="1:5" x14ac:dyDescent="0.25">
      <c r="A3905" t="s">
        <v>5</v>
      </c>
      <c r="B3905" t="s">
        <v>8</v>
      </c>
      <c r="C3905" s="1">
        <v>46078.916666666657</v>
      </c>
      <c r="D3905" s="1">
        <v>46113.395833333343</v>
      </c>
      <c r="E3905" s="2">
        <f t="shared" si="60"/>
        <v>34.479166666686069</v>
      </c>
    </row>
    <row r="3906" spans="1:5" x14ac:dyDescent="0.25">
      <c r="A3906" t="s">
        <v>5</v>
      </c>
      <c r="B3906" t="s">
        <v>8</v>
      </c>
      <c r="C3906" s="1">
        <v>46065.004166666673</v>
      </c>
      <c r="D3906" s="1">
        <v>46099.525000000001</v>
      </c>
      <c r="E3906" s="2">
        <f t="shared" ref="E3906:E3969" si="61">D3906-C3906</f>
        <v>34.520833333328483</v>
      </c>
    </row>
    <row r="3907" spans="1:5" x14ac:dyDescent="0.25">
      <c r="A3907" t="s">
        <v>7</v>
      </c>
      <c r="B3907" t="s">
        <v>8</v>
      </c>
      <c r="C3907" s="1">
        <v>45940.345833333333</v>
      </c>
      <c r="D3907" s="1">
        <v>45989.166666666657</v>
      </c>
      <c r="E3907" s="2">
        <f t="shared" si="61"/>
        <v>48.820833333324117</v>
      </c>
    </row>
    <row r="3908" spans="1:5" x14ac:dyDescent="0.25">
      <c r="A3908" t="s">
        <v>5</v>
      </c>
      <c r="B3908" t="s">
        <v>8</v>
      </c>
      <c r="C3908" s="1">
        <v>46049.5</v>
      </c>
      <c r="D3908" s="1">
        <v>46091.345833333333</v>
      </c>
      <c r="E3908" s="2">
        <f t="shared" si="61"/>
        <v>41.845833333332848</v>
      </c>
    </row>
    <row r="3909" spans="1:5" x14ac:dyDescent="0.25">
      <c r="A3909" t="s">
        <v>7</v>
      </c>
      <c r="B3909" t="s">
        <v>8</v>
      </c>
      <c r="C3909" s="1">
        <v>45903.083333333343</v>
      </c>
      <c r="D3909" s="1">
        <v>45938.662499999999</v>
      </c>
      <c r="E3909" s="2">
        <f t="shared" si="61"/>
        <v>35.57916666665551</v>
      </c>
    </row>
    <row r="3910" spans="1:5" x14ac:dyDescent="0.25">
      <c r="A3910" t="s">
        <v>7</v>
      </c>
      <c r="B3910" t="s">
        <v>8</v>
      </c>
      <c r="C3910" s="1">
        <v>45822.8</v>
      </c>
      <c r="D3910" s="1">
        <v>45875.612500000003</v>
      </c>
      <c r="E3910" s="2">
        <f t="shared" si="61"/>
        <v>52.8125</v>
      </c>
    </row>
    <row r="3911" spans="1:5" x14ac:dyDescent="0.25">
      <c r="A3911" t="s">
        <v>7</v>
      </c>
      <c r="B3911" t="s">
        <v>8</v>
      </c>
      <c r="C3911" s="1">
        <v>45785.595833333333</v>
      </c>
      <c r="D3911" s="1">
        <v>45818.433333333327</v>
      </c>
      <c r="E3911" s="2">
        <f t="shared" si="61"/>
        <v>32.837499999994179</v>
      </c>
    </row>
    <row r="3912" spans="1:5" x14ac:dyDescent="0.25">
      <c r="A3912" t="s">
        <v>5</v>
      </c>
      <c r="B3912" t="s">
        <v>8</v>
      </c>
      <c r="C3912" s="1">
        <v>46128.754166666673</v>
      </c>
      <c r="D3912" s="1">
        <v>46162.866666666669</v>
      </c>
      <c r="E3912" s="2">
        <f t="shared" si="61"/>
        <v>34.112499999995634</v>
      </c>
    </row>
    <row r="3913" spans="1:5" x14ac:dyDescent="0.25">
      <c r="A3913" t="s">
        <v>7</v>
      </c>
      <c r="B3913" t="s">
        <v>8</v>
      </c>
      <c r="C3913" s="1">
        <v>45911.604166666657</v>
      </c>
      <c r="D3913" s="1">
        <v>45948.104166666657</v>
      </c>
      <c r="E3913" s="2">
        <f t="shared" si="61"/>
        <v>36.5</v>
      </c>
    </row>
    <row r="3914" spans="1:5" x14ac:dyDescent="0.25">
      <c r="A3914" t="s">
        <v>7</v>
      </c>
      <c r="B3914" t="s">
        <v>8</v>
      </c>
      <c r="C3914" s="1">
        <v>45881.695833333331</v>
      </c>
      <c r="D3914" s="1">
        <v>45938.662499999999</v>
      </c>
      <c r="E3914" s="2">
        <f t="shared" si="61"/>
        <v>56.966666666667152</v>
      </c>
    </row>
    <row r="3915" spans="1:5" x14ac:dyDescent="0.25">
      <c r="A3915" t="s">
        <v>5</v>
      </c>
      <c r="B3915" t="s">
        <v>8</v>
      </c>
      <c r="C3915" s="1">
        <v>46018.725694444453</v>
      </c>
      <c r="D3915" s="1">
        <v>46071.058333333327</v>
      </c>
      <c r="E3915" s="2">
        <f t="shared" si="61"/>
        <v>52.332638888874499</v>
      </c>
    </row>
    <row r="3916" spans="1:5" x14ac:dyDescent="0.25">
      <c r="A3916" t="s">
        <v>5</v>
      </c>
      <c r="B3916" t="s">
        <v>8</v>
      </c>
      <c r="C3916" s="1">
        <v>46115.291666666657</v>
      </c>
      <c r="D3916" s="1">
        <v>46188.845833333333</v>
      </c>
      <c r="E3916" s="2">
        <f t="shared" si="61"/>
        <v>73.554166666675883</v>
      </c>
    </row>
    <row r="3917" spans="1:5" x14ac:dyDescent="0.25">
      <c r="A3917" t="s">
        <v>7</v>
      </c>
      <c r="B3917" t="s">
        <v>8</v>
      </c>
      <c r="C3917" s="1">
        <v>45920.587500000001</v>
      </c>
      <c r="D3917" s="1">
        <v>45965.662499999999</v>
      </c>
      <c r="E3917" s="2">
        <f t="shared" si="61"/>
        <v>45.07499999999709</v>
      </c>
    </row>
    <row r="3918" spans="1:5" x14ac:dyDescent="0.25">
      <c r="A3918" t="s">
        <v>7</v>
      </c>
      <c r="B3918" t="s">
        <v>8</v>
      </c>
      <c r="C3918" s="1">
        <v>45911.702777777777</v>
      </c>
      <c r="D3918" s="1">
        <v>45948.104166666657</v>
      </c>
      <c r="E3918" s="2">
        <f t="shared" si="61"/>
        <v>36.401388888880319</v>
      </c>
    </row>
    <row r="3919" spans="1:5" x14ac:dyDescent="0.25">
      <c r="A3919" t="s">
        <v>5</v>
      </c>
      <c r="B3919" t="s">
        <v>6</v>
      </c>
      <c r="C3919" s="1">
        <v>46093.616666666669</v>
      </c>
      <c r="D3919" s="1">
        <v>46156.729166666657</v>
      </c>
      <c r="E3919" s="2">
        <f t="shared" si="61"/>
        <v>63.112499999988358</v>
      </c>
    </row>
    <row r="3920" spans="1:5" x14ac:dyDescent="0.25">
      <c r="A3920" t="s">
        <v>7</v>
      </c>
      <c r="B3920" t="s">
        <v>8</v>
      </c>
      <c r="C3920" s="1">
        <v>45834.537499999999</v>
      </c>
      <c r="D3920" s="1">
        <v>45885.783333333333</v>
      </c>
      <c r="E3920" s="2">
        <f t="shared" si="61"/>
        <v>51.245833333334303</v>
      </c>
    </row>
    <row r="3921" spans="1:5" x14ac:dyDescent="0.25">
      <c r="A3921" t="s">
        <v>7</v>
      </c>
      <c r="B3921" t="s">
        <v>8</v>
      </c>
      <c r="C3921" s="1">
        <v>45931.208333333343</v>
      </c>
      <c r="D3921" s="1">
        <v>45966.508333333331</v>
      </c>
      <c r="E3921" s="2">
        <f t="shared" si="61"/>
        <v>35.299999999988358</v>
      </c>
    </row>
    <row r="3922" spans="1:5" x14ac:dyDescent="0.25">
      <c r="A3922" t="s">
        <v>7</v>
      </c>
      <c r="B3922" t="s">
        <v>8</v>
      </c>
      <c r="C3922" s="1">
        <v>45940.345833333333</v>
      </c>
      <c r="D3922" s="1">
        <v>45989.166666666657</v>
      </c>
      <c r="E3922" s="2">
        <f t="shared" si="61"/>
        <v>48.820833333324117</v>
      </c>
    </row>
    <row r="3923" spans="1:5" x14ac:dyDescent="0.25">
      <c r="A3923" t="s">
        <v>7</v>
      </c>
      <c r="B3923" t="s">
        <v>8</v>
      </c>
      <c r="C3923" s="1">
        <v>45891.654166666667</v>
      </c>
      <c r="D3923" s="1">
        <v>45938.662499999999</v>
      </c>
      <c r="E3923" s="2">
        <f t="shared" si="61"/>
        <v>47.008333333331393</v>
      </c>
    </row>
    <row r="3924" spans="1:5" x14ac:dyDescent="0.25">
      <c r="A3924" t="s">
        <v>7</v>
      </c>
      <c r="B3924" t="s">
        <v>8</v>
      </c>
      <c r="C3924" s="1">
        <v>45911.68472222222</v>
      </c>
      <c r="D3924" s="1">
        <v>45948.104166666657</v>
      </c>
      <c r="E3924" s="2">
        <f t="shared" si="61"/>
        <v>36.419444444436522</v>
      </c>
    </row>
    <row r="3925" spans="1:5" x14ac:dyDescent="0.25">
      <c r="A3925" t="s">
        <v>9</v>
      </c>
      <c r="B3925" t="s">
        <v>11</v>
      </c>
      <c r="C3925" s="1">
        <v>46087.241666666669</v>
      </c>
      <c r="D3925" s="1">
        <v>46140.29583333333</v>
      </c>
      <c r="E3925" s="2">
        <f t="shared" si="61"/>
        <v>53.054166666661331</v>
      </c>
    </row>
    <row r="3926" spans="1:5" x14ac:dyDescent="0.25">
      <c r="A3926" t="s">
        <v>7</v>
      </c>
      <c r="B3926" t="s">
        <v>8</v>
      </c>
      <c r="C3926" s="1">
        <v>45911.604166666657</v>
      </c>
      <c r="D3926" s="1">
        <v>45948.104166666657</v>
      </c>
      <c r="E3926" s="2">
        <f t="shared" si="61"/>
        <v>36.5</v>
      </c>
    </row>
    <row r="3927" spans="1:5" x14ac:dyDescent="0.25">
      <c r="A3927" t="s">
        <v>7</v>
      </c>
      <c r="B3927" t="s">
        <v>8</v>
      </c>
      <c r="C3927" s="1">
        <v>45785.583333333343</v>
      </c>
      <c r="D3927" s="1">
        <v>45818.416666666657</v>
      </c>
      <c r="E3927" s="2">
        <f t="shared" si="61"/>
        <v>32.833333333313931</v>
      </c>
    </row>
    <row r="3928" spans="1:5" x14ac:dyDescent="0.25">
      <c r="A3928" t="s">
        <v>7</v>
      </c>
      <c r="B3928" t="s">
        <v>8</v>
      </c>
      <c r="C3928" s="1">
        <v>45931.208333333343</v>
      </c>
      <c r="D3928" s="1">
        <v>45966.508333333331</v>
      </c>
      <c r="E3928" s="2">
        <f t="shared" si="61"/>
        <v>35.299999999988358</v>
      </c>
    </row>
    <row r="3929" spans="1:5" x14ac:dyDescent="0.25">
      <c r="A3929" t="s">
        <v>7</v>
      </c>
      <c r="B3929" t="s">
        <v>11</v>
      </c>
      <c r="C3929" s="1">
        <v>45903.71597222222</v>
      </c>
      <c r="D3929" s="1">
        <v>45971.879166666673</v>
      </c>
      <c r="E3929" s="2">
        <f t="shared" si="61"/>
        <v>68.163194444452529</v>
      </c>
    </row>
    <row r="3930" spans="1:5" x14ac:dyDescent="0.25">
      <c r="A3930" t="s">
        <v>5</v>
      </c>
      <c r="B3930" t="s">
        <v>8</v>
      </c>
      <c r="C3930" s="1">
        <v>46128.754166666673</v>
      </c>
      <c r="D3930" s="1">
        <v>46162.866666666669</v>
      </c>
      <c r="E3930" s="2">
        <f t="shared" si="61"/>
        <v>34.112499999995634</v>
      </c>
    </row>
    <row r="3931" spans="1:5" x14ac:dyDescent="0.25">
      <c r="A3931" t="s">
        <v>7</v>
      </c>
      <c r="B3931" t="s">
        <v>8</v>
      </c>
      <c r="C3931" s="1">
        <v>45911.595138888893</v>
      </c>
      <c r="D3931" s="1">
        <v>45948.104166666657</v>
      </c>
      <c r="E3931" s="2">
        <f t="shared" si="61"/>
        <v>36.509027777763549</v>
      </c>
    </row>
    <row r="3932" spans="1:5" x14ac:dyDescent="0.25">
      <c r="A3932" t="s">
        <v>5</v>
      </c>
      <c r="B3932" t="s">
        <v>8</v>
      </c>
      <c r="C3932" s="1">
        <v>46078.916666666657</v>
      </c>
      <c r="D3932" s="1">
        <v>46113.395833333343</v>
      </c>
      <c r="E3932" s="2">
        <f t="shared" si="61"/>
        <v>34.479166666686069</v>
      </c>
    </row>
    <row r="3933" spans="1:5" x14ac:dyDescent="0.25">
      <c r="A3933" t="s">
        <v>7</v>
      </c>
      <c r="B3933" t="s">
        <v>8</v>
      </c>
      <c r="C3933" s="1">
        <v>45777.64166666667</v>
      </c>
      <c r="D3933" s="1">
        <v>45818.433333333327</v>
      </c>
      <c r="E3933" s="2">
        <f t="shared" si="61"/>
        <v>40.791666666656965</v>
      </c>
    </row>
    <row r="3934" spans="1:5" x14ac:dyDescent="0.25">
      <c r="A3934" t="s">
        <v>5</v>
      </c>
      <c r="B3934" t="s">
        <v>8</v>
      </c>
      <c r="C3934" s="1">
        <v>46101.51666666667</v>
      </c>
      <c r="D3934" s="1">
        <v>46146.737500000003</v>
      </c>
      <c r="E3934" s="2">
        <f t="shared" si="61"/>
        <v>45.220833333332848</v>
      </c>
    </row>
    <row r="3935" spans="1:5" x14ac:dyDescent="0.25">
      <c r="A3935" t="s">
        <v>9</v>
      </c>
      <c r="B3935" t="s">
        <v>8</v>
      </c>
      <c r="C3935" s="1">
        <v>45908.987500000003</v>
      </c>
      <c r="D3935" s="1">
        <v>45976.39166666667</v>
      </c>
      <c r="E3935" s="2">
        <f t="shared" si="61"/>
        <v>67.404166666667152</v>
      </c>
    </row>
    <row r="3936" spans="1:5" x14ac:dyDescent="0.25">
      <c r="A3936" t="s">
        <v>7</v>
      </c>
      <c r="B3936" t="s">
        <v>8</v>
      </c>
      <c r="C3936" s="1">
        <v>45800.645833333343</v>
      </c>
      <c r="D3936" s="1">
        <v>45839.3125</v>
      </c>
      <c r="E3936" s="2">
        <f t="shared" si="61"/>
        <v>38.666666666656965</v>
      </c>
    </row>
    <row r="3937" spans="1:5" x14ac:dyDescent="0.25">
      <c r="A3937" t="s">
        <v>7</v>
      </c>
      <c r="B3937" t="s">
        <v>8</v>
      </c>
      <c r="C3937" s="1">
        <v>45903.083333333343</v>
      </c>
      <c r="D3937" s="1">
        <v>45938.662499999999</v>
      </c>
      <c r="E3937" s="2">
        <f t="shared" si="61"/>
        <v>35.57916666665551</v>
      </c>
    </row>
    <row r="3938" spans="1:5" x14ac:dyDescent="0.25">
      <c r="A3938" t="s">
        <v>5</v>
      </c>
      <c r="B3938" t="s">
        <v>8</v>
      </c>
      <c r="C3938" s="1">
        <v>46065.004166666673</v>
      </c>
      <c r="D3938" s="1">
        <v>46099.525000000001</v>
      </c>
      <c r="E3938" s="2">
        <f t="shared" si="61"/>
        <v>34.520833333328483</v>
      </c>
    </row>
    <row r="3939" spans="1:5" x14ac:dyDescent="0.25">
      <c r="A3939" t="s">
        <v>7</v>
      </c>
      <c r="B3939" t="s">
        <v>8</v>
      </c>
      <c r="C3939" s="1">
        <v>45843.85</v>
      </c>
      <c r="D3939" s="1">
        <v>45910.25</v>
      </c>
      <c r="E3939" s="2">
        <f t="shared" si="61"/>
        <v>66.400000000001455</v>
      </c>
    </row>
    <row r="3940" spans="1:5" x14ac:dyDescent="0.25">
      <c r="A3940" t="s">
        <v>48</v>
      </c>
      <c r="B3940" t="s">
        <v>12</v>
      </c>
      <c r="C3940" s="1">
        <v>45804.6875</v>
      </c>
      <c r="D3940" s="1">
        <v>45856.2</v>
      </c>
      <c r="E3940" s="2">
        <f t="shared" si="61"/>
        <v>51.51249999999709</v>
      </c>
    </row>
    <row r="3941" spans="1:5" x14ac:dyDescent="0.25">
      <c r="A3941" t="s">
        <v>7</v>
      </c>
      <c r="B3941" t="s">
        <v>8</v>
      </c>
      <c r="C3941" s="1">
        <v>45778.629166666673</v>
      </c>
      <c r="D3941" s="1">
        <v>45818.433333333327</v>
      </c>
      <c r="E3941" s="2">
        <f t="shared" si="61"/>
        <v>39.804166666654055</v>
      </c>
    </row>
    <row r="3942" spans="1:5" x14ac:dyDescent="0.25">
      <c r="A3942" t="s">
        <v>5</v>
      </c>
      <c r="B3942" t="s">
        <v>6</v>
      </c>
      <c r="C3942" s="1">
        <v>45840.166666666657</v>
      </c>
      <c r="D3942" s="1">
        <v>45902.470833333333</v>
      </c>
      <c r="E3942" s="2">
        <f t="shared" si="61"/>
        <v>62.304166666675883</v>
      </c>
    </row>
    <row r="3943" spans="1:5" x14ac:dyDescent="0.25">
      <c r="A3943" t="s">
        <v>7</v>
      </c>
      <c r="B3943" t="s">
        <v>8</v>
      </c>
      <c r="C3943" s="1">
        <v>46002.212500000001</v>
      </c>
      <c r="D3943" s="1">
        <v>46047.712500000001</v>
      </c>
      <c r="E3943" s="2">
        <f t="shared" si="61"/>
        <v>45.5</v>
      </c>
    </row>
    <row r="3944" spans="1:5" x14ac:dyDescent="0.25">
      <c r="A3944" t="s">
        <v>9</v>
      </c>
      <c r="B3944" t="s">
        <v>11</v>
      </c>
      <c r="C3944" s="1">
        <v>46042.712500000001</v>
      </c>
      <c r="D3944" s="1">
        <v>46126.425000000003</v>
      </c>
      <c r="E3944" s="2">
        <f t="shared" si="61"/>
        <v>83.712500000001455</v>
      </c>
    </row>
    <row r="3945" spans="1:5" x14ac:dyDescent="0.25">
      <c r="A3945" t="s">
        <v>7</v>
      </c>
      <c r="B3945" t="s">
        <v>11</v>
      </c>
      <c r="C3945" s="1">
        <v>46092.262499999997</v>
      </c>
      <c r="D3945" s="1">
        <v>46168.354166666657</v>
      </c>
      <c r="E3945" s="2">
        <f t="shared" si="61"/>
        <v>76.091666666659876</v>
      </c>
    </row>
    <row r="3946" spans="1:5" x14ac:dyDescent="0.25">
      <c r="A3946" t="s">
        <v>7</v>
      </c>
      <c r="B3946" t="s">
        <v>8</v>
      </c>
      <c r="C3946" s="1">
        <v>45875.462500000001</v>
      </c>
      <c r="D3946" s="1">
        <v>45920.2</v>
      </c>
      <c r="E3946" s="2">
        <f t="shared" si="61"/>
        <v>44.737499999995634</v>
      </c>
    </row>
    <row r="3947" spans="1:5" x14ac:dyDescent="0.25">
      <c r="A3947" t="s">
        <v>7</v>
      </c>
      <c r="B3947" t="s">
        <v>8</v>
      </c>
      <c r="C3947" s="1">
        <v>45875.257638888892</v>
      </c>
      <c r="D3947" s="1">
        <v>45920.2</v>
      </c>
      <c r="E3947" s="2">
        <f t="shared" si="61"/>
        <v>44.942361111105129</v>
      </c>
    </row>
    <row r="3948" spans="1:5" x14ac:dyDescent="0.25">
      <c r="A3948" t="s">
        <v>7</v>
      </c>
      <c r="B3948" t="s">
        <v>8</v>
      </c>
      <c r="C3948" s="1">
        <v>45911.604166666657</v>
      </c>
      <c r="D3948" s="1">
        <v>45948.104166666657</v>
      </c>
      <c r="E3948" s="2">
        <f t="shared" si="61"/>
        <v>36.5</v>
      </c>
    </row>
    <row r="3949" spans="1:5" x14ac:dyDescent="0.25">
      <c r="A3949" t="s">
        <v>8</v>
      </c>
      <c r="B3949" t="s">
        <v>18</v>
      </c>
      <c r="C3949" s="1">
        <v>45835.231249999997</v>
      </c>
      <c r="D3949" s="1">
        <v>45862.763888888891</v>
      </c>
      <c r="E3949" s="2">
        <f t="shared" si="61"/>
        <v>27.532638888893416</v>
      </c>
    </row>
    <row r="3950" spans="1:5" x14ac:dyDescent="0.25">
      <c r="A3950" t="s">
        <v>45</v>
      </c>
      <c r="B3950" t="s">
        <v>19</v>
      </c>
      <c r="C3950" s="1">
        <v>45950.613194444442</v>
      </c>
      <c r="D3950" s="1">
        <v>45990.226388888892</v>
      </c>
      <c r="E3950" s="2">
        <f t="shared" si="61"/>
        <v>39.613194444449618</v>
      </c>
    </row>
    <row r="3951" spans="1:5" x14ac:dyDescent="0.25">
      <c r="A3951" t="s">
        <v>7</v>
      </c>
      <c r="B3951" t="s">
        <v>25</v>
      </c>
      <c r="C3951" s="1">
        <v>46189.305162037039</v>
      </c>
      <c r="D3951" s="1">
        <v>46253.418749999997</v>
      </c>
      <c r="E3951" s="2">
        <f t="shared" si="61"/>
        <v>64.113587962958263</v>
      </c>
    </row>
    <row r="3952" spans="1:5" x14ac:dyDescent="0.25">
      <c r="A3952" t="s">
        <v>22</v>
      </c>
      <c r="B3952" t="s">
        <v>51</v>
      </c>
      <c r="C3952" s="1">
        <v>45984.224305555559</v>
      </c>
      <c r="D3952" s="1">
        <v>46039.305555555547</v>
      </c>
      <c r="E3952" s="2">
        <f t="shared" si="61"/>
        <v>55.081249999988358</v>
      </c>
    </row>
    <row r="3953" spans="1:5" x14ac:dyDescent="0.25">
      <c r="A3953" t="s">
        <v>41</v>
      </c>
      <c r="B3953" t="s">
        <v>43</v>
      </c>
      <c r="C3953" s="1">
        <v>46104.176388888889</v>
      </c>
      <c r="D3953" s="1">
        <v>46141.302083333343</v>
      </c>
      <c r="E3953" s="2">
        <f t="shared" si="61"/>
        <v>37.125694444453984</v>
      </c>
    </row>
    <row r="3954" spans="1:5" x14ac:dyDescent="0.25">
      <c r="A3954" t="s">
        <v>28</v>
      </c>
      <c r="B3954" t="s">
        <v>12</v>
      </c>
      <c r="C3954" s="1">
        <v>46050.475694444453</v>
      </c>
      <c r="D3954" s="1">
        <v>46056.322916666657</v>
      </c>
      <c r="E3954" s="2">
        <f t="shared" si="61"/>
        <v>5.8472222222044365</v>
      </c>
    </row>
    <row r="3955" spans="1:5" x14ac:dyDescent="0.25">
      <c r="A3955" t="s">
        <v>15</v>
      </c>
      <c r="B3955" t="s">
        <v>16</v>
      </c>
      <c r="C3955" s="1">
        <v>46165.148611111108</v>
      </c>
      <c r="D3955" s="1">
        <v>46183.720833333333</v>
      </c>
      <c r="E3955" s="2">
        <f t="shared" si="61"/>
        <v>18.572222222224809</v>
      </c>
    </row>
    <row r="3956" spans="1:5" x14ac:dyDescent="0.25">
      <c r="A3956" t="s">
        <v>15</v>
      </c>
      <c r="B3956" t="s">
        <v>8</v>
      </c>
      <c r="C3956" s="1">
        <v>46152.666666666657</v>
      </c>
      <c r="D3956" s="1">
        <v>46191.105555555558</v>
      </c>
      <c r="E3956" s="2">
        <f t="shared" si="61"/>
        <v>38.438888888900692</v>
      </c>
    </row>
    <row r="3957" spans="1:5" x14ac:dyDescent="0.25">
      <c r="A3957" t="s">
        <v>15</v>
      </c>
      <c r="B3957" t="s">
        <v>43</v>
      </c>
      <c r="C3957" s="1">
        <v>46218.63958333333</v>
      </c>
      <c r="D3957" s="1">
        <v>46262.838888888888</v>
      </c>
      <c r="E3957" s="2">
        <f t="shared" si="61"/>
        <v>44.199305555557657</v>
      </c>
    </row>
    <row r="3958" spans="1:5" x14ac:dyDescent="0.25">
      <c r="A3958" t="s">
        <v>15</v>
      </c>
      <c r="B3958" t="s">
        <v>16</v>
      </c>
      <c r="C3958" s="1">
        <v>46210.104166666657</v>
      </c>
      <c r="D3958" s="1">
        <v>46230.572916666657</v>
      </c>
      <c r="E3958" s="2">
        <f t="shared" si="61"/>
        <v>20.46875</v>
      </c>
    </row>
    <row r="3959" spans="1:5" x14ac:dyDescent="0.25">
      <c r="A3959" t="s">
        <v>15</v>
      </c>
      <c r="B3959" t="s">
        <v>16</v>
      </c>
      <c r="C3959" s="1">
        <v>46194.166666666657</v>
      </c>
      <c r="D3959" s="1">
        <v>46214.020138888889</v>
      </c>
      <c r="E3959" s="2">
        <f t="shared" si="61"/>
        <v>19.853472222232085</v>
      </c>
    </row>
    <row r="3960" spans="1:5" x14ac:dyDescent="0.25">
      <c r="A3960" t="s">
        <v>15</v>
      </c>
      <c r="B3960" t="s">
        <v>43</v>
      </c>
      <c r="C3960" s="1">
        <v>46229.473611111112</v>
      </c>
      <c r="D3960" s="1">
        <v>46270.4375</v>
      </c>
      <c r="E3960" s="2">
        <f t="shared" si="61"/>
        <v>40.963888888887595</v>
      </c>
    </row>
    <row r="3961" spans="1:5" x14ac:dyDescent="0.25">
      <c r="A3961" t="s">
        <v>22</v>
      </c>
      <c r="B3961" t="s">
        <v>51</v>
      </c>
      <c r="C3961" s="1">
        <v>45722.541666666657</v>
      </c>
      <c r="D3961" s="1">
        <v>45784.277777777781</v>
      </c>
      <c r="E3961" s="2">
        <f t="shared" si="61"/>
        <v>61.736111111124046</v>
      </c>
    </row>
    <row r="3962" spans="1:5" x14ac:dyDescent="0.25">
      <c r="A3962" t="s">
        <v>22</v>
      </c>
      <c r="B3962" t="s">
        <v>36</v>
      </c>
      <c r="C3962" s="1">
        <v>45673.4375</v>
      </c>
      <c r="D3962" s="1">
        <v>45735.02847222222</v>
      </c>
      <c r="E3962" s="2">
        <f t="shared" si="61"/>
        <v>61.590972222220444</v>
      </c>
    </row>
    <row r="3963" spans="1:5" x14ac:dyDescent="0.25">
      <c r="A3963" t="s">
        <v>22</v>
      </c>
      <c r="B3963" t="s">
        <v>51</v>
      </c>
      <c r="C3963" s="1">
        <v>45695.5</v>
      </c>
      <c r="D3963" s="1">
        <v>45780.277777777781</v>
      </c>
      <c r="E3963" s="2">
        <f t="shared" si="61"/>
        <v>84.777777777781012</v>
      </c>
    </row>
    <row r="3964" spans="1:5" x14ac:dyDescent="0.25">
      <c r="A3964" t="s">
        <v>19</v>
      </c>
      <c r="B3964" t="s">
        <v>54</v>
      </c>
      <c r="C3964" s="1">
        <v>46026.484027777777</v>
      </c>
      <c r="D3964" s="1">
        <v>46061.53125</v>
      </c>
      <c r="E3964" s="2">
        <f t="shared" si="61"/>
        <v>35.047222222223354</v>
      </c>
    </row>
    <row r="3965" spans="1:5" x14ac:dyDescent="0.25">
      <c r="A3965" t="s">
        <v>45</v>
      </c>
      <c r="B3965" t="s">
        <v>19</v>
      </c>
      <c r="C3965" s="1">
        <v>46160.28125</v>
      </c>
      <c r="D3965" s="1">
        <v>46204.585416666669</v>
      </c>
      <c r="E3965" s="2">
        <f t="shared" si="61"/>
        <v>44.304166666668607</v>
      </c>
    </row>
    <row r="3966" spans="1:5" x14ac:dyDescent="0.25">
      <c r="A3966" t="s">
        <v>14</v>
      </c>
      <c r="B3966" t="s">
        <v>22</v>
      </c>
      <c r="C3966" s="1">
        <v>45697.130555555559</v>
      </c>
      <c r="D3966" s="1">
        <v>45747.317627314813</v>
      </c>
      <c r="E3966" s="2">
        <f t="shared" si="61"/>
        <v>50.18707175925374</v>
      </c>
    </row>
    <row r="3967" spans="1:5" x14ac:dyDescent="0.25">
      <c r="A3967" t="s">
        <v>22</v>
      </c>
      <c r="B3967" t="s">
        <v>51</v>
      </c>
      <c r="C3967" s="1">
        <v>45740</v>
      </c>
      <c r="D3967" s="1">
        <v>45795.367546296293</v>
      </c>
      <c r="E3967" s="2">
        <f t="shared" si="61"/>
        <v>55.367546296292858</v>
      </c>
    </row>
    <row r="3968" spans="1:5" x14ac:dyDescent="0.25">
      <c r="A3968" t="s">
        <v>22</v>
      </c>
      <c r="B3968" t="s">
        <v>51</v>
      </c>
      <c r="C3968" s="1">
        <v>45922.167361111111</v>
      </c>
      <c r="D3968" s="1">
        <v>45978.011805555558</v>
      </c>
      <c r="E3968" s="2">
        <f t="shared" si="61"/>
        <v>55.844444444446708</v>
      </c>
    </row>
    <row r="3969" spans="1:5" x14ac:dyDescent="0.25">
      <c r="A3969" t="s">
        <v>6</v>
      </c>
      <c r="B3969" t="s">
        <v>8</v>
      </c>
      <c r="C3969" s="1">
        <v>45919.945138888892</v>
      </c>
      <c r="D3969" s="1">
        <v>45960.036805555559</v>
      </c>
      <c r="E3969" s="2">
        <f t="shared" si="61"/>
        <v>40.091666666667152</v>
      </c>
    </row>
    <row r="3970" spans="1:5" x14ac:dyDescent="0.25">
      <c r="A3970" t="s">
        <v>6</v>
      </c>
      <c r="B3970" t="s">
        <v>8</v>
      </c>
      <c r="C3970" s="1">
        <v>45892.907638888893</v>
      </c>
      <c r="D3970" s="1">
        <v>45929.677777777782</v>
      </c>
      <c r="E3970" s="2">
        <f t="shared" ref="E3970:E4033" si="62">D3970-C3970</f>
        <v>36.770138888889051</v>
      </c>
    </row>
    <row r="3971" spans="1:5" x14ac:dyDescent="0.25">
      <c r="A3971" t="s">
        <v>22</v>
      </c>
      <c r="B3971" t="s">
        <v>19</v>
      </c>
      <c r="C3971" s="1">
        <v>45831.472916666673</v>
      </c>
      <c r="D3971" s="1">
        <v>45886.305555555547</v>
      </c>
      <c r="E3971" s="2">
        <f t="shared" si="62"/>
        <v>54.832638888874499</v>
      </c>
    </row>
    <row r="3972" spans="1:5" x14ac:dyDescent="0.25">
      <c r="A3972" t="s">
        <v>7</v>
      </c>
      <c r="B3972" t="s">
        <v>18</v>
      </c>
      <c r="C3972" s="1">
        <v>46216.816666666673</v>
      </c>
      <c r="D3972" s="1">
        <v>46254.810416666667</v>
      </c>
      <c r="E3972" s="2">
        <f t="shared" si="62"/>
        <v>37.993749999994179</v>
      </c>
    </row>
    <row r="3973" spans="1:5" x14ac:dyDescent="0.25">
      <c r="A3973" t="s">
        <v>6</v>
      </c>
      <c r="B3973" t="s">
        <v>8</v>
      </c>
      <c r="C3973" s="1">
        <v>45799.326388888891</v>
      </c>
      <c r="D3973" s="1">
        <v>45839.076388888891</v>
      </c>
      <c r="E3973" s="2">
        <f t="shared" si="62"/>
        <v>39.75</v>
      </c>
    </row>
    <row r="3974" spans="1:5" x14ac:dyDescent="0.25">
      <c r="A3974" t="s">
        <v>45</v>
      </c>
      <c r="B3974" t="s">
        <v>19</v>
      </c>
      <c r="C3974" s="1">
        <v>45922.424305555563</v>
      </c>
      <c r="D3974" s="1">
        <v>45968.824305555558</v>
      </c>
      <c r="E3974" s="2">
        <f t="shared" si="62"/>
        <v>46.399999999994179</v>
      </c>
    </row>
    <row r="3975" spans="1:5" x14ac:dyDescent="0.25">
      <c r="A3975" t="s">
        <v>22</v>
      </c>
      <c r="B3975" t="s">
        <v>19</v>
      </c>
      <c r="C3975" s="1">
        <v>45859.168055555558</v>
      </c>
      <c r="D3975" s="1">
        <v>45920.620833333327</v>
      </c>
      <c r="E3975" s="2">
        <f t="shared" si="62"/>
        <v>61.45277777776937</v>
      </c>
    </row>
    <row r="3976" spans="1:5" x14ac:dyDescent="0.25">
      <c r="A3976" t="s">
        <v>15</v>
      </c>
      <c r="B3976" t="s">
        <v>18</v>
      </c>
      <c r="C3976" s="1">
        <v>45730.9375</v>
      </c>
      <c r="D3976" s="1">
        <v>45775.086111111108</v>
      </c>
      <c r="E3976" s="2">
        <f t="shared" si="62"/>
        <v>44.148611111108039</v>
      </c>
    </row>
    <row r="3977" spans="1:5" x14ac:dyDescent="0.25">
      <c r="A3977" t="s">
        <v>14</v>
      </c>
      <c r="B3977" t="s">
        <v>22</v>
      </c>
      <c r="C3977" s="1">
        <v>45690.59138888889</v>
      </c>
      <c r="D3977" s="1">
        <v>45738.298402777778</v>
      </c>
      <c r="E3977" s="2">
        <f t="shared" si="62"/>
        <v>47.707013888888469</v>
      </c>
    </row>
    <row r="3978" spans="1:5" x14ac:dyDescent="0.25">
      <c r="A3978" t="s">
        <v>22</v>
      </c>
      <c r="B3978" t="s">
        <v>19</v>
      </c>
      <c r="C3978" s="1">
        <v>45790.489583333343</v>
      </c>
      <c r="D3978" s="1">
        <v>45839.894444444442</v>
      </c>
      <c r="E3978" s="2">
        <f t="shared" si="62"/>
        <v>49.404861111099308</v>
      </c>
    </row>
    <row r="3979" spans="1:5" x14ac:dyDescent="0.25">
      <c r="A3979" t="s">
        <v>14</v>
      </c>
      <c r="B3979" t="s">
        <v>22</v>
      </c>
      <c r="C3979" s="1">
        <v>45706.748402777783</v>
      </c>
      <c r="D3979" s="1">
        <v>45761.35</v>
      </c>
      <c r="E3979" s="2">
        <f t="shared" si="62"/>
        <v>54.601597222215787</v>
      </c>
    </row>
    <row r="3980" spans="1:5" x14ac:dyDescent="0.25">
      <c r="A3980" t="s">
        <v>22</v>
      </c>
      <c r="B3980" t="s">
        <v>19</v>
      </c>
      <c r="C3980" s="1">
        <v>45817.678472222222</v>
      </c>
      <c r="D3980" s="1">
        <v>45869.829861111109</v>
      </c>
      <c r="E3980" s="2">
        <f t="shared" si="62"/>
        <v>52.151388888887595</v>
      </c>
    </row>
    <row r="3981" spans="1:5" x14ac:dyDescent="0.25">
      <c r="A3981" t="s">
        <v>22</v>
      </c>
      <c r="B3981" t="s">
        <v>51</v>
      </c>
      <c r="C3981" s="1">
        <v>46191.074305555558</v>
      </c>
      <c r="D3981" s="1">
        <v>46245.237500000003</v>
      </c>
      <c r="E3981" s="2">
        <f t="shared" si="62"/>
        <v>54.163194444445253</v>
      </c>
    </row>
    <row r="3982" spans="1:5" x14ac:dyDescent="0.25">
      <c r="A3982" t="s">
        <v>22</v>
      </c>
      <c r="B3982" t="s">
        <v>14</v>
      </c>
      <c r="C3982" s="1">
        <v>45719.020833333343</v>
      </c>
      <c r="D3982" s="1">
        <v>45763.81527777778</v>
      </c>
      <c r="E3982" s="2">
        <f t="shared" si="62"/>
        <v>44.794444444436522</v>
      </c>
    </row>
    <row r="3983" spans="1:5" x14ac:dyDescent="0.25">
      <c r="A3983" t="s">
        <v>22</v>
      </c>
      <c r="B3983" t="s">
        <v>19</v>
      </c>
      <c r="C3983" s="1">
        <v>45865.990277777782</v>
      </c>
      <c r="D3983" s="1">
        <v>45920.620833333327</v>
      </c>
      <c r="E3983" s="2">
        <f t="shared" si="62"/>
        <v>54.630555555544561</v>
      </c>
    </row>
    <row r="3984" spans="1:5" x14ac:dyDescent="0.25">
      <c r="A3984" t="s">
        <v>22</v>
      </c>
      <c r="B3984" t="s">
        <v>19</v>
      </c>
      <c r="C3984" s="1">
        <v>45790.489583333343</v>
      </c>
      <c r="D3984" s="1">
        <v>45839.894444444442</v>
      </c>
      <c r="E3984" s="2">
        <f t="shared" si="62"/>
        <v>49.404861111099308</v>
      </c>
    </row>
    <row r="3985" spans="1:5" x14ac:dyDescent="0.25">
      <c r="A3985" t="s">
        <v>22</v>
      </c>
      <c r="B3985" t="s">
        <v>51</v>
      </c>
      <c r="C3985" s="1">
        <v>45902.17083333333</v>
      </c>
      <c r="D3985" s="1">
        <v>45956.765972222223</v>
      </c>
      <c r="E3985" s="2">
        <f t="shared" si="62"/>
        <v>54.595138888893416</v>
      </c>
    </row>
    <row r="3986" spans="1:5" x14ac:dyDescent="0.25">
      <c r="A3986" t="s">
        <v>19</v>
      </c>
      <c r="B3986" t="s">
        <v>54</v>
      </c>
      <c r="C3986" s="1">
        <v>45886.208333333343</v>
      </c>
      <c r="D3986" s="1">
        <v>45922.131249999999</v>
      </c>
      <c r="E3986" s="2">
        <f t="shared" si="62"/>
        <v>35.92291666665551</v>
      </c>
    </row>
    <row r="3987" spans="1:5" x14ac:dyDescent="0.25">
      <c r="A3987" t="s">
        <v>14</v>
      </c>
      <c r="B3987" t="s">
        <v>22</v>
      </c>
      <c r="C3987" s="1">
        <v>45706.748402777783</v>
      </c>
      <c r="D3987" s="1">
        <v>45761.290856481479</v>
      </c>
      <c r="E3987" s="2">
        <f t="shared" si="62"/>
        <v>54.542453703696083</v>
      </c>
    </row>
    <row r="3988" spans="1:5" x14ac:dyDescent="0.25">
      <c r="A3988" t="s">
        <v>22</v>
      </c>
      <c r="B3988" t="s">
        <v>51</v>
      </c>
      <c r="C3988" s="1">
        <v>45665.041666666657</v>
      </c>
      <c r="D3988" s="1">
        <v>45711</v>
      </c>
      <c r="E3988" s="2">
        <f t="shared" si="62"/>
        <v>45.958333333343035</v>
      </c>
    </row>
    <row r="3989" spans="1:5" x14ac:dyDescent="0.25">
      <c r="A3989" t="s">
        <v>7</v>
      </c>
      <c r="B3989" t="s">
        <v>25</v>
      </c>
      <c r="C3989" s="1">
        <v>46203.318506944437</v>
      </c>
      <c r="D3989" s="1">
        <v>46280.880555555559</v>
      </c>
      <c r="E3989" s="2">
        <f t="shared" si="62"/>
        <v>77.562048611122009</v>
      </c>
    </row>
    <row r="3990" spans="1:5" x14ac:dyDescent="0.25">
      <c r="A3990" t="s">
        <v>8</v>
      </c>
      <c r="B3990" t="s">
        <v>18</v>
      </c>
      <c r="C3990" s="1">
        <v>46128.911111111112</v>
      </c>
      <c r="D3990" s="1">
        <v>46157.072222222218</v>
      </c>
      <c r="E3990" s="2">
        <f t="shared" si="62"/>
        <v>28.161111111105129</v>
      </c>
    </row>
    <row r="3991" spans="1:5" x14ac:dyDescent="0.25">
      <c r="A3991" t="s">
        <v>22</v>
      </c>
      <c r="B3991" t="s">
        <v>51</v>
      </c>
      <c r="C3991" s="1">
        <v>45754.15625</v>
      </c>
      <c r="D3991" s="1">
        <v>45811</v>
      </c>
      <c r="E3991" s="2">
        <f t="shared" si="62"/>
        <v>56.84375</v>
      </c>
    </row>
    <row r="3992" spans="1:5" x14ac:dyDescent="0.25">
      <c r="A3992" t="s">
        <v>22</v>
      </c>
      <c r="B3992" t="s">
        <v>19</v>
      </c>
      <c r="C3992" s="1">
        <v>45809.541666666657</v>
      </c>
      <c r="D3992" s="1">
        <v>45860.896527777782</v>
      </c>
      <c r="E3992" s="2">
        <f t="shared" si="62"/>
        <v>51.354861111125501</v>
      </c>
    </row>
    <row r="3993" spans="1:5" x14ac:dyDescent="0.25">
      <c r="A3993" t="s">
        <v>17</v>
      </c>
      <c r="B3993" t="s">
        <v>18</v>
      </c>
      <c r="C3993" s="1">
        <v>45868.010416666657</v>
      </c>
      <c r="D3993" s="1">
        <v>45936.236805555563</v>
      </c>
      <c r="E3993" s="2">
        <f t="shared" si="62"/>
        <v>68.226388888906513</v>
      </c>
    </row>
    <row r="3994" spans="1:5" x14ac:dyDescent="0.25">
      <c r="A3994" t="s">
        <v>6</v>
      </c>
      <c r="B3994" t="s">
        <v>8</v>
      </c>
      <c r="C3994" s="1">
        <v>46084.915277777778</v>
      </c>
      <c r="D3994" s="1">
        <v>46118.716666666667</v>
      </c>
      <c r="E3994" s="2">
        <f t="shared" si="62"/>
        <v>33.801388888889051</v>
      </c>
    </row>
    <row r="3995" spans="1:5" x14ac:dyDescent="0.25">
      <c r="A3995" t="s">
        <v>8</v>
      </c>
      <c r="B3995" t="s">
        <v>18</v>
      </c>
      <c r="C3995" s="1">
        <v>46143.663194444453</v>
      </c>
      <c r="D3995" s="1">
        <v>46181.288194444453</v>
      </c>
      <c r="E3995" s="2">
        <f t="shared" si="62"/>
        <v>37.625</v>
      </c>
    </row>
    <row r="3996" spans="1:5" x14ac:dyDescent="0.25">
      <c r="A3996" t="s">
        <v>22</v>
      </c>
      <c r="B3996" t="s">
        <v>19</v>
      </c>
      <c r="C3996" s="1">
        <v>45809.541666666657</v>
      </c>
      <c r="D3996" s="1">
        <v>45860.896527777782</v>
      </c>
      <c r="E3996" s="2">
        <f t="shared" si="62"/>
        <v>51.354861111125501</v>
      </c>
    </row>
    <row r="3997" spans="1:5" x14ac:dyDescent="0.25">
      <c r="A3997" t="s">
        <v>6</v>
      </c>
      <c r="B3997" t="s">
        <v>8</v>
      </c>
      <c r="C3997" s="1">
        <v>46077.829861111109</v>
      </c>
      <c r="D3997" s="1">
        <v>46133.212500000001</v>
      </c>
      <c r="E3997" s="2">
        <f t="shared" si="62"/>
        <v>55.382638888891961</v>
      </c>
    </row>
    <row r="3998" spans="1:5" x14ac:dyDescent="0.25">
      <c r="A3998" t="s">
        <v>8</v>
      </c>
      <c r="B3998" t="s">
        <v>18</v>
      </c>
      <c r="C3998" s="1">
        <v>46114.920138888891</v>
      </c>
      <c r="D3998" s="1">
        <v>46149.688888888893</v>
      </c>
      <c r="E3998" s="2">
        <f t="shared" si="62"/>
        <v>34.76875000000291</v>
      </c>
    </row>
    <row r="3999" spans="1:5" x14ac:dyDescent="0.25">
      <c r="A3999" t="s">
        <v>22</v>
      </c>
      <c r="B3999" t="s">
        <v>19</v>
      </c>
      <c r="C3999" s="1">
        <v>45950.506249999999</v>
      </c>
      <c r="D3999" s="1">
        <v>46005.897222222222</v>
      </c>
      <c r="E3999" s="2">
        <f t="shared" si="62"/>
        <v>55.390972222223354</v>
      </c>
    </row>
    <row r="4000" spans="1:5" x14ac:dyDescent="0.25">
      <c r="A4000" t="s">
        <v>22</v>
      </c>
      <c r="B4000" t="s">
        <v>6</v>
      </c>
      <c r="C4000" s="1">
        <v>45859.168055555558</v>
      </c>
      <c r="D4000" s="1">
        <v>45920.779166666667</v>
      </c>
      <c r="E4000" s="2">
        <f t="shared" si="62"/>
        <v>61.611111111109494</v>
      </c>
    </row>
    <row r="4001" spans="1:5" x14ac:dyDescent="0.25">
      <c r="A4001" t="s">
        <v>8</v>
      </c>
      <c r="B4001" t="s">
        <v>18</v>
      </c>
      <c r="C4001" s="1">
        <v>46128.911111111112</v>
      </c>
      <c r="D4001" s="1">
        <v>46157.072222222218</v>
      </c>
      <c r="E4001" s="2">
        <f t="shared" si="62"/>
        <v>28.161111111105129</v>
      </c>
    </row>
    <row r="4002" spans="1:5" x14ac:dyDescent="0.25">
      <c r="A4002" t="s">
        <v>15</v>
      </c>
      <c r="B4002" t="s">
        <v>18</v>
      </c>
      <c r="C4002" s="1">
        <v>45745.210416666669</v>
      </c>
      <c r="D4002" s="1">
        <v>45789.237500000003</v>
      </c>
      <c r="E4002" s="2">
        <f t="shared" si="62"/>
        <v>44.027083333334303</v>
      </c>
    </row>
    <row r="4003" spans="1:5" x14ac:dyDescent="0.25">
      <c r="A4003" t="s">
        <v>8</v>
      </c>
      <c r="B4003" t="s">
        <v>18</v>
      </c>
      <c r="C4003" s="1">
        <v>46128.911111111112</v>
      </c>
      <c r="D4003" s="1">
        <v>46157.072222222218</v>
      </c>
      <c r="E4003" s="2">
        <f t="shared" si="62"/>
        <v>28.161111111105129</v>
      </c>
    </row>
    <row r="4004" spans="1:5" x14ac:dyDescent="0.25">
      <c r="A4004" t="s">
        <v>22</v>
      </c>
      <c r="B4004" t="s">
        <v>19</v>
      </c>
      <c r="C4004" s="1">
        <v>45831.472916666673</v>
      </c>
      <c r="D4004" s="1">
        <v>45886.305555555547</v>
      </c>
      <c r="E4004" s="2">
        <f t="shared" si="62"/>
        <v>54.832638888874499</v>
      </c>
    </row>
    <row r="4005" spans="1:5" x14ac:dyDescent="0.25">
      <c r="A4005" t="s">
        <v>22</v>
      </c>
      <c r="B4005" t="s">
        <v>19</v>
      </c>
      <c r="C4005" s="1">
        <v>45852.130555555559</v>
      </c>
      <c r="D4005" s="1">
        <v>45909.9375</v>
      </c>
      <c r="E4005" s="2">
        <f t="shared" si="62"/>
        <v>57.806944444440887</v>
      </c>
    </row>
    <row r="4006" spans="1:5" x14ac:dyDescent="0.25">
      <c r="A4006" t="s">
        <v>6</v>
      </c>
      <c r="B4006" t="s">
        <v>8</v>
      </c>
      <c r="C4006" s="1">
        <v>46063.282638888893</v>
      </c>
      <c r="D4006" s="1">
        <v>46118.716666666667</v>
      </c>
      <c r="E4006" s="2">
        <f t="shared" si="62"/>
        <v>55.434027777773736</v>
      </c>
    </row>
    <row r="4007" spans="1:5" x14ac:dyDescent="0.25">
      <c r="A4007" t="s">
        <v>22</v>
      </c>
      <c r="B4007" t="s">
        <v>19</v>
      </c>
      <c r="C4007" s="1">
        <v>45809.541666666657</v>
      </c>
      <c r="D4007" s="1">
        <v>45860.896527777782</v>
      </c>
      <c r="E4007" s="2">
        <f t="shared" si="62"/>
        <v>51.354861111125501</v>
      </c>
    </row>
    <row r="4008" spans="1:5" x14ac:dyDescent="0.25">
      <c r="A4008" t="s">
        <v>7</v>
      </c>
      <c r="B4008" t="s">
        <v>25</v>
      </c>
      <c r="C4008" s="1">
        <v>46189.305162037039</v>
      </c>
      <c r="D4008" s="1">
        <v>46253.418749999997</v>
      </c>
      <c r="E4008" s="2">
        <f t="shared" si="62"/>
        <v>64.113587962958263</v>
      </c>
    </row>
    <row r="4009" spans="1:5" x14ac:dyDescent="0.25">
      <c r="A4009" t="s">
        <v>22</v>
      </c>
      <c r="B4009" t="s">
        <v>19</v>
      </c>
      <c r="C4009" s="1">
        <v>45852.130555555559</v>
      </c>
      <c r="D4009" s="1">
        <v>45909.9375</v>
      </c>
      <c r="E4009" s="2">
        <f t="shared" si="62"/>
        <v>57.806944444440887</v>
      </c>
    </row>
    <row r="4010" spans="1:5" x14ac:dyDescent="0.25">
      <c r="A4010" t="s">
        <v>22</v>
      </c>
      <c r="B4010" t="s">
        <v>19</v>
      </c>
      <c r="C4010" s="1">
        <v>45883.51458333333</v>
      </c>
      <c r="D4010" s="1">
        <v>45944.42291666667</v>
      </c>
      <c r="E4010" s="2">
        <f t="shared" si="62"/>
        <v>60.908333333340124</v>
      </c>
    </row>
    <row r="4011" spans="1:5" x14ac:dyDescent="0.25">
      <c r="A4011" t="s">
        <v>8</v>
      </c>
      <c r="B4011" t="s">
        <v>18</v>
      </c>
      <c r="C4011" s="1">
        <v>46010.025694444441</v>
      </c>
      <c r="D4011" s="1">
        <v>46044.771527777782</v>
      </c>
      <c r="E4011" s="2">
        <f t="shared" si="62"/>
        <v>34.745833333341579</v>
      </c>
    </row>
    <row r="4012" spans="1:5" x14ac:dyDescent="0.25">
      <c r="A4012" t="s">
        <v>22</v>
      </c>
      <c r="B4012" t="s">
        <v>19</v>
      </c>
      <c r="C4012" s="1">
        <v>45823.977083333331</v>
      </c>
      <c r="D4012" s="1">
        <v>45875.595138888893</v>
      </c>
      <c r="E4012" s="2">
        <f t="shared" si="62"/>
        <v>51.618055555562023</v>
      </c>
    </row>
    <row r="4013" spans="1:5" x14ac:dyDescent="0.25">
      <c r="A4013" t="s">
        <v>6</v>
      </c>
      <c r="B4013" t="s">
        <v>8</v>
      </c>
      <c r="C4013" s="1">
        <v>45869.1875</v>
      </c>
      <c r="D4013" s="1">
        <v>45909.414583333331</v>
      </c>
      <c r="E4013" s="2">
        <f t="shared" si="62"/>
        <v>40.227083333331393</v>
      </c>
    </row>
    <row r="4014" spans="1:5" x14ac:dyDescent="0.25">
      <c r="A4014" t="s">
        <v>7</v>
      </c>
      <c r="B4014" t="s">
        <v>25</v>
      </c>
      <c r="C4014" s="1">
        <v>46210.169907407413</v>
      </c>
      <c r="D4014" s="1">
        <v>46274.347916666673</v>
      </c>
      <c r="E4014" s="2">
        <f t="shared" si="62"/>
        <v>64.178009259259852</v>
      </c>
    </row>
    <row r="4015" spans="1:5" x14ac:dyDescent="0.25">
      <c r="A4015" t="s">
        <v>22</v>
      </c>
      <c r="B4015" t="s">
        <v>19</v>
      </c>
      <c r="C4015" s="1">
        <v>45859.168055555558</v>
      </c>
      <c r="D4015" s="1">
        <v>45920.620833333327</v>
      </c>
      <c r="E4015" s="2">
        <f t="shared" si="62"/>
        <v>61.45277777776937</v>
      </c>
    </row>
    <row r="4016" spans="1:5" x14ac:dyDescent="0.25">
      <c r="A4016" t="s">
        <v>22</v>
      </c>
      <c r="B4016" t="s">
        <v>19</v>
      </c>
      <c r="C4016" s="1">
        <v>45898.765972222223</v>
      </c>
      <c r="D4016" s="1">
        <v>45954.644444444442</v>
      </c>
      <c r="E4016" s="2">
        <f t="shared" si="62"/>
        <v>55.878472222218988</v>
      </c>
    </row>
    <row r="4017" spans="1:5" x14ac:dyDescent="0.25">
      <c r="A4017" t="s">
        <v>22</v>
      </c>
      <c r="B4017" t="s">
        <v>19</v>
      </c>
      <c r="C4017" s="1">
        <v>45809.541666666657</v>
      </c>
      <c r="D4017" s="1">
        <v>45860.896527777782</v>
      </c>
      <c r="E4017" s="2">
        <f t="shared" si="62"/>
        <v>51.354861111125501</v>
      </c>
    </row>
    <row r="4018" spans="1:5" x14ac:dyDescent="0.25">
      <c r="A4018" t="s">
        <v>7</v>
      </c>
      <c r="B4018" t="s">
        <v>25</v>
      </c>
      <c r="C4018" s="1">
        <v>46203.318506944437</v>
      </c>
      <c r="D4018" s="1">
        <v>46280.887962962966</v>
      </c>
      <c r="E4018" s="2">
        <f t="shared" si="62"/>
        <v>77.569456018529308</v>
      </c>
    </row>
    <row r="4019" spans="1:5" x14ac:dyDescent="0.25">
      <c r="A4019" t="s">
        <v>8</v>
      </c>
      <c r="B4019" t="s">
        <v>18</v>
      </c>
      <c r="C4019" s="1">
        <v>45932.64166666667</v>
      </c>
      <c r="D4019" s="1">
        <v>45967.668055555558</v>
      </c>
      <c r="E4019" s="2">
        <f t="shared" si="62"/>
        <v>35.026388888887595</v>
      </c>
    </row>
    <row r="4020" spans="1:5" x14ac:dyDescent="0.25">
      <c r="A4020" t="s">
        <v>17</v>
      </c>
      <c r="B4020" t="s">
        <v>18</v>
      </c>
      <c r="C4020" s="1">
        <v>45868</v>
      </c>
      <c r="D4020" s="1">
        <v>45936.236805555563</v>
      </c>
      <c r="E4020" s="2">
        <f t="shared" si="62"/>
        <v>68.236805555563478</v>
      </c>
    </row>
    <row r="4021" spans="1:5" x14ac:dyDescent="0.25">
      <c r="A4021" t="s">
        <v>22</v>
      </c>
      <c r="B4021" t="s">
        <v>51</v>
      </c>
      <c r="C4021" s="1">
        <v>45768.979166666657</v>
      </c>
      <c r="D4021" s="1">
        <v>45822</v>
      </c>
      <c r="E4021" s="2">
        <f t="shared" si="62"/>
        <v>53.020833333343035</v>
      </c>
    </row>
    <row r="4022" spans="1:5" x14ac:dyDescent="0.25">
      <c r="A4022" t="s">
        <v>6</v>
      </c>
      <c r="B4022" t="s">
        <v>8</v>
      </c>
      <c r="C4022" s="1">
        <v>45794.95</v>
      </c>
      <c r="D4022" s="1">
        <v>45831.624305555553</v>
      </c>
      <c r="E4022" s="2">
        <f t="shared" si="62"/>
        <v>36.674305555556202</v>
      </c>
    </row>
    <row r="4023" spans="1:5" x14ac:dyDescent="0.25">
      <c r="A4023" t="s">
        <v>22</v>
      </c>
      <c r="B4023" t="s">
        <v>19</v>
      </c>
      <c r="C4023" s="1">
        <v>45957.61041666667</v>
      </c>
      <c r="D4023" s="1">
        <v>46011.899305555547</v>
      </c>
      <c r="E4023" s="2">
        <f t="shared" si="62"/>
        <v>54.288888888877409</v>
      </c>
    </row>
    <row r="4024" spans="1:5" x14ac:dyDescent="0.25">
      <c r="A4024" t="s">
        <v>15</v>
      </c>
      <c r="B4024" t="s">
        <v>18</v>
      </c>
      <c r="C4024" s="1">
        <v>45760.582638888889</v>
      </c>
      <c r="D4024" s="1">
        <v>45810.347222222219</v>
      </c>
      <c r="E4024" s="2">
        <f t="shared" si="62"/>
        <v>49.764583333329938</v>
      </c>
    </row>
    <row r="4025" spans="1:5" x14ac:dyDescent="0.25">
      <c r="A4025" t="s">
        <v>14</v>
      </c>
      <c r="B4025" t="s">
        <v>22</v>
      </c>
      <c r="C4025" s="1">
        <v>45774.90347222222</v>
      </c>
      <c r="D4025" s="1">
        <v>45823.335416666669</v>
      </c>
      <c r="E4025" s="2">
        <f t="shared" si="62"/>
        <v>48.431944444448163</v>
      </c>
    </row>
    <row r="4026" spans="1:5" x14ac:dyDescent="0.25">
      <c r="A4026" t="s">
        <v>22</v>
      </c>
      <c r="B4026" t="s">
        <v>19</v>
      </c>
      <c r="C4026" s="1">
        <v>45844.217361111107</v>
      </c>
      <c r="D4026" s="1">
        <v>45897.883333333331</v>
      </c>
      <c r="E4026" s="2">
        <f t="shared" si="62"/>
        <v>53.665972222224809</v>
      </c>
    </row>
    <row r="4027" spans="1:5" x14ac:dyDescent="0.25">
      <c r="A4027" t="s">
        <v>6</v>
      </c>
      <c r="B4027" t="s">
        <v>8</v>
      </c>
      <c r="C4027" s="1">
        <v>45794.95</v>
      </c>
      <c r="D4027" s="1">
        <v>45831.624305555553</v>
      </c>
      <c r="E4027" s="2">
        <f t="shared" si="62"/>
        <v>36.674305555556202</v>
      </c>
    </row>
    <row r="4028" spans="1:5" x14ac:dyDescent="0.25">
      <c r="A4028" t="s">
        <v>22</v>
      </c>
      <c r="B4028" t="s">
        <v>51</v>
      </c>
      <c r="C4028" s="1">
        <v>45898.765972222223</v>
      </c>
      <c r="D4028" s="1">
        <v>45956.765972222223</v>
      </c>
      <c r="E4028" s="2">
        <f t="shared" si="62"/>
        <v>58</v>
      </c>
    </row>
    <row r="4029" spans="1:5" x14ac:dyDescent="0.25">
      <c r="A4029" t="s">
        <v>8</v>
      </c>
      <c r="B4029" t="s">
        <v>18</v>
      </c>
      <c r="C4029" s="1">
        <v>46143.663194444453</v>
      </c>
      <c r="D4029" s="1">
        <v>46181.288194444453</v>
      </c>
      <c r="E4029" s="2">
        <f t="shared" si="62"/>
        <v>37.625</v>
      </c>
    </row>
    <row r="4030" spans="1:5" x14ac:dyDescent="0.25">
      <c r="A4030" t="s">
        <v>22</v>
      </c>
      <c r="B4030" t="s">
        <v>19</v>
      </c>
      <c r="C4030" s="1">
        <v>45823.977083333331</v>
      </c>
      <c r="D4030" s="1">
        <v>45875.595138888893</v>
      </c>
      <c r="E4030" s="2">
        <f t="shared" si="62"/>
        <v>51.618055555562023</v>
      </c>
    </row>
    <row r="4031" spans="1:5" x14ac:dyDescent="0.25">
      <c r="A4031" t="s">
        <v>22</v>
      </c>
      <c r="B4031" t="s">
        <v>19</v>
      </c>
      <c r="C4031" s="1">
        <v>46077.848611111112</v>
      </c>
      <c r="D4031" s="1">
        <v>46133.517361111109</v>
      </c>
      <c r="E4031" s="2">
        <f t="shared" si="62"/>
        <v>55.66874999999709</v>
      </c>
    </row>
    <row r="4032" spans="1:5" x14ac:dyDescent="0.25">
      <c r="A4032" t="s">
        <v>22</v>
      </c>
      <c r="B4032" t="s">
        <v>19</v>
      </c>
      <c r="C4032" s="1">
        <v>45797.0625</v>
      </c>
      <c r="D4032" s="1">
        <v>45847.847916666673</v>
      </c>
      <c r="E4032" s="2">
        <f t="shared" si="62"/>
        <v>50.785416666672972</v>
      </c>
    </row>
    <row r="4033" spans="1:5" x14ac:dyDescent="0.25">
      <c r="A4033" t="s">
        <v>22</v>
      </c>
      <c r="B4033" t="s">
        <v>51</v>
      </c>
      <c r="C4033" s="1">
        <v>45748.1875</v>
      </c>
      <c r="D4033" s="1">
        <v>45802</v>
      </c>
      <c r="E4033" s="2">
        <f t="shared" si="62"/>
        <v>53.8125</v>
      </c>
    </row>
    <row r="4034" spans="1:5" x14ac:dyDescent="0.25">
      <c r="A4034" t="s">
        <v>15</v>
      </c>
      <c r="B4034" t="s">
        <v>18</v>
      </c>
      <c r="C4034" s="1">
        <v>45724.313194444447</v>
      </c>
      <c r="D4034" s="1">
        <v>45767.976388888892</v>
      </c>
      <c r="E4034" s="2">
        <f t="shared" ref="E4034:E4097" si="63">D4034-C4034</f>
        <v>43.663194444445253</v>
      </c>
    </row>
    <row r="4035" spans="1:5" x14ac:dyDescent="0.25">
      <c r="A4035" t="s">
        <v>22</v>
      </c>
      <c r="B4035" t="s">
        <v>19</v>
      </c>
      <c r="C4035" s="1">
        <v>45803.65625</v>
      </c>
      <c r="D4035" s="1">
        <v>45854.040972222218</v>
      </c>
      <c r="E4035" s="2">
        <f t="shared" si="63"/>
        <v>50.384722222217533</v>
      </c>
    </row>
    <row r="4036" spans="1:5" x14ac:dyDescent="0.25">
      <c r="A4036" t="s">
        <v>14</v>
      </c>
      <c r="B4036" t="s">
        <v>22</v>
      </c>
      <c r="C4036" s="1">
        <v>45750.891493055547</v>
      </c>
      <c r="D4036" s="1">
        <v>45802.333333333343</v>
      </c>
      <c r="E4036" s="2">
        <f t="shared" si="63"/>
        <v>51.441840277795563</v>
      </c>
    </row>
    <row r="4037" spans="1:5" x14ac:dyDescent="0.25">
      <c r="A4037" t="s">
        <v>22</v>
      </c>
      <c r="B4037" t="s">
        <v>14</v>
      </c>
      <c r="C4037" s="1">
        <v>45688.708333333343</v>
      </c>
      <c r="D4037" s="1">
        <v>45735.810416666667</v>
      </c>
      <c r="E4037" s="2">
        <f t="shared" si="63"/>
        <v>47.102083333324117</v>
      </c>
    </row>
    <row r="4038" spans="1:5" x14ac:dyDescent="0.25">
      <c r="A4038" t="s">
        <v>14</v>
      </c>
      <c r="B4038" t="s">
        <v>34</v>
      </c>
      <c r="C4038" s="1">
        <v>45696.155509259261</v>
      </c>
      <c r="D4038" s="1">
        <v>45718.792638888888</v>
      </c>
      <c r="E4038" s="2">
        <f t="shared" si="63"/>
        <v>22.637129629627452</v>
      </c>
    </row>
    <row r="4039" spans="1:5" x14ac:dyDescent="0.25">
      <c r="A4039" t="s">
        <v>22</v>
      </c>
      <c r="B4039" t="s">
        <v>19</v>
      </c>
      <c r="C4039" s="1">
        <v>45817.678472222222</v>
      </c>
      <c r="D4039" s="1">
        <v>45869.829861111109</v>
      </c>
      <c r="E4039" s="2">
        <f t="shared" si="63"/>
        <v>52.151388888887595</v>
      </c>
    </row>
    <row r="4040" spans="1:5" x14ac:dyDescent="0.25">
      <c r="A4040" t="s">
        <v>8</v>
      </c>
      <c r="B4040" t="s">
        <v>18</v>
      </c>
      <c r="C4040" s="1">
        <v>46093.904861111107</v>
      </c>
      <c r="D4040" s="1">
        <v>46122.186805555553</v>
      </c>
      <c r="E4040" s="2">
        <f t="shared" si="63"/>
        <v>28.281944444446708</v>
      </c>
    </row>
    <row r="4041" spans="1:5" x14ac:dyDescent="0.25">
      <c r="A4041" t="s">
        <v>22</v>
      </c>
      <c r="B4041" t="s">
        <v>19</v>
      </c>
      <c r="C4041" s="1">
        <v>45838.040972222218</v>
      </c>
      <c r="D4041" s="1">
        <v>45890.80972222222</v>
      </c>
      <c r="E4041" s="2">
        <f t="shared" si="63"/>
        <v>52.76875000000291</v>
      </c>
    </row>
    <row r="4042" spans="1:5" x14ac:dyDescent="0.25">
      <c r="A4042" t="s">
        <v>22</v>
      </c>
      <c r="B4042" t="s">
        <v>19</v>
      </c>
      <c r="C4042" s="1">
        <v>45852.130555555559</v>
      </c>
      <c r="D4042" s="1">
        <v>45909.9375</v>
      </c>
      <c r="E4042" s="2">
        <f t="shared" si="63"/>
        <v>57.806944444440887</v>
      </c>
    </row>
    <row r="4043" spans="1:5" x14ac:dyDescent="0.25">
      <c r="A4043" t="s">
        <v>22</v>
      </c>
      <c r="B4043" t="s">
        <v>14</v>
      </c>
      <c r="C4043" s="1">
        <v>45726.15625</v>
      </c>
      <c r="D4043" s="1">
        <v>45771</v>
      </c>
      <c r="E4043" s="2">
        <f t="shared" si="63"/>
        <v>44.84375</v>
      </c>
    </row>
    <row r="4044" spans="1:5" x14ac:dyDescent="0.25">
      <c r="A4044" t="s">
        <v>14</v>
      </c>
      <c r="B4044" t="s">
        <v>22</v>
      </c>
      <c r="C4044" s="1">
        <v>45750.891493055547</v>
      </c>
      <c r="D4044" s="1">
        <v>45802.333333333343</v>
      </c>
      <c r="E4044" s="2">
        <f t="shared" si="63"/>
        <v>51.441840277795563</v>
      </c>
    </row>
    <row r="4045" spans="1:5" x14ac:dyDescent="0.25">
      <c r="A4045" t="s">
        <v>6</v>
      </c>
      <c r="B4045" t="s">
        <v>8</v>
      </c>
      <c r="C4045" s="1">
        <v>45825.845138888893</v>
      </c>
      <c r="D4045" s="1">
        <v>45876.867361111108</v>
      </c>
      <c r="E4045" s="2">
        <f t="shared" si="63"/>
        <v>51.022222222214623</v>
      </c>
    </row>
    <row r="4046" spans="1:5" x14ac:dyDescent="0.25">
      <c r="A4046" t="s">
        <v>8</v>
      </c>
      <c r="B4046" t="s">
        <v>18</v>
      </c>
      <c r="C4046" s="1">
        <v>46114.920138888891</v>
      </c>
      <c r="D4046" s="1">
        <v>46149.688888888893</v>
      </c>
      <c r="E4046" s="2">
        <f t="shared" si="63"/>
        <v>34.76875000000291</v>
      </c>
    </row>
    <row r="4047" spans="1:5" x14ac:dyDescent="0.25">
      <c r="A4047" t="s">
        <v>8</v>
      </c>
      <c r="B4047" t="s">
        <v>27</v>
      </c>
      <c r="C4047" s="1">
        <v>45677.588194444441</v>
      </c>
      <c r="D4047" s="1">
        <v>45735.65</v>
      </c>
      <c r="E4047" s="2">
        <f t="shared" si="63"/>
        <v>58.061805555560568</v>
      </c>
    </row>
    <row r="4048" spans="1:5" x14ac:dyDescent="0.25">
      <c r="A4048" t="s">
        <v>22</v>
      </c>
      <c r="B4048" t="s">
        <v>19</v>
      </c>
      <c r="C4048" s="1">
        <v>46048.46597222222</v>
      </c>
      <c r="D4048" s="1">
        <v>46103.882638888892</v>
      </c>
      <c r="E4048" s="2">
        <f t="shared" si="63"/>
        <v>55.416666666671517</v>
      </c>
    </row>
    <row r="4049" spans="1:5" x14ac:dyDescent="0.25">
      <c r="A4049" t="s">
        <v>17</v>
      </c>
      <c r="B4049" t="s">
        <v>18</v>
      </c>
      <c r="C4049" s="1">
        <v>45673.875</v>
      </c>
      <c r="D4049" s="1">
        <v>45728.043749999997</v>
      </c>
      <c r="E4049" s="2">
        <f t="shared" si="63"/>
        <v>54.16874999999709</v>
      </c>
    </row>
    <row r="4050" spans="1:5" x14ac:dyDescent="0.25">
      <c r="A4050" t="s">
        <v>7</v>
      </c>
      <c r="B4050" t="s">
        <v>25</v>
      </c>
      <c r="C4050" s="1">
        <v>46210.15625</v>
      </c>
      <c r="D4050" s="1">
        <v>46274.265856481477</v>
      </c>
      <c r="E4050" s="2">
        <f t="shared" si="63"/>
        <v>64.109606481477385</v>
      </c>
    </row>
    <row r="4051" spans="1:5" x14ac:dyDescent="0.25">
      <c r="A4051" t="s">
        <v>17</v>
      </c>
      <c r="B4051" t="s">
        <v>18</v>
      </c>
      <c r="C4051" s="1">
        <v>45756.875</v>
      </c>
      <c r="D4051" s="1">
        <v>45810.347222222219</v>
      </c>
      <c r="E4051" s="2">
        <f t="shared" si="63"/>
        <v>53.472222222218988</v>
      </c>
    </row>
    <row r="4052" spans="1:5" x14ac:dyDescent="0.25">
      <c r="A4052" t="s">
        <v>8</v>
      </c>
      <c r="B4052" t="s">
        <v>18</v>
      </c>
      <c r="C4052" s="1">
        <v>46101.188194444447</v>
      </c>
      <c r="D4052" s="1">
        <v>46129.805555555547</v>
      </c>
      <c r="E4052" s="2">
        <f t="shared" si="63"/>
        <v>28.617361111100763</v>
      </c>
    </row>
    <row r="4053" spans="1:5" x14ac:dyDescent="0.25">
      <c r="A4053" t="s">
        <v>8</v>
      </c>
      <c r="B4053" t="s">
        <v>18</v>
      </c>
      <c r="C4053" s="1">
        <v>46121.831250000003</v>
      </c>
      <c r="D4053" s="1">
        <v>46157.072222222218</v>
      </c>
      <c r="E4053" s="2">
        <f t="shared" si="63"/>
        <v>35.240972222214623</v>
      </c>
    </row>
    <row r="4054" spans="1:5" x14ac:dyDescent="0.25">
      <c r="A4054" t="s">
        <v>14</v>
      </c>
      <c r="B4054" t="s">
        <v>22</v>
      </c>
      <c r="C4054" s="1">
        <v>45719.708333333343</v>
      </c>
      <c r="D4054" s="1">
        <v>45775.318368055552</v>
      </c>
      <c r="E4054" s="2">
        <f t="shared" si="63"/>
        <v>55.610034722209093</v>
      </c>
    </row>
    <row r="4055" spans="1:5" x14ac:dyDescent="0.25">
      <c r="A4055" t="s">
        <v>45</v>
      </c>
      <c r="B4055" t="s">
        <v>19</v>
      </c>
      <c r="C4055" s="1">
        <v>46209.319444444453</v>
      </c>
      <c r="D4055" s="1">
        <v>46254.5</v>
      </c>
      <c r="E4055" s="2">
        <f t="shared" si="63"/>
        <v>45.180555555547471</v>
      </c>
    </row>
    <row r="4056" spans="1:5" x14ac:dyDescent="0.25">
      <c r="A4056" t="s">
        <v>22</v>
      </c>
      <c r="B4056" t="s">
        <v>19</v>
      </c>
      <c r="C4056" s="1">
        <v>45831.472916666673</v>
      </c>
      <c r="D4056" s="1">
        <v>45886.305555555547</v>
      </c>
      <c r="E4056" s="2">
        <f t="shared" si="63"/>
        <v>54.832638888874499</v>
      </c>
    </row>
    <row r="4057" spans="1:5" x14ac:dyDescent="0.25">
      <c r="A4057" t="s">
        <v>22</v>
      </c>
      <c r="B4057" t="s">
        <v>51</v>
      </c>
      <c r="C4057" s="1">
        <v>45754.15625</v>
      </c>
      <c r="D4057" s="1">
        <v>45811</v>
      </c>
      <c r="E4057" s="2">
        <f t="shared" si="63"/>
        <v>56.84375</v>
      </c>
    </row>
    <row r="4058" spans="1:5" x14ac:dyDescent="0.25">
      <c r="A4058" t="s">
        <v>22</v>
      </c>
      <c r="B4058" t="s">
        <v>6</v>
      </c>
      <c r="C4058" s="1">
        <v>45838.040972222218</v>
      </c>
      <c r="D4058" s="1">
        <v>45894.613194444442</v>
      </c>
      <c r="E4058" s="2">
        <f t="shared" si="63"/>
        <v>56.572222222224809</v>
      </c>
    </row>
    <row r="4059" spans="1:5" x14ac:dyDescent="0.25">
      <c r="A4059" t="s">
        <v>22</v>
      </c>
      <c r="B4059" t="s">
        <v>19</v>
      </c>
      <c r="C4059" s="1">
        <v>45790.489583333343</v>
      </c>
      <c r="D4059" s="1">
        <v>45839.894444444442</v>
      </c>
      <c r="E4059" s="2">
        <f t="shared" si="63"/>
        <v>49.404861111099308</v>
      </c>
    </row>
    <row r="4060" spans="1:5" x14ac:dyDescent="0.25">
      <c r="A4060" t="s">
        <v>22</v>
      </c>
      <c r="B4060" t="s">
        <v>19</v>
      </c>
      <c r="C4060" s="1">
        <v>45873.851388888892</v>
      </c>
      <c r="D4060" s="1">
        <v>45931.597916666673</v>
      </c>
      <c r="E4060" s="2">
        <f t="shared" si="63"/>
        <v>57.746527777781012</v>
      </c>
    </row>
    <row r="4061" spans="1:5" x14ac:dyDescent="0.25">
      <c r="A4061" t="s">
        <v>22</v>
      </c>
      <c r="B4061" t="s">
        <v>19</v>
      </c>
      <c r="C4061" s="1">
        <v>45831.472916666673</v>
      </c>
      <c r="D4061" s="1">
        <v>45886.305555555547</v>
      </c>
      <c r="E4061" s="2">
        <f t="shared" si="63"/>
        <v>54.832638888874499</v>
      </c>
    </row>
    <row r="4062" spans="1:5" x14ac:dyDescent="0.25">
      <c r="A4062" t="s">
        <v>19</v>
      </c>
      <c r="B4062" t="s">
        <v>8</v>
      </c>
      <c r="C4062" s="1">
        <v>46170.965277777781</v>
      </c>
      <c r="D4062" s="1">
        <v>46195.529166666667</v>
      </c>
      <c r="E4062" s="2">
        <f t="shared" si="63"/>
        <v>24.56388888888614</v>
      </c>
    </row>
    <row r="4063" spans="1:5" x14ac:dyDescent="0.25">
      <c r="A4063" t="s">
        <v>22</v>
      </c>
      <c r="B4063" t="s">
        <v>14</v>
      </c>
      <c r="C4063" s="1">
        <v>45719.020833333343</v>
      </c>
      <c r="D4063" s="1">
        <v>45763.81527777778</v>
      </c>
      <c r="E4063" s="2">
        <f t="shared" si="63"/>
        <v>44.794444444436522</v>
      </c>
    </row>
    <row r="4064" spans="1:5" x14ac:dyDescent="0.25">
      <c r="A4064" t="s">
        <v>14</v>
      </c>
      <c r="B4064" t="s">
        <v>22</v>
      </c>
      <c r="C4064" s="1">
        <v>46053.93677083333</v>
      </c>
      <c r="D4064" s="1">
        <v>46102.822916666657</v>
      </c>
      <c r="E4064" s="2">
        <f t="shared" si="63"/>
        <v>48.886145833326736</v>
      </c>
    </row>
    <row r="4065" spans="1:5" x14ac:dyDescent="0.25">
      <c r="A4065" t="s">
        <v>22</v>
      </c>
      <c r="B4065" t="s">
        <v>19</v>
      </c>
      <c r="C4065" s="1">
        <v>45873.851388888892</v>
      </c>
      <c r="D4065" s="1">
        <v>45931.597916666673</v>
      </c>
      <c r="E4065" s="2">
        <f t="shared" si="63"/>
        <v>57.746527777781012</v>
      </c>
    </row>
    <row r="4066" spans="1:5" x14ac:dyDescent="0.25">
      <c r="A4066" t="s">
        <v>22</v>
      </c>
      <c r="B4066" t="s">
        <v>51</v>
      </c>
      <c r="C4066" s="1">
        <v>45831.472916666673</v>
      </c>
      <c r="D4066" s="1">
        <v>45882.65347222222</v>
      </c>
      <c r="E4066" s="2">
        <f t="shared" si="63"/>
        <v>51.180555555547471</v>
      </c>
    </row>
    <row r="4067" spans="1:5" x14ac:dyDescent="0.25">
      <c r="A4067" t="s">
        <v>34</v>
      </c>
      <c r="B4067" t="s">
        <v>21</v>
      </c>
      <c r="C4067" s="1">
        <v>46237.689583333333</v>
      </c>
      <c r="D4067" s="1">
        <v>46248.088888888888</v>
      </c>
      <c r="E4067" s="2">
        <f t="shared" si="63"/>
        <v>10.399305555554747</v>
      </c>
    </row>
    <row r="4068" spans="1:5" x14ac:dyDescent="0.25">
      <c r="A4068" t="s">
        <v>22</v>
      </c>
      <c r="B4068" t="s">
        <v>19</v>
      </c>
      <c r="C4068" s="1">
        <v>45838.040972222218</v>
      </c>
      <c r="D4068" s="1">
        <v>45890.80972222222</v>
      </c>
      <c r="E4068" s="2">
        <f t="shared" si="63"/>
        <v>52.76875000000291</v>
      </c>
    </row>
    <row r="4069" spans="1:5" x14ac:dyDescent="0.25">
      <c r="A4069" t="s">
        <v>23</v>
      </c>
      <c r="B4069" t="s">
        <v>46</v>
      </c>
      <c r="C4069" s="1">
        <v>46175.819444444453</v>
      </c>
      <c r="D4069" s="1">
        <v>46232.689583333333</v>
      </c>
      <c r="E4069" s="2">
        <f t="shared" si="63"/>
        <v>56.870138888880319</v>
      </c>
    </row>
    <row r="4070" spans="1:5" x14ac:dyDescent="0.25">
      <c r="A4070" t="s">
        <v>6</v>
      </c>
      <c r="B4070" t="s">
        <v>8</v>
      </c>
      <c r="C4070" s="1">
        <v>45811.428472222222</v>
      </c>
      <c r="D4070" s="1">
        <v>45854.631944444453</v>
      </c>
      <c r="E4070" s="2">
        <f t="shared" si="63"/>
        <v>43.20347222223063</v>
      </c>
    </row>
    <row r="4071" spans="1:5" x14ac:dyDescent="0.25">
      <c r="A4071" t="s">
        <v>19</v>
      </c>
      <c r="B4071" t="s">
        <v>8</v>
      </c>
      <c r="C4071" s="1">
        <v>46164.158333333333</v>
      </c>
      <c r="D4071" s="1">
        <v>46195.529166666667</v>
      </c>
      <c r="E4071" s="2">
        <f t="shared" si="63"/>
        <v>31.370833333334303</v>
      </c>
    </row>
    <row r="4072" spans="1:5" x14ac:dyDescent="0.25">
      <c r="A4072" t="s">
        <v>7</v>
      </c>
      <c r="B4072" t="s">
        <v>25</v>
      </c>
      <c r="C4072" s="1">
        <v>46210.15625</v>
      </c>
      <c r="D4072" s="1">
        <v>46274.347916666673</v>
      </c>
      <c r="E4072" s="2">
        <f t="shared" si="63"/>
        <v>64.191666666672972</v>
      </c>
    </row>
    <row r="4073" spans="1:5" x14ac:dyDescent="0.25">
      <c r="A4073" t="s">
        <v>17</v>
      </c>
      <c r="B4073" t="s">
        <v>18</v>
      </c>
      <c r="C4073" s="1">
        <v>45727.875</v>
      </c>
      <c r="D4073" s="1">
        <v>45789.237500000003</v>
      </c>
      <c r="E4073" s="2">
        <f t="shared" si="63"/>
        <v>61.36250000000291</v>
      </c>
    </row>
    <row r="4074" spans="1:5" x14ac:dyDescent="0.25">
      <c r="A4074" t="s">
        <v>8</v>
      </c>
      <c r="B4074" t="s">
        <v>18</v>
      </c>
      <c r="C4074" s="1">
        <v>46122.729861111111</v>
      </c>
      <c r="D4074" s="1">
        <v>46149.688888888893</v>
      </c>
      <c r="E4074" s="2">
        <f t="shared" si="63"/>
        <v>26.959027777782467</v>
      </c>
    </row>
    <row r="4075" spans="1:5" x14ac:dyDescent="0.25">
      <c r="A4075" t="s">
        <v>14</v>
      </c>
      <c r="B4075" t="s">
        <v>22</v>
      </c>
      <c r="C4075" s="1">
        <v>45738.833634259259</v>
      </c>
      <c r="D4075" s="1">
        <v>45794.822731481479</v>
      </c>
      <c r="E4075" s="2">
        <f t="shared" si="63"/>
        <v>55.989097222220153</v>
      </c>
    </row>
    <row r="4076" spans="1:5" x14ac:dyDescent="0.25">
      <c r="A4076" t="s">
        <v>34</v>
      </c>
      <c r="B4076" t="s">
        <v>21</v>
      </c>
      <c r="C4076" s="1">
        <v>46160.548611111109</v>
      </c>
      <c r="D4076" s="1">
        <v>46171.770138888889</v>
      </c>
      <c r="E4076" s="2">
        <f t="shared" si="63"/>
        <v>11.221527777779556</v>
      </c>
    </row>
    <row r="4077" spans="1:5" x14ac:dyDescent="0.25">
      <c r="A4077" t="s">
        <v>17</v>
      </c>
      <c r="B4077" t="s">
        <v>18</v>
      </c>
      <c r="C4077" s="1">
        <v>45756.875</v>
      </c>
      <c r="D4077" s="1">
        <v>45810.347222222219</v>
      </c>
      <c r="E4077" s="2">
        <f t="shared" si="63"/>
        <v>53.472222222218988</v>
      </c>
    </row>
    <row r="4078" spans="1:5" x14ac:dyDescent="0.25">
      <c r="A4078" t="s">
        <v>7</v>
      </c>
      <c r="B4078" t="s">
        <v>66</v>
      </c>
      <c r="C4078" s="1">
        <v>46244.946527777778</v>
      </c>
      <c r="D4078" s="1">
        <v>46282.672222222223</v>
      </c>
      <c r="E4078" s="2">
        <f t="shared" si="63"/>
        <v>37.725694444445253</v>
      </c>
    </row>
    <row r="4079" spans="1:5" x14ac:dyDescent="0.25">
      <c r="A4079" t="s">
        <v>22</v>
      </c>
      <c r="B4079" t="s">
        <v>14</v>
      </c>
      <c r="C4079" s="1">
        <v>45675.708333333343</v>
      </c>
      <c r="D4079" s="1">
        <v>45727.575694444437</v>
      </c>
      <c r="E4079" s="2">
        <f t="shared" si="63"/>
        <v>51.867361111093487</v>
      </c>
    </row>
    <row r="4080" spans="1:5" x14ac:dyDescent="0.25">
      <c r="A4080" t="s">
        <v>14</v>
      </c>
      <c r="B4080" t="s">
        <v>34</v>
      </c>
      <c r="C4080" s="1">
        <v>45681.066689814812</v>
      </c>
      <c r="D4080" s="1">
        <v>45698.438148148147</v>
      </c>
      <c r="E4080" s="2">
        <f t="shared" si="63"/>
        <v>17.371458333334886</v>
      </c>
    </row>
    <row r="4081" spans="1:5" x14ac:dyDescent="0.25">
      <c r="A4081" t="s">
        <v>8</v>
      </c>
      <c r="B4081" t="s">
        <v>18</v>
      </c>
      <c r="C4081" s="1">
        <v>45849.067361111112</v>
      </c>
      <c r="D4081" s="1">
        <v>45876.825694444437</v>
      </c>
      <c r="E4081" s="2">
        <f t="shared" si="63"/>
        <v>27.758333333324117</v>
      </c>
    </row>
    <row r="4082" spans="1:5" x14ac:dyDescent="0.25">
      <c r="A4082" t="s">
        <v>8</v>
      </c>
      <c r="B4082" t="s">
        <v>18</v>
      </c>
      <c r="C4082" s="1">
        <v>45926.723611111112</v>
      </c>
      <c r="D4082" s="1">
        <v>45953.67291666667</v>
      </c>
      <c r="E4082" s="2">
        <f t="shared" si="63"/>
        <v>26.949305555557657</v>
      </c>
    </row>
    <row r="4083" spans="1:5" x14ac:dyDescent="0.25">
      <c r="A4083" t="s">
        <v>34</v>
      </c>
      <c r="B4083" t="s">
        <v>8</v>
      </c>
      <c r="C4083" s="1">
        <v>45886.431250000001</v>
      </c>
      <c r="D4083" s="1">
        <v>45912.186111111107</v>
      </c>
      <c r="E4083" s="2">
        <f t="shared" si="63"/>
        <v>25.754861111105129</v>
      </c>
    </row>
    <row r="4084" spans="1:5" x14ac:dyDescent="0.25">
      <c r="A4084" t="s">
        <v>15</v>
      </c>
      <c r="B4084" t="s">
        <v>18</v>
      </c>
      <c r="C4084" s="1">
        <v>45914.601388888892</v>
      </c>
      <c r="D4084" s="1">
        <v>45956.263194444437</v>
      </c>
      <c r="E4084" s="2">
        <f t="shared" si="63"/>
        <v>41.661805555544561</v>
      </c>
    </row>
    <row r="4085" spans="1:5" x14ac:dyDescent="0.25">
      <c r="A4085" t="s">
        <v>34</v>
      </c>
      <c r="B4085" t="s">
        <v>8</v>
      </c>
      <c r="C4085" s="1">
        <v>45780.270833333343</v>
      </c>
      <c r="D4085" s="1">
        <v>45806.447916666657</v>
      </c>
      <c r="E4085" s="2">
        <f t="shared" si="63"/>
        <v>26.177083333313931</v>
      </c>
    </row>
    <row r="4086" spans="1:5" x14ac:dyDescent="0.25">
      <c r="A4086" t="s">
        <v>34</v>
      </c>
      <c r="B4086" t="s">
        <v>8</v>
      </c>
      <c r="C4086" s="1">
        <v>46188.730243055557</v>
      </c>
      <c r="D4086" s="1">
        <v>46218.734722222223</v>
      </c>
      <c r="E4086" s="2">
        <f t="shared" si="63"/>
        <v>30.004479166665988</v>
      </c>
    </row>
    <row r="4087" spans="1:5" x14ac:dyDescent="0.25">
      <c r="A4087" t="s">
        <v>15</v>
      </c>
      <c r="B4087" t="s">
        <v>18</v>
      </c>
      <c r="C4087" s="1">
        <v>45724.313194444447</v>
      </c>
      <c r="D4087" s="1">
        <v>45767.976388888892</v>
      </c>
      <c r="E4087" s="2">
        <f t="shared" si="63"/>
        <v>43.663194444445253</v>
      </c>
    </row>
    <row r="4088" spans="1:5" x14ac:dyDescent="0.25">
      <c r="A4088" t="s">
        <v>15</v>
      </c>
      <c r="B4088" t="s">
        <v>18</v>
      </c>
      <c r="C4088" s="1">
        <v>45882.024305555547</v>
      </c>
      <c r="D4088" s="1">
        <v>45929.282638888893</v>
      </c>
      <c r="E4088" s="2">
        <f t="shared" si="63"/>
        <v>47.258333333345945</v>
      </c>
    </row>
    <row r="4089" spans="1:5" x14ac:dyDescent="0.25">
      <c r="A4089" t="s">
        <v>15</v>
      </c>
      <c r="B4089" t="s">
        <v>18</v>
      </c>
      <c r="C4089" s="1">
        <v>45861.111805555563</v>
      </c>
      <c r="D4089" s="1">
        <v>45907.910416666673</v>
      </c>
      <c r="E4089" s="2">
        <f t="shared" si="63"/>
        <v>46.798611111109494</v>
      </c>
    </row>
    <row r="4090" spans="1:5" x14ac:dyDescent="0.25">
      <c r="A4090" t="s">
        <v>22</v>
      </c>
      <c r="B4090" t="s">
        <v>51</v>
      </c>
      <c r="C4090" s="1">
        <v>46132.438888888893</v>
      </c>
      <c r="D4090" s="1">
        <v>46185.718055555553</v>
      </c>
      <c r="E4090" s="2">
        <f t="shared" si="63"/>
        <v>53.279166666659876</v>
      </c>
    </row>
    <row r="4091" spans="1:5" x14ac:dyDescent="0.25">
      <c r="A4091" t="s">
        <v>15</v>
      </c>
      <c r="B4091" t="s">
        <v>18</v>
      </c>
      <c r="C4091" s="1">
        <v>45865.094444444447</v>
      </c>
      <c r="D4091" s="1">
        <v>45915.193749999999</v>
      </c>
      <c r="E4091" s="2">
        <f t="shared" si="63"/>
        <v>50.099305555551837</v>
      </c>
    </row>
    <row r="4092" spans="1:5" x14ac:dyDescent="0.25">
      <c r="A4092" t="s">
        <v>15</v>
      </c>
      <c r="B4092" t="s">
        <v>18</v>
      </c>
      <c r="C4092" s="1">
        <v>45892.46597222222</v>
      </c>
      <c r="D4092" s="1">
        <v>45936.236805555563</v>
      </c>
      <c r="E4092" s="2">
        <f t="shared" si="63"/>
        <v>43.770833333343035</v>
      </c>
    </row>
    <row r="4093" spans="1:5" x14ac:dyDescent="0.25">
      <c r="A4093" t="s">
        <v>22</v>
      </c>
      <c r="B4093" t="s">
        <v>19</v>
      </c>
      <c r="C4093" s="1">
        <v>45922.167361111111</v>
      </c>
      <c r="D4093" s="1">
        <v>45977.818055555559</v>
      </c>
      <c r="E4093" s="2">
        <f t="shared" si="63"/>
        <v>55.650694444448163</v>
      </c>
    </row>
    <row r="4094" spans="1:5" x14ac:dyDescent="0.25">
      <c r="A4094" t="s">
        <v>34</v>
      </c>
      <c r="B4094" t="s">
        <v>8</v>
      </c>
      <c r="C4094" s="1">
        <v>45746.3125</v>
      </c>
      <c r="D4094" s="1">
        <v>45778</v>
      </c>
      <c r="E4094" s="2">
        <f t="shared" si="63"/>
        <v>31.6875</v>
      </c>
    </row>
    <row r="4095" spans="1:5" x14ac:dyDescent="0.25">
      <c r="A4095" t="s">
        <v>22</v>
      </c>
      <c r="B4095" t="s">
        <v>6</v>
      </c>
      <c r="C4095" s="1">
        <v>45929.545138888891</v>
      </c>
      <c r="D4095" s="1">
        <v>45991.752083333333</v>
      </c>
      <c r="E4095" s="2">
        <f t="shared" si="63"/>
        <v>62.206944444442343</v>
      </c>
    </row>
    <row r="4096" spans="1:5" x14ac:dyDescent="0.25">
      <c r="A4096" t="s">
        <v>15</v>
      </c>
      <c r="B4096" t="s">
        <v>18</v>
      </c>
      <c r="C4096" s="1">
        <v>45801.699305555558</v>
      </c>
      <c r="D4096" s="1">
        <v>45845.238888888889</v>
      </c>
      <c r="E4096" s="2">
        <f t="shared" si="63"/>
        <v>43.539583333331393</v>
      </c>
    </row>
    <row r="4097" spans="1:5" x14ac:dyDescent="0.25">
      <c r="A4097" t="s">
        <v>34</v>
      </c>
      <c r="B4097" t="s">
        <v>8</v>
      </c>
      <c r="C4097" s="1">
        <v>45890.310416666667</v>
      </c>
      <c r="D4097" s="1">
        <v>45919.311111111107</v>
      </c>
      <c r="E4097" s="2">
        <f t="shared" si="63"/>
        <v>29.000694444439432</v>
      </c>
    </row>
    <row r="4098" spans="1:5" x14ac:dyDescent="0.25">
      <c r="A4098" t="s">
        <v>8</v>
      </c>
      <c r="B4098" t="s">
        <v>18</v>
      </c>
      <c r="C4098" s="1">
        <v>46101.188194444447</v>
      </c>
      <c r="D4098" s="1">
        <v>46129.805555555547</v>
      </c>
      <c r="E4098" s="2">
        <f t="shared" ref="E4098:E4161" si="64">D4098-C4098</f>
        <v>28.617361111100763</v>
      </c>
    </row>
    <row r="4099" spans="1:5" x14ac:dyDescent="0.25">
      <c r="A4099" t="s">
        <v>34</v>
      </c>
      <c r="B4099" t="s">
        <v>8</v>
      </c>
      <c r="C4099" s="1">
        <v>46216.6012962963</v>
      </c>
      <c r="D4099" s="1">
        <v>46246.668055555558</v>
      </c>
      <c r="E4099" s="2">
        <f t="shared" si="64"/>
        <v>30.066759259258106</v>
      </c>
    </row>
    <row r="4100" spans="1:5" x14ac:dyDescent="0.25">
      <c r="A4100" t="s">
        <v>34</v>
      </c>
      <c r="B4100" t="s">
        <v>8</v>
      </c>
      <c r="C4100" s="1">
        <v>45809.635416666657</v>
      </c>
      <c r="D4100" s="1">
        <v>45842.044444444437</v>
      </c>
      <c r="E4100" s="2">
        <f t="shared" si="64"/>
        <v>32.409027777779556</v>
      </c>
    </row>
    <row r="4101" spans="1:5" x14ac:dyDescent="0.25">
      <c r="A4101" t="s">
        <v>15</v>
      </c>
      <c r="B4101" t="s">
        <v>18</v>
      </c>
      <c r="C4101" s="1">
        <v>45829.763194444437</v>
      </c>
      <c r="D4101" s="1">
        <v>45872.397222222222</v>
      </c>
      <c r="E4101" s="2">
        <f t="shared" si="64"/>
        <v>42.634027777785377</v>
      </c>
    </row>
    <row r="4102" spans="1:5" x14ac:dyDescent="0.25">
      <c r="A4102" t="s">
        <v>8</v>
      </c>
      <c r="B4102" t="s">
        <v>44</v>
      </c>
      <c r="C4102" s="1">
        <v>45694.468055555553</v>
      </c>
      <c r="D4102" s="1">
        <v>45730.416666666657</v>
      </c>
      <c r="E4102" s="2">
        <f t="shared" si="64"/>
        <v>35.948611111103673</v>
      </c>
    </row>
    <row r="4103" spans="1:5" x14ac:dyDescent="0.25">
      <c r="A4103" t="s">
        <v>34</v>
      </c>
      <c r="B4103" t="s">
        <v>8</v>
      </c>
      <c r="C4103" s="1">
        <v>46183.6</v>
      </c>
      <c r="D4103" s="1">
        <v>46211.615972222222</v>
      </c>
      <c r="E4103" s="2">
        <f t="shared" si="64"/>
        <v>28.015972222223354</v>
      </c>
    </row>
    <row r="4104" spans="1:5" x14ac:dyDescent="0.25">
      <c r="A4104" t="s">
        <v>7</v>
      </c>
      <c r="B4104" t="s">
        <v>18</v>
      </c>
      <c r="C4104" s="1">
        <v>46168.025694444441</v>
      </c>
      <c r="D4104" s="1">
        <v>46209.374305555553</v>
      </c>
      <c r="E4104" s="2">
        <f t="shared" si="64"/>
        <v>41.348611111112405</v>
      </c>
    </row>
    <row r="4105" spans="1:5" x14ac:dyDescent="0.25">
      <c r="A4105" t="s">
        <v>7</v>
      </c>
      <c r="B4105" t="s">
        <v>18</v>
      </c>
      <c r="C4105" s="1">
        <v>46182.167361111111</v>
      </c>
      <c r="D4105" s="1">
        <v>46222.813194444447</v>
      </c>
      <c r="E4105" s="2">
        <f t="shared" si="64"/>
        <v>40.645833333335759</v>
      </c>
    </row>
    <row r="4106" spans="1:5" x14ac:dyDescent="0.25">
      <c r="A4106" t="s">
        <v>8</v>
      </c>
      <c r="B4106" t="s">
        <v>18</v>
      </c>
      <c r="C4106" s="1">
        <v>46121.831250000003</v>
      </c>
      <c r="D4106" s="1">
        <v>46157.072222222218</v>
      </c>
      <c r="E4106" s="2">
        <f t="shared" si="64"/>
        <v>35.240972222214623</v>
      </c>
    </row>
    <row r="4107" spans="1:5" x14ac:dyDescent="0.25">
      <c r="A4107" t="s">
        <v>22</v>
      </c>
      <c r="B4107" t="s">
        <v>51</v>
      </c>
      <c r="C4107" s="1">
        <v>46077.848611111112</v>
      </c>
      <c r="D4107" s="1">
        <v>46139.546527777777</v>
      </c>
      <c r="E4107" s="2">
        <f t="shared" si="64"/>
        <v>61.697916666664241</v>
      </c>
    </row>
    <row r="4108" spans="1:5" x14ac:dyDescent="0.25">
      <c r="A4108" t="s">
        <v>22</v>
      </c>
      <c r="B4108" t="s">
        <v>19</v>
      </c>
      <c r="C4108" s="1">
        <v>46062.515277777777</v>
      </c>
      <c r="D4108" s="1">
        <v>46118.6</v>
      </c>
      <c r="E4108" s="2">
        <f t="shared" si="64"/>
        <v>56.084722222221899</v>
      </c>
    </row>
    <row r="4109" spans="1:5" x14ac:dyDescent="0.25">
      <c r="A4109" t="s">
        <v>8</v>
      </c>
      <c r="B4109" t="s">
        <v>18</v>
      </c>
      <c r="C4109" s="1">
        <v>45954.238194444442</v>
      </c>
      <c r="D4109" s="1">
        <v>45989.743750000001</v>
      </c>
      <c r="E4109" s="2">
        <f t="shared" si="64"/>
        <v>35.505555555559113</v>
      </c>
    </row>
    <row r="4110" spans="1:5" x14ac:dyDescent="0.25">
      <c r="A4110" t="s">
        <v>22</v>
      </c>
      <c r="B4110" t="s">
        <v>6</v>
      </c>
      <c r="C4110" s="1">
        <v>45943.082638888889</v>
      </c>
      <c r="D4110" s="1">
        <v>46005.779166666667</v>
      </c>
      <c r="E4110" s="2">
        <f t="shared" si="64"/>
        <v>62.696527777778101</v>
      </c>
    </row>
    <row r="4111" spans="1:5" x14ac:dyDescent="0.25">
      <c r="A4111" t="s">
        <v>15</v>
      </c>
      <c r="B4111" t="s">
        <v>18</v>
      </c>
      <c r="C4111" s="1">
        <v>45682.567361111112</v>
      </c>
      <c r="D4111" s="1">
        <v>45735.020833333343</v>
      </c>
      <c r="E4111" s="2">
        <f t="shared" si="64"/>
        <v>52.45347222223063</v>
      </c>
    </row>
    <row r="4112" spans="1:5" x14ac:dyDescent="0.25">
      <c r="A4112" t="s">
        <v>34</v>
      </c>
      <c r="B4112" t="s">
        <v>8</v>
      </c>
      <c r="C4112" s="1">
        <v>45804.447916666657</v>
      </c>
      <c r="D4112" s="1">
        <v>45834.644444444442</v>
      </c>
      <c r="E4112" s="2">
        <f t="shared" si="64"/>
        <v>30.196527777785377</v>
      </c>
    </row>
    <row r="4113" spans="1:5" x14ac:dyDescent="0.25">
      <c r="A4113" t="s">
        <v>8</v>
      </c>
      <c r="B4113" t="s">
        <v>44</v>
      </c>
      <c r="C4113" s="1">
        <v>45806.095833333333</v>
      </c>
      <c r="D4113" s="1">
        <v>45835.48541666667</v>
      </c>
      <c r="E4113" s="2">
        <f t="shared" si="64"/>
        <v>29.389583333337214</v>
      </c>
    </row>
    <row r="4114" spans="1:5" x14ac:dyDescent="0.25">
      <c r="A4114" t="s">
        <v>22</v>
      </c>
      <c r="B4114" t="s">
        <v>51</v>
      </c>
      <c r="C4114" s="1">
        <v>46084.957638888889</v>
      </c>
      <c r="D4114" s="1">
        <v>46148.975694444453</v>
      </c>
      <c r="E4114" s="2">
        <f t="shared" si="64"/>
        <v>64.018055555563478</v>
      </c>
    </row>
    <row r="4115" spans="1:5" x14ac:dyDescent="0.25">
      <c r="A4115" t="s">
        <v>34</v>
      </c>
      <c r="B4115" t="s">
        <v>8</v>
      </c>
      <c r="C4115" s="1">
        <v>45866.336805555547</v>
      </c>
      <c r="D4115" s="1">
        <v>45932.709027777782</v>
      </c>
      <c r="E4115" s="2">
        <f t="shared" si="64"/>
        <v>66.372222222234996</v>
      </c>
    </row>
    <row r="4116" spans="1:5" x14ac:dyDescent="0.25">
      <c r="A4116" t="s">
        <v>22</v>
      </c>
      <c r="B4116" t="s">
        <v>6</v>
      </c>
      <c r="C4116" s="1">
        <v>45922.167361111111</v>
      </c>
      <c r="D4116" s="1">
        <v>45991.752083333333</v>
      </c>
      <c r="E4116" s="2">
        <f t="shared" si="64"/>
        <v>69.584722222221899</v>
      </c>
    </row>
    <row r="4117" spans="1:5" x14ac:dyDescent="0.25">
      <c r="A4117" t="s">
        <v>22</v>
      </c>
      <c r="B4117" t="s">
        <v>19</v>
      </c>
      <c r="C4117" s="1">
        <v>45991.995833333327</v>
      </c>
      <c r="D4117" s="1">
        <v>46045.793055555558</v>
      </c>
      <c r="E4117" s="2">
        <f t="shared" si="64"/>
        <v>53.79722222223063</v>
      </c>
    </row>
    <row r="4118" spans="1:5" x14ac:dyDescent="0.25">
      <c r="A4118" t="s">
        <v>22</v>
      </c>
      <c r="B4118" t="s">
        <v>51</v>
      </c>
      <c r="C4118" s="1">
        <v>45991.995833333327</v>
      </c>
      <c r="D4118" s="1">
        <v>46059.406944444447</v>
      </c>
      <c r="E4118" s="2">
        <f t="shared" si="64"/>
        <v>67.411111111119681</v>
      </c>
    </row>
    <row r="4119" spans="1:5" x14ac:dyDescent="0.25">
      <c r="A4119" t="s">
        <v>22</v>
      </c>
      <c r="B4119" t="s">
        <v>19</v>
      </c>
      <c r="C4119" s="1">
        <v>45859.168055555558</v>
      </c>
      <c r="D4119" s="1">
        <v>45920.620833333327</v>
      </c>
      <c r="E4119" s="2">
        <f t="shared" si="64"/>
        <v>61.45277777776937</v>
      </c>
    </row>
    <row r="4120" spans="1:5" x14ac:dyDescent="0.25">
      <c r="A4120" t="s">
        <v>22</v>
      </c>
      <c r="B4120" t="s">
        <v>19</v>
      </c>
      <c r="C4120" s="1">
        <v>46138.895833333343</v>
      </c>
      <c r="D4120" s="1">
        <v>46198.275694444441</v>
      </c>
      <c r="E4120" s="2">
        <f t="shared" si="64"/>
        <v>59.379861111097853</v>
      </c>
    </row>
    <row r="4121" spans="1:5" x14ac:dyDescent="0.25">
      <c r="A4121" t="s">
        <v>8</v>
      </c>
      <c r="B4121" t="s">
        <v>18</v>
      </c>
      <c r="C4121" s="1">
        <v>45885.913194444453</v>
      </c>
      <c r="D4121" s="1">
        <v>45918.59652777778</v>
      </c>
      <c r="E4121" s="2">
        <f t="shared" si="64"/>
        <v>32.683333333327028</v>
      </c>
    </row>
    <row r="4122" spans="1:5" x14ac:dyDescent="0.25">
      <c r="A4122" t="s">
        <v>8</v>
      </c>
      <c r="B4122" t="s">
        <v>44</v>
      </c>
      <c r="C4122" s="1">
        <v>45694.468055555553</v>
      </c>
      <c r="D4122" s="1">
        <v>45730.416666666657</v>
      </c>
      <c r="E4122" s="2">
        <f t="shared" si="64"/>
        <v>35.948611111103673</v>
      </c>
    </row>
    <row r="4123" spans="1:5" x14ac:dyDescent="0.25">
      <c r="A4123" t="s">
        <v>22</v>
      </c>
      <c r="B4123" t="s">
        <v>6</v>
      </c>
      <c r="C4123" s="1">
        <v>45831.472916666673</v>
      </c>
      <c r="D4123" s="1">
        <v>45890.335416666669</v>
      </c>
      <c r="E4123" s="2">
        <f t="shared" si="64"/>
        <v>58.862499999995634</v>
      </c>
    </row>
    <row r="4124" spans="1:5" x14ac:dyDescent="0.25">
      <c r="A4124" t="s">
        <v>7</v>
      </c>
      <c r="B4124" t="s">
        <v>66</v>
      </c>
      <c r="C4124" s="1">
        <v>46237.761805555558</v>
      </c>
      <c r="D4124" s="1">
        <v>46275.890277777777</v>
      </c>
      <c r="E4124" s="2">
        <f t="shared" si="64"/>
        <v>38.128472222218988</v>
      </c>
    </row>
    <row r="4125" spans="1:5" x14ac:dyDescent="0.25">
      <c r="A4125" t="s">
        <v>22</v>
      </c>
      <c r="B4125" t="s">
        <v>19</v>
      </c>
      <c r="C4125" s="1">
        <v>46198.158333333333</v>
      </c>
      <c r="D4125" s="1">
        <v>46254.5</v>
      </c>
      <c r="E4125" s="2">
        <f t="shared" si="64"/>
        <v>56.341666666667152</v>
      </c>
    </row>
    <row r="4126" spans="1:5" x14ac:dyDescent="0.25">
      <c r="A4126" t="s">
        <v>22</v>
      </c>
      <c r="B4126" t="s">
        <v>19</v>
      </c>
      <c r="C4126" s="1">
        <v>45978.134722222218</v>
      </c>
      <c r="D4126" s="1">
        <v>46031.813888888893</v>
      </c>
      <c r="E4126" s="2">
        <f t="shared" si="64"/>
        <v>53.679166666675883</v>
      </c>
    </row>
    <row r="4127" spans="1:5" x14ac:dyDescent="0.25">
      <c r="A4127" t="s">
        <v>22</v>
      </c>
      <c r="B4127" t="s">
        <v>19</v>
      </c>
      <c r="C4127" s="1">
        <v>45859.168055555558</v>
      </c>
      <c r="D4127" s="1">
        <v>45920.620833333327</v>
      </c>
      <c r="E4127" s="2">
        <f t="shared" si="64"/>
        <v>61.45277777776937</v>
      </c>
    </row>
    <row r="4128" spans="1:5" x14ac:dyDescent="0.25">
      <c r="A4128" t="s">
        <v>22</v>
      </c>
      <c r="B4128" t="s">
        <v>6</v>
      </c>
      <c r="C4128" s="1">
        <v>45918.582638888889</v>
      </c>
      <c r="D4128" s="1">
        <v>45991.752083333333</v>
      </c>
      <c r="E4128" s="2">
        <f t="shared" si="64"/>
        <v>73.169444444443798</v>
      </c>
    </row>
    <row r="4129" spans="1:5" x14ac:dyDescent="0.25">
      <c r="A4129" t="s">
        <v>22</v>
      </c>
      <c r="B4129" t="s">
        <v>19</v>
      </c>
      <c r="C4129" s="1">
        <v>45998.75</v>
      </c>
      <c r="D4129" s="1">
        <v>46059.65</v>
      </c>
      <c r="E4129" s="2">
        <f t="shared" si="64"/>
        <v>60.900000000001455</v>
      </c>
    </row>
    <row r="4130" spans="1:5" x14ac:dyDescent="0.25">
      <c r="A4130" t="s">
        <v>22</v>
      </c>
      <c r="B4130" t="s">
        <v>51</v>
      </c>
      <c r="C4130" s="1">
        <v>45950.506249999999</v>
      </c>
      <c r="D4130" s="1">
        <v>45999.29583333333</v>
      </c>
      <c r="E4130" s="2">
        <f t="shared" si="64"/>
        <v>48.789583333331393</v>
      </c>
    </row>
    <row r="4131" spans="1:5" x14ac:dyDescent="0.25">
      <c r="A4131" t="s">
        <v>34</v>
      </c>
      <c r="B4131" t="s">
        <v>8</v>
      </c>
      <c r="C4131" s="1">
        <v>45940.307638888888</v>
      </c>
      <c r="D4131" s="1">
        <v>45968.022916666669</v>
      </c>
      <c r="E4131" s="2">
        <f t="shared" si="64"/>
        <v>27.715277777781012</v>
      </c>
    </row>
    <row r="4132" spans="1:5" x14ac:dyDescent="0.25">
      <c r="A4132" t="s">
        <v>34</v>
      </c>
      <c r="B4132" t="s">
        <v>8</v>
      </c>
      <c r="C4132" s="1">
        <v>45940.307638888888</v>
      </c>
      <c r="D4132" s="1">
        <v>45968.022916666669</v>
      </c>
      <c r="E4132" s="2">
        <f t="shared" si="64"/>
        <v>27.715277777781012</v>
      </c>
    </row>
    <row r="4133" spans="1:5" x14ac:dyDescent="0.25">
      <c r="A4133" t="s">
        <v>22</v>
      </c>
      <c r="B4133" t="s">
        <v>51</v>
      </c>
      <c r="C4133" s="1">
        <v>45970.664583333331</v>
      </c>
      <c r="D4133" s="1">
        <v>46032.332638888889</v>
      </c>
      <c r="E4133" s="2">
        <f t="shared" si="64"/>
        <v>61.668055555557657</v>
      </c>
    </row>
    <row r="4134" spans="1:5" x14ac:dyDescent="0.25">
      <c r="A4134" t="s">
        <v>22</v>
      </c>
      <c r="B4134" t="s">
        <v>19</v>
      </c>
      <c r="C4134" s="1">
        <v>46103.772916666669</v>
      </c>
      <c r="D4134" s="1">
        <v>46162.300694444442</v>
      </c>
      <c r="E4134" s="2">
        <f t="shared" si="64"/>
        <v>58.527777777773736</v>
      </c>
    </row>
    <row r="4135" spans="1:5" x14ac:dyDescent="0.25">
      <c r="A4135" t="s">
        <v>22</v>
      </c>
      <c r="B4135" t="s">
        <v>6</v>
      </c>
      <c r="C4135" s="1">
        <v>45936.659722222219</v>
      </c>
      <c r="D4135" s="1">
        <v>45999.394444444442</v>
      </c>
      <c r="E4135" s="2">
        <f t="shared" si="64"/>
        <v>62.734722222223354</v>
      </c>
    </row>
    <row r="4136" spans="1:5" x14ac:dyDescent="0.25">
      <c r="A4136" t="s">
        <v>34</v>
      </c>
      <c r="B4136" t="s">
        <v>8</v>
      </c>
      <c r="C4136" s="1">
        <v>45773.479166666657</v>
      </c>
      <c r="D4136" s="1">
        <v>45801</v>
      </c>
      <c r="E4136" s="2">
        <f t="shared" si="64"/>
        <v>27.520833333343035</v>
      </c>
    </row>
    <row r="4137" spans="1:5" x14ac:dyDescent="0.25">
      <c r="A4137" t="s">
        <v>22</v>
      </c>
      <c r="B4137" t="s">
        <v>19</v>
      </c>
      <c r="C4137" s="1">
        <v>46198.158333333333</v>
      </c>
      <c r="D4137" s="1">
        <v>46254.5</v>
      </c>
      <c r="E4137" s="2">
        <f t="shared" si="64"/>
        <v>56.341666666667152</v>
      </c>
    </row>
    <row r="4138" spans="1:5" x14ac:dyDescent="0.25">
      <c r="A4138" t="s">
        <v>22</v>
      </c>
      <c r="B4138" t="s">
        <v>19</v>
      </c>
      <c r="C4138" s="1">
        <v>46205.704861111109</v>
      </c>
      <c r="D4138" s="1">
        <v>46262.28125</v>
      </c>
      <c r="E4138" s="2">
        <f t="shared" si="64"/>
        <v>56.576388888890506</v>
      </c>
    </row>
    <row r="4139" spans="1:5" x14ac:dyDescent="0.25">
      <c r="A4139" t="s">
        <v>22</v>
      </c>
      <c r="B4139" t="s">
        <v>19</v>
      </c>
      <c r="C4139" s="1">
        <v>46132.438888888893</v>
      </c>
      <c r="D4139" s="1">
        <v>46183.613888888889</v>
      </c>
      <c r="E4139" s="2">
        <f t="shared" si="64"/>
        <v>51.174999999995634</v>
      </c>
    </row>
    <row r="4140" spans="1:5" x14ac:dyDescent="0.25">
      <c r="A4140" t="s">
        <v>22</v>
      </c>
      <c r="B4140" t="s">
        <v>19</v>
      </c>
      <c r="C4140" s="1">
        <v>46152.673611111109</v>
      </c>
      <c r="D4140" s="1">
        <v>46204.585416666669</v>
      </c>
      <c r="E4140" s="2">
        <f t="shared" si="64"/>
        <v>51.911805555559113</v>
      </c>
    </row>
    <row r="4141" spans="1:5" x14ac:dyDescent="0.25">
      <c r="A4141" t="s">
        <v>22</v>
      </c>
      <c r="B4141" t="s">
        <v>51</v>
      </c>
      <c r="C4141" s="1">
        <v>46212.097222222219</v>
      </c>
      <c r="D4141" s="1">
        <v>46271.464583333327</v>
      </c>
      <c r="E4141" s="2">
        <f t="shared" si="64"/>
        <v>59.367361111108039</v>
      </c>
    </row>
    <row r="4142" spans="1:5" x14ac:dyDescent="0.25">
      <c r="A4142" t="s">
        <v>22</v>
      </c>
      <c r="B4142" t="s">
        <v>19</v>
      </c>
      <c r="C4142" s="1">
        <v>46205.704861111109</v>
      </c>
      <c r="D4142" s="1">
        <v>46262.28125</v>
      </c>
      <c r="E4142" s="2">
        <f t="shared" si="64"/>
        <v>56.576388888890506</v>
      </c>
    </row>
    <row r="4143" spans="1:5" x14ac:dyDescent="0.25">
      <c r="A4143" t="s">
        <v>22</v>
      </c>
      <c r="B4143" t="s">
        <v>19</v>
      </c>
      <c r="C4143" s="1">
        <v>45859.168055555558</v>
      </c>
      <c r="D4143" s="1">
        <v>45920.620833333327</v>
      </c>
      <c r="E4143" s="2">
        <f t="shared" si="64"/>
        <v>61.45277777776937</v>
      </c>
    </row>
    <row r="4144" spans="1:5" x14ac:dyDescent="0.25">
      <c r="A4144" t="s">
        <v>22</v>
      </c>
      <c r="B4144" t="s">
        <v>19</v>
      </c>
      <c r="C4144" s="1">
        <v>45865.990277777782</v>
      </c>
      <c r="D4144" s="1">
        <v>45920.620833333327</v>
      </c>
      <c r="E4144" s="2">
        <f t="shared" si="64"/>
        <v>54.630555555544561</v>
      </c>
    </row>
    <row r="4145" spans="1:5" x14ac:dyDescent="0.25">
      <c r="A4145" t="s">
        <v>8</v>
      </c>
      <c r="B4145" t="s">
        <v>18</v>
      </c>
      <c r="C4145" s="1">
        <v>46143.663194444453</v>
      </c>
      <c r="D4145" s="1">
        <v>46181.288194444453</v>
      </c>
      <c r="E4145" s="2">
        <f t="shared" si="64"/>
        <v>37.625</v>
      </c>
    </row>
    <row r="4146" spans="1:5" x14ac:dyDescent="0.25">
      <c r="A4146" t="s">
        <v>22</v>
      </c>
      <c r="B4146" t="s">
        <v>19</v>
      </c>
      <c r="C4146" s="1">
        <v>45844.217361111107</v>
      </c>
      <c r="D4146" s="1">
        <v>45897.883333333331</v>
      </c>
      <c r="E4146" s="2">
        <f t="shared" si="64"/>
        <v>53.665972222224809</v>
      </c>
    </row>
    <row r="4147" spans="1:5" x14ac:dyDescent="0.25">
      <c r="A4147" t="s">
        <v>8</v>
      </c>
      <c r="B4147" t="s">
        <v>18</v>
      </c>
      <c r="C4147" s="1">
        <v>46093.904861111107</v>
      </c>
      <c r="D4147" s="1">
        <v>46122.186805555553</v>
      </c>
      <c r="E4147" s="2">
        <f t="shared" si="64"/>
        <v>28.281944444446708</v>
      </c>
    </row>
    <row r="4148" spans="1:5" x14ac:dyDescent="0.25">
      <c r="A4148" t="s">
        <v>22</v>
      </c>
      <c r="B4148" t="s">
        <v>19</v>
      </c>
      <c r="C4148" s="1">
        <v>45844.217361111107</v>
      </c>
      <c r="D4148" s="1">
        <v>45897.883333333331</v>
      </c>
      <c r="E4148" s="2">
        <f t="shared" si="64"/>
        <v>53.665972222224809</v>
      </c>
    </row>
    <row r="4149" spans="1:5" x14ac:dyDescent="0.25">
      <c r="A4149" t="s">
        <v>22</v>
      </c>
      <c r="B4149" t="s">
        <v>19</v>
      </c>
      <c r="C4149" s="1">
        <v>45790.489583333343</v>
      </c>
      <c r="D4149" s="1">
        <v>45839.894444444442</v>
      </c>
      <c r="E4149" s="2">
        <f t="shared" si="64"/>
        <v>49.404861111099308</v>
      </c>
    </row>
    <row r="4150" spans="1:5" x14ac:dyDescent="0.25">
      <c r="A4150" t="s">
        <v>22</v>
      </c>
      <c r="B4150" t="s">
        <v>19</v>
      </c>
      <c r="C4150" s="1">
        <v>45809.541666666657</v>
      </c>
      <c r="D4150" s="1">
        <v>45860.896527777782</v>
      </c>
      <c r="E4150" s="2">
        <f t="shared" si="64"/>
        <v>51.354861111125501</v>
      </c>
    </row>
    <row r="4151" spans="1:5" x14ac:dyDescent="0.25">
      <c r="A4151" t="s">
        <v>19</v>
      </c>
      <c r="B4151" t="s">
        <v>54</v>
      </c>
      <c r="C4151" s="1">
        <v>46007.636805555558</v>
      </c>
      <c r="D4151" s="1">
        <v>46047.351388888892</v>
      </c>
      <c r="E4151" s="2">
        <f t="shared" si="64"/>
        <v>39.714583333334303</v>
      </c>
    </row>
    <row r="4152" spans="1:5" x14ac:dyDescent="0.25">
      <c r="A4152" t="s">
        <v>7</v>
      </c>
      <c r="B4152" t="s">
        <v>25</v>
      </c>
      <c r="C4152" s="1">
        <v>46189.286111111112</v>
      </c>
      <c r="D4152" s="1">
        <v>46253.418749999997</v>
      </c>
      <c r="E4152" s="2">
        <f t="shared" si="64"/>
        <v>64.132638888884685</v>
      </c>
    </row>
    <row r="4153" spans="1:5" x14ac:dyDescent="0.25">
      <c r="A4153" t="s">
        <v>22</v>
      </c>
      <c r="B4153" t="s">
        <v>51</v>
      </c>
      <c r="C4153" s="1">
        <v>45768.979166666657</v>
      </c>
      <c r="D4153" s="1">
        <v>45822</v>
      </c>
      <c r="E4153" s="2">
        <f t="shared" si="64"/>
        <v>53.020833333343035</v>
      </c>
    </row>
    <row r="4154" spans="1:5" x14ac:dyDescent="0.25">
      <c r="A4154" t="s">
        <v>22</v>
      </c>
      <c r="B4154" t="s">
        <v>19</v>
      </c>
      <c r="C4154" s="1">
        <v>45817.678472222222</v>
      </c>
      <c r="D4154" s="1">
        <v>45869.829861111109</v>
      </c>
      <c r="E4154" s="2">
        <f t="shared" si="64"/>
        <v>52.151388888887595</v>
      </c>
    </row>
    <row r="4155" spans="1:5" x14ac:dyDescent="0.25">
      <c r="A4155" t="s">
        <v>7</v>
      </c>
      <c r="B4155" t="s">
        <v>25</v>
      </c>
      <c r="C4155" s="1">
        <v>46133.142361111109</v>
      </c>
      <c r="D4155" s="1">
        <v>46197.311111111107</v>
      </c>
      <c r="E4155" s="2">
        <f t="shared" si="64"/>
        <v>64.16874999999709</v>
      </c>
    </row>
    <row r="4156" spans="1:5" x14ac:dyDescent="0.25">
      <c r="A4156" t="s">
        <v>8</v>
      </c>
      <c r="B4156" t="s">
        <v>44</v>
      </c>
      <c r="C4156" s="1">
        <v>45666.311805555553</v>
      </c>
      <c r="D4156" s="1">
        <v>45694.68472222222</v>
      </c>
      <c r="E4156" s="2">
        <f t="shared" si="64"/>
        <v>28.372916666667152</v>
      </c>
    </row>
    <row r="4157" spans="1:5" x14ac:dyDescent="0.25">
      <c r="A4157" t="s">
        <v>19</v>
      </c>
      <c r="B4157" t="s">
        <v>8</v>
      </c>
      <c r="C4157" s="1">
        <v>45886.208333333343</v>
      </c>
      <c r="D4157" s="1">
        <v>45910.938888888893</v>
      </c>
      <c r="E4157" s="2">
        <f t="shared" si="64"/>
        <v>24.730555555550382</v>
      </c>
    </row>
    <row r="4158" spans="1:5" x14ac:dyDescent="0.25">
      <c r="A4158" t="s">
        <v>19</v>
      </c>
      <c r="B4158" t="s">
        <v>8</v>
      </c>
      <c r="C4158" s="1">
        <v>46206.119629629633</v>
      </c>
      <c r="D4158" s="1">
        <v>46229.818055555559</v>
      </c>
      <c r="E4158" s="2">
        <f t="shared" si="64"/>
        <v>23.698425925926131</v>
      </c>
    </row>
    <row r="4159" spans="1:5" x14ac:dyDescent="0.25">
      <c r="A4159" t="s">
        <v>8</v>
      </c>
      <c r="B4159" t="s">
        <v>18</v>
      </c>
      <c r="C4159" s="1">
        <v>46128.911111111112</v>
      </c>
      <c r="D4159" s="1">
        <v>46157.072222222218</v>
      </c>
      <c r="E4159" s="2">
        <f t="shared" si="64"/>
        <v>28.161111111105129</v>
      </c>
    </row>
    <row r="4160" spans="1:5" x14ac:dyDescent="0.25">
      <c r="A4160" t="s">
        <v>34</v>
      </c>
      <c r="B4160" t="s">
        <v>8</v>
      </c>
      <c r="C4160" s="1">
        <v>46224.447164351863</v>
      </c>
      <c r="D4160" s="1">
        <v>46253.745138888888</v>
      </c>
      <c r="E4160" s="2">
        <f t="shared" si="64"/>
        <v>29.297974537024857</v>
      </c>
    </row>
    <row r="4161" spans="1:5" x14ac:dyDescent="0.25">
      <c r="A4161" t="s">
        <v>19</v>
      </c>
      <c r="B4161" t="s">
        <v>54</v>
      </c>
      <c r="C4161" s="1">
        <v>45961.912499999999</v>
      </c>
      <c r="D4161" s="1">
        <v>45999.893055555563</v>
      </c>
      <c r="E4161" s="2">
        <f t="shared" si="64"/>
        <v>37.980555555564933</v>
      </c>
    </row>
    <row r="4162" spans="1:5" x14ac:dyDescent="0.25">
      <c r="A4162" t="s">
        <v>22</v>
      </c>
      <c r="B4162" t="s">
        <v>19</v>
      </c>
      <c r="C4162" s="1">
        <v>45823.977083333331</v>
      </c>
      <c r="D4162" s="1">
        <v>45875.595138888893</v>
      </c>
      <c r="E4162" s="2">
        <f t="shared" ref="E4162:E4225" si="65">D4162-C4162</f>
        <v>51.618055555562023</v>
      </c>
    </row>
    <row r="4163" spans="1:5" x14ac:dyDescent="0.25">
      <c r="A4163" t="s">
        <v>14</v>
      </c>
      <c r="B4163" t="s">
        <v>22</v>
      </c>
      <c r="C4163" s="1">
        <v>45690.559027777781</v>
      </c>
      <c r="D4163" s="1">
        <v>45739.333333333343</v>
      </c>
      <c r="E4163" s="2">
        <f t="shared" si="65"/>
        <v>48.774305555562023</v>
      </c>
    </row>
    <row r="4164" spans="1:5" x14ac:dyDescent="0.25">
      <c r="A4164" t="s">
        <v>22</v>
      </c>
      <c r="B4164" t="s">
        <v>19</v>
      </c>
      <c r="C4164" s="1">
        <v>45803.65625</v>
      </c>
      <c r="D4164" s="1">
        <v>45854.040972222218</v>
      </c>
      <c r="E4164" s="2">
        <f t="shared" si="65"/>
        <v>50.384722222217533</v>
      </c>
    </row>
    <row r="4165" spans="1:5" x14ac:dyDescent="0.25">
      <c r="A4165" t="s">
        <v>22</v>
      </c>
      <c r="B4165" t="s">
        <v>51</v>
      </c>
      <c r="C4165" s="1">
        <v>45776.177083333343</v>
      </c>
      <c r="D4165" s="1">
        <v>45822</v>
      </c>
      <c r="E4165" s="2">
        <f t="shared" si="65"/>
        <v>45.822916666656965</v>
      </c>
    </row>
    <row r="4166" spans="1:5" x14ac:dyDescent="0.25">
      <c r="A4166" t="s">
        <v>14</v>
      </c>
      <c r="B4166" t="s">
        <v>22</v>
      </c>
      <c r="C4166" s="1">
        <v>45760.90625</v>
      </c>
      <c r="D4166" s="1">
        <v>45808.809548611112</v>
      </c>
      <c r="E4166" s="2">
        <f t="shared" si="65"/>
        <v>47.903298611112405</v>
      </c>
    </row>
    <row r="4167" spans="1:5" x14ac:dyDescent="0.25">
      <c r="A4167" t="s">
        <v>15</v>
      </c>
      <c r="B4167" t="s">
        <v>18</v>
      </c>
      <c r="C4167" s="1">
        <v>45682.567361111112</v>
      </c>
      <c r="D4167" s="1">
        <v>45735.020833333343</v>
      </c>
      <c r="E4167" s="2">
        <f t="shared" si="65"/>
        <v>52.45347222223063</v>
      </c>
    </row>
    <row r="4168" spans="1:5" x14ac:dyDescent="0.25">
      <c r="A4168" t="s">
        <v>8</v>
      </c>
      <c r="B4168" t="s">
        <v>18</v>
      </c>
      <c r="C4168" s="1">
        <v>46080.052083333343</v>
      </c>
      <c r="D4168" s="1">
        <v>46120.261805555558</v>
      </c>
      <c r="E4168" s="2">
        <f t="shared" si="65"/>
        <v>40.209722222214623</v>
      </c>
    </row>
    <row r="4169" spans="1:5" x14ac:dyDescent="0.25">
      <c r="A4169" t="s">
        <v>22</v>
      </c>
      <c r="B4169" t="s">
        <v>14</v>
      </c>
      <c r="C4169" s="1">
        <v>46013.51458333333</v>
      </c>
      <c r="D4169" s="1">
        <v>46060.310416666667</v>
      </c>
      <c r="E4169" s="2">
        <f t="shared" si="65"/>
        <v>46.795833333337214</v>
      </c>
    </row>
    <row r="4170" spans="1:5" x14ac:dyDescent="0.25">
      <c r="A4170" t="s">
        <v>22</v>
      </c>
      <c r="B4170" t="s">
        <v>19</v>
      </c>
      <c r="C4170" s="1">
        <v>45831.472916666673</v>
      </c>
      <c r="D4170" s="1">
        <v>45886.305555555547</v>
      </c>
      <c r="E4170" s="2">
        <f t="shared" si="65"/>
        <v>54.832638888874499</v>
      </c>
    </row>
    <row r="4171" spans="1:5" x14ac:dyDescent="0.25">
      <c r="A4171" t="s">
        <v>22</v>
      </c>
      <c r="B4171" t="s">
        <v>19</v>
      </c>
      <c r="C4171" s="1">
        <v>46110.847222222219</v>
      </c>
      <c r="D4171" s="1">
        <v>46162.300694444442</v>
      </c>
      <c r="E4171" s="2">
        <f t="shared" si="65"/>
        <v>51.453472222223354</v>
      </c>
    </row>
    <row r="4172" spans="1:5" x14ac:dyDescent="0.25">
      <c r="A4172" t="s">
        <v>19</v>
      </c>
      <c r="B4172" t="s">
        <v>8</v>
      </c>
      <c r="C4172" s="1">
        <v>46178.535416666673</v>
      </c>
      <c r="D4172" s="1">
        <v>46201.631249999999</v>
      </c>
      <c r="E4172" s="2">
        <f t="shared" si="65"/>
        <v>23.095833333325572</v>
      </c>
    </row>
    <row r="4173" spans="1:5" x14ac:dyDescent="0.25">
      <c r="A4173" t="s">
        <v>22</v>
      </c>
      <c r="B4173" t="s">
        <v>51</v>
      </c>
      <c r="C4173" s="1">
        <v>45733.4375</v>
      </c>
      <c r="D4173" s="1">
        <v>45787</v>
      </c>
      <c r="E4173" s="2">
        <f t="shared" si="65"/>
        <v>53.5625</v>
      </c>
    </row>
    <row r="4174" spans="1:5" x14ac:dyDescent="0.25">
      <c r="A4174" t="s">
        <v>22</v>
      </c>
      <c r="B4174" t="s">
        <v>19</v>
      </c>
      <c r="C4174" s="1">
        <v>45838.040972222218</v>
      </c>
      <c r="D4174" s="1">
        <v>45890.80972222222</v>
      </c>
      <c r="E4174" s="2">
        <f t="shared" si="65"/>
        <v>52.76875000000291</v>
      </c>
    </row>
    <row r="4175" spans="1:5" x14ac:dyDescent="0.25">
      <c r="A4175" t="s">
        <v>8</v>
      </c>
      <c r="B4175" t="s">
        <v>18</v>
      </c>
      <c r="C4175" s="1">
        <v>46143.663194444453</v>
      </c>
      <c r="D4175" s="1">
        <v>46181.288194444453</v>
      </c>
      <c r="E4175" s="2">
        <f t="shared" si="65"/>
        <v>37.625</v>
      </c>
    </row>
    <row r="4176" spans="1:5" x14ac:dyDescent="0.25">
      <c r="A4176" t="s">
        <v>22</v>
      </c>
      <c r="B4176" t="s">
        <v>19</v>
      </c>
      <c r="C4176" s="1">
        <v>45908.133333333331</v>
      </c>
      <c r="D4176" s="1">
        <v>45968.824305555558</v>
      </c>
      <c r="E4176" s="2">
        <f t="shared" si="65"/>
        <v>60.690972222226264</v>
      </c>
    </row>
    <row r="4177" spans="1:5" x14ac:dyDescent="0.25">
      <c r="A4177" t="s">
        <v>22</v>
      </c>
      <c r="B4177" t="s">
        <v>19</v>
      </c>
      <c r="C4177" s="1">
        <v>46124.74722222222</v>
      </c>
      <c r="D4177" s="1">
        <v>46176.294444444437</v>
      </c>
      <c r="E4177" s="2">
        <f t="shared" si="65"/>
        <v>51.547222222216078</v>
      </c>
    </row>
    <row r="4178" spans="1:5" x14ac:dyDescent="0.25">
      <c r="A4178" t="s">
        <v>22</v>
      </c>
      <c r="B4178" t="s">
        <v>19</v>
      </c>
      <c r="C4178" s="1">
        <v>45991.995833333327</v>
      </c>
      <c r="D4178" s="1">
        <v>46045.793055555558</v>
      </c>
      <c r="E4178" s="2">
        <f t="shared" si="65"/>
        <v>53.79722222223063</v>
      </c>
    </row>
    <row r="4179" spans="1:5" x14ac:dyDescent="0.25">
      <c r="A4179" t="s">
        <v>22</v>
      </c>
      <c r="B4179" t="s">
        <v>19</v>
      </c>
      <c r="C4179" s="1">
        <v>46034.720833333333</v>
      </c>
      <c r="D4179" s="1">
        <v>46088.423611111109</v>
      </c>
      <c r="E4179" s="2">
        <f t="shared" si="65"/>
        <v>53.702777777776646</v>
      </c>
    </row>
    <row r="4180" spans="1:5" x14ac:dyDescent="0.25">
      <c r="A4180" t="s">
        <v>22</v>
      </c>
      <c r="B4180" t="s">
        <v>51</v>
      </c>
      <c r="C4180" s="1">
        <v>46020.635416666657</v>
      </c>
      <c r="D4180" s="1">
        <v>46093.324999999997</v>
      </c>
      <c r="E4180" s="2">
        <f t="shared" si="65"/>
        <v>72.689583333340124</v>
      </c>
    </row>
    <row r="4181" spans="1:5" x14ac:dyDescent="0.25">
      <c r="A4181" t="s">
        <v>19</v>
      </c>
      <c r="B4181" t="s">
        <v>8</v>
      </c>
      <c r="C4181" s="1">
        <v>46244.530312499999</v>
      </c>
      <c r="D4181" s="1">
        <v>46275.107453703713</v>
      </c>
      <c r="E4181" s="2">
        <f t="shared" si="65"/>
        <v>30.577141203713836</v>
      </c>
    </row>
    <row r="4182" spans="1:5" x14ac:dyDescent="0.25">
      <c r="A4182" t="s">
        <v>15</v>
      </c>
      <c r="B4182" t="s">
        <v>18</v>
      </c>
      <c r="C4182" s="1">
        <v>45716.541666666657</v>
      </c>
      <c r="D4182" s="1">
        <v>45765.89166666667</v>
      </c>
      <c r="E4182" s="2">
        <f t="shared" si="65"/>
        <v>49.350000000013097</v>
      </c>
    </row>
    <row r="4183" spans="1:5" x14ac:dyDescent="0.25">
      <c r="A4183" t="s">
        <v>22</v>
      </c>
      <c r="B4183" t="s">
        <v>19</v>
      </c>
      <c r="C4183" s="1">
        <v>45831.472916666673</v>
      </c>
      <c r="D4183" s="1">
        <v>45886.305555555547</v>
      </c>
      <c r="E4183" s="2">
        <f t="shared" si="65"/>
        <v>54.832638888874499</v>
      </c>
    </row>
    <row r="4184" spans="1:5" x14ac:dyDescent="0.25">
      <c r="A4184" t="s">
        <v>22</v>
      </c>
      <c r="B4184" t="s">
        <v>19</v>
      </c>
      <c r="C4184" s="1">
        <v>45898.765972222223</v>
      </c>
      <c r="D4184" s="1">
        <v>45954.644444444442</v>
      </c>
      <c r="E4184" s="2">
        <f t="shared" si="65"/>
        <v>55.878472222218988</v>
      </c>
    </row>
    <row r="4185" spans="1:5" x14ac:dyDescent="0.25">
      <c r="A4185" t="s">
        <v>14</v>
      </c>
      <c r="B4185" t="s">
        <v>22</v>
      </c>
      <c r="C4185" s="1">
        <v>45738.791666666657</v>
      </c>
      <c r="D4185" s="1">
        <v>45794.857638888891</v>
      </c>
      <c r="E4185" s="2">
        <f t="shared" si="65"/>
        <v>56.06597222223354</v>
      </c>
    </row>
    <row r="4186" spans="1:5" x14ac:dyDescent="0.25">
      <c r="A4186" t="s">
        <v>22</v>
      </c>
      <c r="B4186" t="s">
        <v>19</v>
      </c>
      <c r="C4186" s="1">
        <v>45957.61041666667</v>
      </c>
      <c r="D4186" s="1">
        <v>46011.899305555547</v>
      </c>
      <c r="E4186" s="2">
        <f t="shared" si="65"/>
        <v>54.288888888877409</v>
      </c>
    </row>
    <row r="4187" spans="1:5" x14ac:dyDescent="0.25">
      <c r="A4187" t="s">
        <v>22</v>
      </c>
      <c r="B4187" t="s">
        <v>19</v>
      </c>
      <c r="C4187" s="1">
        <v>46198.158333333333</v>
      </c>
      <c r="D4187" s="1">
        <v>46254.5</v>
      </c>
      <c r="E4187" s="2">
        <f t="shared" si="65"/>
        <v>56.341666666667152</v>
      </c>
    </row>
    <row r="4188" spans="1:5" x14ac:dyDescent="0.25">
      <c r="A4188" t="s">
        <v>22</v>
      </c>
      <c r="B4188" t="s">
        <v>51</v>
      </c>
      <c r="C4188" s="1">
        <v>45740</v>
      </c>
      <c r="D4188" s="1">
        <v>45795.396527777782</v>
      </c>
      <c r="E4188" s="2">
        <f t="shared" si="65"/>
        <v>55.396527777782467</v>
      </c>
    </row>
    <row r="4189" spans="1:5" x14ac:dyDescent="0.25">
      <c r="A4189" t="s">
        <v>15</v>
      </c>
      <c r="B4189" t="s">
        <v>18</v>
      </c>
      <c r="C4189" s="1">
        <v>45780.072916666657</v>
      </c>
      <c r="D4189" s="1">
        <v>45824.120138888888</v>
      </c>
      <c r="E4189" s="2">
        <f t="shared" si="65"/>
        <v>44.04722222223063</v>
      </c>
    </row>
    <row r="4190" spans="1:5" x14ac:dyDescent="0.25">
      <c r="A4190" t="s">
        <v>22</v>
      </c>
      <c r="B4190" t="s">
        <v>51</v>
      </c>
      <c r="C4190" s="1">
        <v>45902.17083333333</v>
      </c>
      <c r="D4190" s="1">
        <v>45956.765972222223</v>
      </c>
      <c r="E4190" s="2">
        <f t="shared" si="65"/>
        <v>54.595138888893416</v>
      </c>
    </row>
    <row r="4191" spans="1:5" x14ac:dyDescent="0.25">
      <c r="A4191" t="s">
        <v>8</v>
      </c>
      <c r="B4191" t="s">
        <v>18</v>
      </c>
      <c r="C4191" s="1">
        <v>46135.317361111112</v>
      </c>
      <c r="D4191" s="1">
        <v>46183.138194444437</v>
      </c>
      <c r="E4191" s="2">
        <f t="shared" si="65"/>
        <v>47.820833333324117</v>
      </c>
    </row>
    <row r="4192" spans="1:5" x14ac:dyDescent="0.25">
      <c r="A4192" t="s">
        <v>6</v>
      </c>
      <c r="B4192" t="s">
        <v>8</v>
      </c>
      <c r="C4192" s="1">
        <v>46052.223611111112</v>
      </c>
      <c r="D4192" s="1">
        <v>46093.731249999997</v>
      </c>
      <c r="E4192" s="2">
        <f t="shared" si="65"/>
        <v>41.507638888884685</v>
      </c>
    </row>
    <row r="4193" spans="1:5" x14ac:dyDescent="0.25">
      <c r="A4193" t="s">
        <v>22</v>
      </c>
      <c r="B4193" t="s">
        <v>19</v>
      </c>
      <c r="C4193" s="1">
        <v>45803.65625</v>
      </c>
      <c r="D4193" s="1">
        <v>45854.040972222218</v>
      </c>
      <c r="E4193" s="2">
        <f t="shared" si="65"/>
        <v>50.384722222217533</v>
      </c>
    </row>
    <row r="4194" spans="1:5" x14ac:dyDescent="0.25">
      <c r="A4194" t="s">
        <v>22</v>
      </c>
      <c r="B4194" t="s">
        <v>19</v>
      </c>
      <c r="C4194" s="1">
        <v>45991.995833333327</v>
      </c>
      <c r="D4194" s="1">
        <v>46045.793055555558</v>
      </c>
      <c r="E4194" s="2">
        <f t="shared" si="65"/>
        <v>53.79722222223063</v>
      </c>
    </row>
    <row r="4195" spans="1:5" x14ac:dyDescent="0.25">
      <c r="A4195" t="s">
        <v>14</v>
      </c>
      <c r="B4195" t="s">
        <v>22</v>
      </c>
      <c r="C4195" s="1">
        <v>45750.891493055547</v>
      </c>
      <c r="D4195" s="1">
        <v>45802.333333333343</v>
      </c>
      <c r="E4195" s="2">
        <f t="shared" si="65"/>
        <v>51.441840277795563</v>
      </c>
    </row>
    <row r="4196" spans="1:5" x14ac:dyDescent="0.25">
      <c r="A4196" t="s">
        <v>8</v>
      </c>
      <c r="B4196" t="s">
        <v>18</v>
      </c>
      <c r="C4196" s="1">
        <v>46093.904861111107</v>
      </c>
      <c r="D4196" s="1">
        <v>46129.805555555547</v>
      </c>
      <c r="E4196" s="2">
        <f t="shared" si="65"/>
        <v>35.900694444440887</v>
      </c>
    </row>
    <row r="4197" spans="1:5" x14ac:dyDescent="0.25">
      <c r="A4197" t="s">
        <v>8</v>
      </c>
      <c r="B4197" t="s">
        <v>18</v>
      </c>
      <c r="C4197" s="1">
        <v>46135.317361111112</v>
      </c>
      <c r="D4197" s="1">
        <v>46183.138194444437</v>
      </c>
      <c r="E4197" s="2">
        <f t="shared" si="65"/>
        <v>47.820833333324117</v>
      </c>
    </row>
    <row r="4198" spans="1:5" x14ac:dyDescent="0.25">
      <c r="A4198" t="s">
        <v>8</v>
      </c>
      <c r="B4198" t="s">
        <v>27</v>
      </c>
      <c r="C4198" s="1">
        <v>45719.203472222223</v>
      </c>
      <c r="D4198" s="1">
        <v>45771.379166666673</v>
      </c>
      <c r="E4198" s="2">
        <f t="shared" si="65"/>
        <v>52.175694444449618</v>
      </c>
    </row>
    <row r="4199" spans="1:5" x14ac:dyDescent="0.25">
      <c r="A4199" t="s">
        <v>17</v>
      </c>
      <c r="B4199" t="s">
        <v>18</v>
      </c>
      <c r="C4199" s="1">
        <v>45756.875</v>
      </c>
      <c r="D4199" s="1">
        <v>45810.347222222219</v>
      </c>
      <c r="E4199" s="2">
        <f t="shared" si="65"/>
        <v>53.472222222218988</v>
      </c>
    </row>
    <row r="4200" spans="1:5" x14ac:dyDescent="0.25">
      <c r="A4200" t="s">
        <v>22</v>
      </c>
      <c r="B4200" t="s">
        <v>51</v>
      </c>
      <c r="C4200" s="1">
        <v>45970.664583333331</v>
      </c>
      <c r="D4200" s="1">
        <v>46032.332638888889</v>
      </c>
      <c r="E4200" s="2">
        <f t="shared" si="65"/>
        <v>61.668055555557657</v>
      </c>
    </row>
    <row r="4201" spans="1:5" x14ac:dyDescent="0.25">
      <c r="A4201" t="s">
        <v>6</v>
      </c>
      <c r="B4201" t="s">
        <v>8</v>
      </c>
      <c r="C4201" s="1">
        <v>45905.68472222222</v>
      </c>
      <c r="D4201" s="1">
        <v>45944.317361111112</v>
      </c>
      <c r="E4201" s="2">
        <f t="shared" si="65"/>
        <v>38.632638888891961</v>
      </c>
    </row>
    <row r="4202" spans="1:5" x14ac:dyDescent="0.25">
      <c r="A4202" t="s">
        <v>17</v>
      </c>
      <c r="B4202" t="s">
        <v>18</v>
      </c>
      <c r="C4202" s="1">
        <v>45673.875</v>
      </c>
      <c r="D4202" s="1">
        <v>45728.043749999997</v>
      </c>
      <c r="E4202" s="2">
        <f t="shared" si="65"/>
        <v>54.16874999999709</v>
      </c>
    </row>
    <row r="4203" spans="1:5" x14ac:dyDescent="0.25">
      <c r="A4203" t="s">
        <v>22</v>
      </c>
      <c r="B4203" t="s">
        <v>19</v>
      </c>
      <c r="C4203" s="1">
        <v>46020.635416666657</v>
      </c>
      <c r="D4203" s="1">
        <v>46082.257638888892</v>
      </c>
      <c r="E4203" s="2">
        <f t="shared" si="65"/>
        <v>61.622222222234996</v>
      </c>
    </row>
    <row r="4204" spans="1:5" x14ac:dyDescent="0.25">
      <c r="A4204" t="s">
        <v>14</v>
      </c>
      <c r="B4204" t="s">
        <v>22</v>
      </c>
      <c r="C4204" s="1">
        <v>46053.93677083333</v>
      </c>
      <c r="D4204" s="1">
        <v>46102.822916666657</v>
      </c>
      <c r="E4204" s="2">
        <f t="shared" si="65"/>
        <v>48.886145833326736</v>
      </c>
    </row>
    <row r="4205" spans="1:5" x14ac:dyDescent="0.25">
      <c r="A4205" t="s">
        <v>22</v>
      </c>
      <c r="B4205" t="s">
        <v>51</v>
      </c>
      <c r="C4205" s="1">
        <v>46110.847222222219</v>
      </c>
      <c r="D4205" s="1">
        <v>46164.704861111109</v>
      </c>
      <c r="E4205" s="2">
        <f t="shared" si="65"/>
        <v>53.857638888890506</v>
      </c>
    </row>
    <row r="4206" spans="1:5" x14ac:dyDescent="0.25">
      <c r="A4206" t="s">
        <v>22</v>
      </c>
      <c r="B4206" t="s">
        <v>19</v>
      </c>
      <c r="C4206" s="1">
        <v>45797.0625</v>
      </c>
      <c r="D4206" s="1">
        <v>45847.847916666673</v>
      </c>
      <c r="E4206" s="2">
        <f t="shared" si="65"/>
        <v>50.785416666672972</v>
      </c>
    </row>
    <row r="4207" spans="1:5" x14ac:dyDescent="0.25">
      <c r="A4207" t="s">
        <v>15</v>
      </c>
      <c r="B4207" t="s">
        <v>18</v>
      </c>
      <c r="C4207" s="1">
        <v>45690.479166666657</v>
      </c>
      <c r="D4207" s="1">
        <v>45747.246527777781</v>
      </c>
      <c r="E4207" s="2">
        <f t="shared" si="65"/>
        <v>56.767361111124046</v>
      </c>
    </row>
    <row r="4208" spans="1:5" x14ac:dyDescent="0.25">
      <c r="A4208" t="s">
        <v>8</v>
      </c>
      <c r="B4208" t="s">
        <v>27</v>
      </c>
      <c r="C4208" s="1">
        <v>45726.395138888889</v>
      </c>
      <c r="D4208" s="1">
        <v>45778.345833333333</v>
      </c>
      <c r="E4208" s="2">
        <f t="shared" si="65"/>
        <v>51.950694444443798</v>
      </c>
    </row>
    <row r="4209" spans="1:5" x14ac:dyDescent="0.25">
      <c r="A4209" t="s">
        <v>22</v>
      </c>
      <c r="B4209" t="s">
        <v>51</v>
      </c>
      <c r="C4209" s="1">
        <v>46077.848611111112</v>
      </c>
      <c r="D4209" s="1">
        <v>46139.546527777777</v>
      </c>
      <c r="E4209" s="2">
        <f t="shared" si="65"/>
        <v>61.697916666664241</v>
      </c>
    </row>
    <row r="4210" spans="1:5" x14ac:dyDescent="0.25">
      <c r="A4210" t="s">
        <v>22</v>
      </c>
      <c r="B4210" t="s">
        <v>19</v>
      </c>
      <c r="C4210" s="1">
        <v>45797.0625</v>
      </c>
      <c r="D4210" s="1">
        <v>45847.847916666673</v>
      </c>
      <c r="E4210" s="2">
        <f t="shared" si="65"/>
        <v>50.785416666672972</v>
      </c>
    </row>
    <row r="4211" spans="1:5" x14ac:dyDescent="0.25">
      <c r="A4211" t="s">
        <v>22</v>
      </c>
      <c r="B4211" t="s">
        <v>51</v>
      </c>
      <c r="C4211" s="1">
        <v>45908.133333333331</v>
      </c>
      <c r="D4211" s="1">
        <v>45967.76458333333</v>
      </c>
      <c r="E4211" s="2">
        <f t="shared" si="65"/>
        <v>59.631249999998545</v>
      </c>
    </row>
    <row r="4212" spans="1:5" x14ac:dyDescent="0.25">
      <c r="A4212" t="s">
        <v>7</v>
      </c>
      <c r="B4212" t="s">
        <v>25</v>
      </c>
      <c r="C4212" s="1">
        <v>46216.816666666673</v>
      </c>
      <c r="D4212" s="1">
        <v>46280.880555555559</v>
      </c>
      <c r="E4212" s="2">
        <f t="shared" si="65"/>
        <v>64.06388888888614</v>
      </c>
    </row>
    <row r="4213" spans="1:5" x14ac:dyDescent="0.25">
      <c r="A4213" t="s">
        <v>22</v>
      </c>
      <c r="B4213" t="s">
        <v>51</v>
      </c>
      <c r="C4213" s="1">
        <v>45943.082638888889</v>
      </c>
      <c r="D4213" s="1">
        <v>45999.29583333333</v>
      </c>
      <c r="E4213" s="2">
        <f t="shared" si="65"/>
        <v>56.213194444440887</v>
      </c>
    </row>
    <row r="4214" spans="1:5" x14ac:dyDescent="0.25">
      <c r="A4214" t="s">
        <v>22</v>
      </c>
      <c r="B4214" t="s">
        <v>19</v>
      </c>
      <c r="C4214" s="1">
        <v>45978.134722222218</v>
      </c>
      <c r="D4214" s="1">
        <v>46031.813888888893</v>
      </c>
      <c r="E4214" s="2">
        <f t="shared" si="65"/>
        <v>53.679166666675883</v>
      </c>
    </row>
    <row r="4215" spans="1:5" x14ac:dyDescent="0.25">
      <c r="A4215" t="s">
        <v>6</v>
      </c>
      <c r="B4215" t="s">
        <v>8</v>
      </c>
      <c r="C4215" s="1">
        <v>45825.845138888893</v>
      </c>
      <c r="D4215" s="1">
        <v>45876.867361111108</v>
      </c>
      <c r="E4215" s="2">
        <f t="shared" si="65"/>
        <v>51.022222222214623</v>
      </c>
    </row>
    <row r="4216" spans="1:5" x14ac:dyDescent="0.25">
      <c r="A4216" t="s">
        <v>22</v>
      </c>
      <c r="B4216" t="s">
        <v>19</v>
      </c>
      <c r="C4216" s="1">
        <v>45844.217361111107</v>
      </c>
      <c r="D4216" s="1">
        <v>45897.883333333331</v>
      </c>
      <c r="E4216" s="2">
        <f t="shared" si="65"/>
        <v>53.665972222224809</v>
      </c>
    </row>
    <row r="4217" spans="1:5" x14ac:dyDescent="0.25">
      <c r="A4217" t="s">
        <v>22</v>
      </c>
      <c r="B4217" t="s">
        <v>19</v>
      </c>
      <c r="C4217" s="1">
        <v>45844.217361111107</v>
      </c>
      <c r="D4217" s="1">
        <v>45897.883333333331</v>
      </c>
      <c r="E4217" s="2">
        <f t="shared" si="65"/>
        <v>53.665972222224809</v>
      </c>
    </row>
    <row r="4218" spans="1:5" x14ac:dyDescent="0.25">
      <c r="A4218" t="s">
        <v>22</v>
      </c>
      <c r="B4218" t="s">
        <v>19</v>
      </c>
      <c r="C4218" s="1">
        <v>45790.489583333343</v>
      </c>
      <c r="D4218" s="1">
        <v>45839.894444444442</v>
      </c>
      <c r="E4218" s="2">
        <f t="shared" si="65"/>
        <v>49.404861111099308</v>
      </c>
    </row>
    <row r="4219" spans="1:5" x14ac:dyDescent="0.25">
      <c r="A4219" t="s">
        <v>22</v>
      </c>
      <c r="B4219" t="s">
        <v>19</v>
      </c>
      <c r="C4219" s="1">
        <v>45838.040972222218</v>
      </c>
      <c r="D4219" s="1">
        <v>45890.80972222222</v>
      </c>
      <c r="E4219" s="2">
        <f t="shared" si="65"/>
        <v>52.76875000000291</v>
      </c>
    </row>
    <row r="4220" spans="1:5" x14ac:dyDescent="0.25">
      <c r="A4220" t="s">
        <v>22</v>
      </c>
      <c r="B4220" t="s">
        <v>51</v>
      </c>
      <c r="C4220" s="1">
        <v>46152.673611111109</v>
      </c>
      <c r="D4220" s="1">
        <v>46209.481944444437</v>
      </c>
      <c r="E4220" s="2">
        <f t="shared" si="65"/>
        <v>56.808333333327028</v>
      </c>
    </row>
    <row r="4221" spans="1:5" x14ac:dyDescent="0.25">
      <c r="A4221" t="s">
        <v>45</v>
      </c>
      <c r="B4221" t="s">
        <v>19</v>
      </c>
      <c r="C4221" s="1">
        <v>45901.628472222219</v>
      </c>
      <c r="D4221" s="1">
        <v>45944.42291666667</v>
      </c>
      <c r="E4221" s="2">
        <f t="shared" si="65"/>
        <v>42.794444444451074</v>
      </c>
    </row>
    <row r="4222" spans="1:5" x14ac:dyDescent="0.25">
      <c r="A4222" t="s">
        <v>22</v>
      </c>
      <c r="B4222" t="s">
        <v>51</v>
      </c>
      <c r="C4222" s="1">
        <v>45665.041666666657</v>
      </c>
      <c r="D4222" s="1">
        <v>45711</v>
      </c>
      <c r="E4222" s="2">
        <f t="shared" si="65"/>
        <v>45.958333333343035</v>
      </c>
    </row>
    <row r="4223" spans="1:5" x14ac:dyDescent="0.25">
      <c r="A4223" t="s">
        <v>8</v>
      </c>
      <c r="B4223" t="s">
        <v>18</v>
      </c>
      <c r="C4223" s="1">
        <v>46065.522916666669</v>
      </c>
      <c r="D4223" s="1">
        <v>46107.938888888893</v>
      </c>
      <c r="E4223" s="2">
        <f t="shared" si="65"/>
        <v>42.415972222224809</v>
      </c>
    </row>
    <row r="4224" spans="1:5" x14ac:dyDescent="0.25">
      <c r="A4224" t="s">
        <v>22</v>
      </c>
      <c r="B4224" t="s">
        <v>19</v>
      </c>
      <c r="C4224" s="1">
        <v>46077.848611111112</v>
      </c>
      <c r="D4224" s="1">
        <v>46133.517361111109</v>
      </c>
      <c r="E4224" s="2">
        <f t="shared" si="65"/>
        <v>55.66874999999709</v>
      </c>
    </row>
    <row r="4225" spans="1:5" x14ac:dyDescent="0.25">
      <c r="A4225" t="s">
        <v>22</v>
      </c>
      <c r="B4225" t="s">
        <v>19</v>
      </c>
      <c r="C4225" s="1">
        <v>45852.130555555559</v>
      </c>
      <c r="D4225" s="1">
        <v>45909.9375</v>
      </c>
      <c r="E4225" s="2">
        <f t="shared" si="65"/>
        <v>57.806944444440887</v>
      </c>
    </row>
    <row r="4226" spans="1:5" x14ac:dyDescent="0.25">
      <c r="A4226" t="s">
        <v>22</v>
      </c>
      <c r="B4226" t="s">
        <v>51</v>
      </c>
      <c r="C4226" s="1">
        <v>45733.4375</v>
      </c>
      <c r="D4226" s="1">
        <v>45787</v>
      </c>
      <c r="E4226" s="2">
        <f t="shared" ref="E4226:E4289" si="66">D4226-C4226</f>
        <v>53.5625</v>
      </c>
    </row>
    <row r="4227" spans="1:5" x14ac:dyDescent="0.25">
      <c r="A4227" t="s">
        <v>22</v>
      </c>
      <c r="B4227" t="s">
        <v>19</v>
      </c>
      <c r="C4227" s="1">
        <v>45831.472916666673</v>
      </c>
      <c r="D4227" s="1">
        <v>45886.305555555547</v>
      </c>
      <c r="E4227" s="2">
        <f t="shared" si="66"/>
        <v>54.832638888874499</v>
      </c>
    </row>
    <row r="4228" spans="1:5" x14ac:dyDescent="0.25">
      <c r="A4228" t="s">
        <v>14</v>
      </c>
      <c r="B4228" t="s">
        <v>22</v>
      </c>
      <c r="C4228" s="1">
        <v>45719.736087962963</v>
      </c>
      <c r="D4228" s="1">
        <v>45775.35</v>
      </c>
      <c r="E4228" s="2">
        <f t="shared" si="66"/>
        <v>55.613912037035334</v>
      </c>
    </row>
    <row r="4229" spans="1:5" x14ac:dyDescent="0.25">
      <c r="A4229" t="s">
        <v>22</v>
      </c>
      <c r="B4229" t="s">
        <v>14</v>
      </c>
      <c r="C4229" s="1">
        <v>45705.041666666657</v>
      </c>
      <c r="D4229" s="1">
        <v>45751.072222222218</v>
      </c>
      <c r="E4229" s="2">
        <f t="shared" si="66"/>
        <v>46.030555555560568</v>
      </c>
    </row>
    <row r="4230" spans="1:5" x14ac:dyDescent="0.25">
      <c r="A4230" t="s">
        <v>22</v>
      </c>
      <c r="B4230" t="s">
        <v>19</v>
      </c>
      <c r="C4230" s="1">
        <v>46124.74722222222</v>
      </c>
      <c r="D4230" s="1">
        <v>46176.294444444437</v>
      </c>
      <c r="E4230" s="2">
        <f t="shared" si="66"/>
        <v>51.547222222216078</v>
      </c>
    </row>
    <row r="4231" spans="1:5" x14ac:dyDescent="0.25">
      <c r="A4231" t="s">
        <v>14</v>
      </c>
      <c r="B4231" t="s">
        <v>22</v>
      </c>
      <c r="C4231" s="1">
        <v>45719.736087962963</v>
      </c>
      <c r="D4231" s="1">
        <v>45775.318368055552</v>
      </c>
      <c r="E4231" s="2">
        <f t="shared" si="66"/>
        <v>55.582280092588917</v>
      </c>
    </row>
    <row r="4232" spans="1:5" x14ac:dyDescent="0.25">
      <c r="A4232" t="s">
        <v>17</v>
      </c>
      <c r="B4232" t="s">
        <v>18</v>
      </c>
      <c r="C4232" s="1">
        <v>45685</v>
      </c>
      <c r="D4232" s="1">
        <v>45735.020833333343</v>
      </c>
      <c r="E4232" s="2">
        <f t="shared" si="66"/>
        <v>50.020833333343035</v>
      </c>
    </row>
    <row r="4233" spans="1:5" x14ac:dyDescent="0.25">
      <c r="A4233" t="s">
        <v>19</v>
      </c>
      <c r="B4233" t="s">
        <v>8</v>
      </c>
      <c r="C4233" s="1">
        <v>46206.100694444453</v>
      </c>
      <c r="D4233" s="1">
        <v>46229.818055555559</v>
      </c>
      <c r="E4233" s="2">
        <f t="shared" si="66"/>
        <v>23.717361111106584</v>
      </c>
    </row>
    <row r="4234" spans="1:5" x14ac:dyDescent="0.25">
      <c r="A4234" t="s">
        <v>17</v>
      </c>
      <c r="B4234" t="s">
        <v>18</v>
      </c>
      <c r="C4234" s="1">
        <v>45662</v>
      </c>
      <c r="D4234" s="1">
        <v>45715.222222222219</v>
      </c>
      <c r="E4234" s="2">
        <f t="shared" si="66"/>
        <v>53.222222222218988</v>
      </c>
    </row>
    <row r="4235" spans="1:5" x14ac:dyDescent="0.25">
      <c r="A4235" t="s">
        <v>22</v>
      </c>
      <c r="B4235" t="s">
        <v>6</v>
      </c>
      <c r="C4235" s="1">
        <v>45883.51458333333</v>
      </c>
      <c r="D4235" s="1">
        <v>45935.694444444453</v>
      </c>
      <c r="E4235" s="2">
        <f t="shared" si="66"/>
        <v>52.179861111122591</v>
      </c>
    </row>
    <row r="4236" spans="1:5" x14ac:dyDescent="0.25">
      <c r="A4236" t="s">
        <v>6</v>
      </c>
      <c r="B4236" t="s">
        <v>8</v>
      </c>
      <c r="C4236" s="1">
        <v>45859.069444444453</v>
      </c>
      <c r="D4236" s="1">
        <v>45895.902083333327</v>
      </c>
      <c r="E4236" s="2">
        <f t="shared" si="66"/>
        <v>36.832638888874499</v>
      </c>
    </row>
    <row r="4237" spans="1:5" x14ac:dyDescent="0.25">
      <c r="A4237" t="s">
        <v>22</v>
      </c>
      <c r="B4237" t="s">
        <v>14</v>
      </c>
      <c r="C4237" s="1">
        <v>45705.041666666657</v>
      </c>
      <c r="D4237" s="1">
        <v>45751.072222222218</v>
      </c>
      <c r="E4237" s="2">
        <f t="shared" si="66"/>
        <v>46.030555555560568</v>
      </c>
    </row>
    <row r="4238" spans="1:5" x14ac:dyDescent="0.25">
      <c r="A4238" t="s">
        <v>8</v>
      </c>
      <c r="B4238" t="s">
        <v>18</v>
      </c>
      <c r="C4238" s="1">
        <v>45872.612500000003</v>
      </c>
      <c r="D4238" s="1">
        <v>45904.692361111112</v>
      </c>
      <c r="E4238" s="2">
        <f t="shared" si="66"/>
        <v>32.079861111109494</v>
      </c>
    </row>
    <row r="4239" spans="1:5" x14ac:dyDescent="0.25">
      <c r="A4239" t="s">
        <v>15</v>
      </c>
      <c r="B4239" t="s">
        <v>18</v>
      </c>
      <c r="C4239" s="1">
        <v>45699.895833333343</v>
      </c>
      <c r="D4239" s="1">
        <v>45747.246527777781</v>
      </c>
      <c r="E4239" s="2">
        <f t="shared" si="66"/>
        <v>47.350694444437977</v>
      </c>
    </row>
    <row r="4240" spans="1:5" x14ac:dyDescent="0.25">
      <c r="A4240" t="s">
        <v>19</v>
      </c>
      <c r="B4240" t="s">
        <v>8</v>
      </c>
      <c r="C4240" s="1">
        <v>46147.065972222219</v>
      </c>
      <c r="D4240" s="1">
        <v>46185.602083333331</v>
      </c>
      <c r="E4240" s="2">
        <f t="shared" si="66"/>
        <v>38.536111111112405</v>
      </c>
    </row>
    <row r="4241" spans="1:5" x14ac:dyDescent="0.25">
      <c r="A4241" t="s">
        <v>6</v>
      </c>
      <c r="B4241" t="s">
        <v>8</v>
      </c>
      <c r="C4241" s="1">
        <v>45905.68472222222</v>
      </c>
      <c r="D4241" s="1">
        <v>45944.317361111112</v>
      </c>
      <c r="E4241" s="2">
        <f t="shared" si="66"/>
        <v>38.632638888891961</v>
      </c>
    </row>
    <row r="4242" spans="1:5" x14ac:dyDescent="0.25">
      <c r="A4242" t="s">
        <v>22</v>
      </c>
      <c r="B4242" t="s">
        <v>19</v>
      </c>
      <c r="C4242" s="1">
        <v>45844.217361111107</v>
      </c>
      <c r="D4242" s="1">
        <v>45897.883333333331</v>
      </c>
      <c r="E4242" s="2">
        <f t="shared" si="66"/>
        <v>53.665972222224809</v>
      </c>
    </row>
    <row r="4243" spans="1:5" x14ac:dyDescent="0.25">
      <c r="A4243" t="s">
        <v>19</v>
      </c>
      <c r="B4243" t="s">
        <v>8</v>
      </c>
      <c r="C4243" s="1">
        <v>45921.973611111112</v>
      </c>
      <c r="D4243" s="1">
        <v>45946.338888888888</v>
      </c>
      <c r="E4243" s="2">
        <f t="shared" si="66"/>
        <v>24.365277777775191</v>
      </c>
    </row>
    <row r="4244" spans="1:5" x14ac:dyDescent="0.25">
      <c r="A4244" t="s">
        <v>22</v>
      </c>
      <c r="B4244" t="s">
        <v>19</v>
      </c>
      <c r="C4244" s="1">
        <v>46020.635416666657</v>
      </c>
      <c r="D4244" s="1">
        <v>46082.257638888892</v>
      </c>
      <c r="E4244" s="2">
        <f t="shared" si="66"/>
        <v>61.622222222234996</v>
      </c>
    </row>
    <row r="4245" spans="1:5" x14ac:dyDescent="0.25">
      <c r="A4245" t="s">
        <v>22</v>
      </c>
      <c r="B4245" t="s">
        <v>19</v>
      </c>
      <c r="C4245" s="1">
        <v>45823.977083333331</v>
      </c>
      <c r="D4245" s="1">
        <v>45875.595138888893</v>
      </c>
      <c r="E4245" s="2">
        <f t="shared" si="66"/>
        <v>51.618055555562023</v>
      </c>
    </row>
    <row r="4246" spans="1:5" x14ac:dyDescent="0.25">
      <c r="A4246" t="s">
        <v>22</v>
      </c>
      <c r="B4246" t="s">
        <v>51</v>
      </c>
      <c r="C4246" s="1">
        <v>45797.0625</v>
      </c>
      <c r="D4246" s="1">
        <v>45849.961111111108</v>
      </c>
      <c r="E4246" s="2">
        <f t="shared" si="66"/>
        <v>52.898611111108039</v>
      </c>
    </row>
    <row r="4247" spans="1:5" x14ac:dyDescent="0.25">
      <c r="A4247" t="s">
        <v>22</v>
      </c>
      <c r="B4247" t="s">
        <v>19</v>
      </c>
      <c r="C4247" s="1">
        <v>46117.894444444442</v>
      </c>
      <c r="D4247" s="1">
        <v>46168.897916666669</v>
      </c>
      <c r="E4247" s="2">
        <f t="shared" si="66"/>
        <v>51.003472222226264</v>
      </c>
    </row>
    <row r="4248" spans="1:5" x14ac:dyDescent="0.25">
      <c r="A4248" t="s">
        <v>22</v>
      </c>
      <c r="B4248" t="s">
        <v>51</v>
      </c>
      <c r="C4248" s="1">
        <v>45790.489583333343</v>
      </c>
      <c r="D4248" s="1">
        <v>45845.291666666657</v>
      </c>
      <c r="E4248" s="2">
        <f t="shared" si="66"/>
        <v>54.802083333313931</v>
      </c>
    </row>
    <row r="4249" spans="1:5" x14ac:dyDescent="0.25">
      <c r="A4249" t="s">
        <v>19</v>
      </c>
      <c r="B4249" t="s">
        <v>54</v>
      </c>
      <c r="C4249" s="1">
        <v>46012.974305555559</v>
      </c>
      <c r="D4249" s="1">
        <v>46047.351388888892</v>
      </c>
      <c r="E4249" s="2">
        <f t="shared" si="66"/>
        <v>34.377083333332848</v>
      </c>
    </row>
    <row r="4250" spans="1:5" x14ac:dyDescent="0.25">
      <c r="A4250" t="s">
        <v>6</v>
      </c>
      <c r="B4250" t="s">
        <v>8</v>
      </c>
      <c r="C4250" s="1">
        <v>46043.240277777782</v>
      </c>
      <c r="D4250" s="1">
        <v>46099.910416666673</v>
      </c>
      <c r="E4250" s="2">
        <f t="shared" si="66"/>
        <v>56.670138888890506</v>
      </c>
    </row>
    <row r="4251" spans="1:5" x14ac:dyDescent="0.25">
      <c r="A4251" t="s">
        <v>22</v>
      </c>
      <c r="B4251" t="s">
        <v>51</v>
      </c>
      <c r="C4251" s="1">
        <v>45748.1875</v>
      </c>
      <c r="D4251" s="1">
        <v>45802</v>
      </c>
      <c r="E4251" s="2">
        <f t="shared" si="66"/>
        <v>53.8125</v>
      </c>
    </row>
    <row r="4252" spans="1:5" x14ac:dyDescent="0.25">
      <c r="A4252" t="s">
        <v>22</v>
      </c>
      <c r="B4252" t="s">
        <v>19</v>
      </c>
      <c r="C4252" s="1">
        <v>46138.895833333343</v>
      </c>
      <c r="D4252" s="1">
        <v>46198.275694444441</v>
      </c>
      <c r="E4252" s="2">
        <f t="shared" si="66"/>
        <v>59.379861111097853</v>
      </c>
    </row>
    <row r="4253" spans="1:5" x14ac:dyDescent="0.25">
      <c r="A4253" t="s">
        <v>6</v>
      </c>
      <c r="B4253" t="s">
        <v>8</v>
      </c>
      <c r="C4253" s="1">
        <v>46063.282638888893</v>
      </c>
      <c r="D4253" s="1">
        <v>46118.716666666667</v>
      </c>
      <c r="E4253" s="2">
        <f t="shared" si="66"/>
        <v>55.434027777773736</v>
      </c>
    </row>
    <row r="4254" spans="1:5" x14ac:dyDescent="0.25">
      <c r="A4254" t="s">
        <v>22</v>
      </c>
      <c r="B4254" t="s">
        <v>51</v>
      </c>
      <c r="C4254" s="1">
        <v>46198.158333333333</v>
      </c>
      <c r="D4254" s="1">
        <v>46255.520833333343</v>
      </c>
      <c r="E4254" s="2">
        <f t="shared" si="66"/>
        <v>57.362500000010186</v>
      </c>
    </row>
    <row r="4255" spans="1:5" x14ac:dyDescent="0.25">
      <c r="A4255" t="s">
        <v>22</v>
      </c>
      <c r="B4255" t="s">
        <v>51</v>
      </c>
      <c r="C4255" s="1">
        <v>45918.582638888889</v>
      </c>
      <c r="D4255" s="1">
        <v>45978.011805555558</v>
      </c>
      <c r="E4255" s="2">
        <f t="shared" si="66"/>
        <v>59.429166666668607</v>
      </c>
    </row>
    <row r="4256" spans="1:5" x14ac:dyDescent="0.25">
      <c r="A4256" t="s">
        <v>22</v>
      </c>
      <c r="B4256" t="s">
        <v>51</v>
      </c>
      <c r="C4256" s="1">
        <v>45978.134722222218</v>
      </c>
      <c r="D4256" s="1">
        <v>46039.305555555547</v>
      </c>
      <c r="E4256" s="2">
        <f t="shared" si="66"/>
        <v>61.170833333329938</v>
      </c>
    </row>
    <row r="4257" spans="1:5" x14ac:dyDescent="0.25">
      <c r="A4257" t="s">
        <v>8</v>
      </c>
      <c r="B4257" t="s">
        <v>18</v>
      </c>
      <c r="C4257" s="1">
        <v>46143.663194444453</v>
      </c>
      <c r="D4257" s="1">
        <v>46181.288194444453</v>
      </c>
      <c r="E4257" s="2">
        <f t="shared" si="66"/>
        <v>37.625</v>
      </c>
    </row>
    <row r="4258" spans="1:5" x14ac:dyDescent="0.25">
      <c r="A4258" t="s">
        <v>22</v>
      </c>
      <c r="B4258" t="s">
        <v>14</v>
      </c>
      <c r="C4258" s="1">
        <v>45712.166666666657</v>
      </c>
      <c r="D4258" s="1">
        <v>45763</v>
      </c>
      <c r="E4258" s="2">
        <f t="shared" si="66"/>
        <v>50.833333333343035</v>
      </c>
    </row>
    <row r="4259" spans="1:5" x14ac:dyDescent="0.25">
      <c r="A4259" t="s">
        <v>22</v>
      </c>
      <c r="B4259" t="s">
        <v>51</v>
      </c>
      <c r="C4259" s="1">
        <v>45768.979166666657</v>
      </c>
      <c r="D4259" s="1">
        <v>45822</v>
      </c>
      <c r="E4259" s="2">
        <f t="shared" si="66"/>
        <v>53.020833333343035</v>
      </c>
    </row>
    <row r="4260" spans="1:5" x14ac:dyDescent="0.25">
      <c r="A4260" t="s">
        <v>8</v>
      </c>
      <c r="B4260" t="s">
        <v>18</v>
      </c>
      <c r="C4260" s="1">
        <v>46108.068055555559</v>
      </c>
      <c r="D4260" s="1">
        <v>46135.934027777781</v>
      </c>
      <c r="E4260" s="2">
        <f t="shared" si="66"/>
        <v>27.865972222221899</v>
      </c>
    </row>
    <row r="4261" spans="1:5" x14ac:dyDescent="0.25">
      <c r="A4261" t="s">
        <v>22</v>
      </c>
      <c r="B4261" t="s">
        <v>51</v>
      </c>
      <c r="C4261" s="1">
        <v>46216.888888888891</v>
      </c>
      <c r="D4261" s="1">
        <v>46282.281944444447</v>
      </c>
      <c r="E4261" s="2">
        <f t="shared" si="66"/>
        <v>65.393055555556202</v>
      </c>
    </row>
    <row r="4262" spans="1:5" x14ac:dyDescent="0.25">
      <c r="A4262" t="s">
        <v>22</v>
      </c>
      <c r="B4262" t="s">
        <v>51</v>
      </c>
      <c r="C4262" s="1">
        <v>46055.177777777782</v>
      </c>
      <c r="D4262" s="1">
        <v>46139.546527777777</v>
      </c>
      <c r="E4262" s="2">
        <f t="shared" si="66"/>
        <v>84.368749999994179</v>
      </c>
    </row>
    <row r="4263" spans="1:5" x14ac:dyDescent="0.25">
      <c r="A4263" t="s">
        <v>19</v>
      </c>
      <c r="B4263" t="s">
        <v>54</v>
      </c>
      <c r="C4263" s="1">
        <v>46111.907638888893</v>
      </c>
      <c r="D4263" s="1">
        <v>46146.03125</v>
      </c>
      <c r="E4263" s="2">
        <f t="shared" si="66"/>
        <v>34.123611111106584</v>
      </c>
    </row>
    <row r="4264" spans="1:5" x14ac:dyDescent="0.25">
      <c r="A4264" t="s">
        <v>22</v>
      </c>
      <c r="B4264" t="s">
        <v>19</v>
      </c>
      <c r="C4264" s="1">
        <v>46048.46597222222</v>
      </c>
      <c r="D4264" s="1">
        <v>46115.28125</v>
      </c>
      <c r="E4264" s="2">
        <f t="shared" si="66"/>
        <v>66.815277777779556</v>
      </c>
    </row>
    <row r="4265" spans="1:5" x14ac:dyDescent="0.25">
      <c r="A4265" t="s">
        <v>22</v>
      </c>
      <c r="B4265" t="s">
        <v>19</v>
      </c>
      <c r="C4265" s="1">
        <v>45838.040972222218</v>
      </c>
      <c r="D4265" s="1">
        <v>45890.80972222222</v>
      </c>
      <c r="E4265" s="2">
        <f t="shared" si="66"/>
        <v>52.76875000000291</v>
      </c>
    </row>
    <row r="4266" spans="1:5" x14ac:dyDescent="0.25">
      <c r="A4266" t="s">
        <v>22</v>
      </c>
      <c r="B4266" t="s">
        <v>19</v>
      </c>
      <c r="C4266" s="1">
        <v>46013.51458333333</v>
      </c>
      <c r="D4266" s="1">
        <v>46069.90625</v>
      </c>
      <c r="E4266" s="2">
        <f t="shared" si="66"/>
        <v>56.391666666670062</v>
      </c>
    </row>
    <row r="4267" spans="1:5" x14ac:dyDescent="0.25">
      <c r="A4267" t="s">
        <v>19</v>
      </c>
      <c r="B4267" t="s">
        <v>8</v>
      </c>
      <c r="C4267" s="1">
        <v>46185.442291666674</v>
      </c>
      <c r="D4267" s="1">
        <v>46215.517361111109</v>
      </c>
      <c r="E4267" s="2">
        <f t="shared" si="66"/>
        <v>30.07506944443594</v>
      </c>
    </row>
    <row r="4268" spans="1:5" x14ac:dyDescent="0.25">
      <c r="A4268" t="s">
        <v>22</v>
      </c>
      <c r="B4268" t="s">
        <v>51</v>
      </c>
      <c r="C4268" s="1">
        <v>45963.606249999997</v>
      </c>
      <c r="D4268" s="1">
        <v>46021.970138888893</v>
      </c>
      <c r="E4268" s="2">
        <f t="shared" si="66"/>
        <v>58.363888888896327</v>
      </c>
    </row>
    <row r="4269" spans="1:5" x14ac:dyDescent="0.25">
      <c r="A4269" t="s">
        <v>7</v>
      </c>
      <c r="B4269" t="s">
        <v>18</v>
      </c>
      <c r="C4269" s="1">
        <v>46147.705555555563</v>
      </c>
      <c r="D4269" s="1">
        <v>46190.270138888889</v>
      </c>
      <c r="E4269" s="2">
        <f t="shared" si="66"/>
        <v>42.564583333325572</v>
      </c>
    </row>
    <row r="4270" spans="1:5" x14ac:dyDescent="0.25">
      <c r="A4270" t="s">
        <v>8</v>
      </c>
      <c r="B4270" t="s">
        <v>18</v>
      </c>
      <c r="C4270" s="1">
        <v>46143.663194444453</v>
      </c>
      <c r="D4270" s="1">
        <v>46181.288194444453</v>
      </c>
      <c r="E4270" s="2">
        <f t="shared" si="66"/>
        <v>37.625</v>
      </c>
    </row>
    <row r="4271" spans="1:5" x14ac:dyDescent="0.25">
      <c r="A4271" t="s">
        <v>14</v>
      </c>
      <c r="B4271" t="s">
        <v>22</v>
      </c>
      <c r="C4271" s="1">
        <v>45750.891493055547</v>
      </c>
      <c r="D4271" s="1">
        <v>45802.333333333343</v>
      </c>
      <c r="E4271" s="2">
        <f t="shared" si="66"/>
        <v>51.441840277795563</v>
      </c>
    </row>
    <row r="4272" spans="1:5" x14ac:dyDescent="0.25">
      <c r="A4272" t="s">
        <v>22</v>
      </c>
      <c r="B4272" t="s">
        <v>51</v>
      </c>
      <c r="C4272" s="1">
        <v>46138.895833333343</v>
      </c>
      <c r="D4272" s="1">
        <v>46195.614583333343</v>
      </c>
      <c r="E4272" s="2">
        <f t="shared" si="66"/>
        <v>56.71875</v>
      </c>
    </row>
    <row r="4273" spans="1:5" x14ac:dyDescent="0.25">
      <c r="A4273" t="s">
        <v>22</v>
      </c>
      <c r="B4273" t="s">
        <v>19</v>
      </c>
      <c r="C4273" s="1">
        <v>46020.635416666657</v>
      </c>
      <c r="D4273" s="1">
        <v>46082.257638888892</v>
      </c>
      <c r="E4273" s="2">
        <f t="shared" si="66"/>
        <v>61.622222222234996</v>
      </c>
    </row>
    <row r="4274" spans="1:5" x14ac:dyDescent="0.25">
      <c r="A4274" t="s">
        <v>6</v>
      </c>
      <c r="B4274" t="s">
        <v>8</v>
      </c>
      <c r="C4274" s="1">
        <v>45919.945138888892</v>
      </c>
      <c r="D4274" s="1">
        <v>45960.036805555559</v>
      </c>
      <c r="E4274" s="2">
        <f t="shared" si="66"/>
        <v>40.091666666667152</v>
      </c>
    </row>
    <row r="4275" spans="1:5" x14ac:dyDescent="0.25">
      <c r="A4275" t="s">
        <v>22</v>
      </c>
      <c r="B4275" t="s">
        <v>51</v>
      </c>
      <c r="C4275" s="1">
        <v>45943.082638888889</v>
      </c>
      <c r="D4275" s="1">
        <v>45999.29583333333</v>
      </c>
      <c r="E4275" s="2">
        <f t="shared" si="66"/>
        <v>56.213194444440887</v>
      </c>
    </row>
    <row r="4276" spans="1:5" x14ac:dyDescent="0.25">
      <c r="A4276" t="s">
        <v>22</v>
      </c>
      <c r="B4276" t="s">
        <v>51</v>
      </c>
      <c r="C4276" s="1">
        <v>46138.895833333343</v>
      </c>
      <c r="D4276" s="1">
        <v>46195.614583333343</v>
      </c>
      <c r="E4276" s="2">
        <f t="shared" si="66"/>
        <v>56.71875</v>
      </c>
    </row>
    <row r="4277" spans="1:5" x14ac:dyDescent="0.25">
      <c r="A4277" t="s">
        <v>19</v>
      </c>
      <c r="B4277" t="s">
        <v>8</v>
      </c>
      <c r="C4277" s="1">
        <v>46120.556250000001</v>
      </c>
      <c r="D4277" s="1">
        <v>46142.076388888891</v>
      </c>
      <c r="E4277" s="2">
        <f t="shared" si="66"/>
        <v>21.520138888889051</v>
      </c>
    </row>
    <row r="4278" spans="1:5" x14ac:dyDescent="0.25">
      <c r="A4278" t="s">
        <v>22</v>
      </c>
      <c r="B4278" t="s">
        <v>51</v>
      </c>
      <c r="C4278" s="1">
        <v>46103.772916666669</v>
      </c>
      <c r="D4278" s="1">
        <v>46156.381249999999</v>
      </c>
      <c r="E4278" s="2">
        <f t="shared" si="66"/>
        <v>52.608333333329938</v>
      </c>
    </row>
    <row r="4279" spans="1:5" x14ac:dyDescent="0.25">
      <c r="A4279" t="s">
        <v>22</v>
      </c>
      <c r="B4279" t="s">
        <v>19</v>
      </c>
      <c r="C4279" s="1">
        <v>45943.082638888889</v>
      </c>
      <c r="D4279" s="1">
        <v>45996.627083333333</v>
      </c>
      <c r="E4279" s="2">
        <f t="shared" si="66"/>
        <v>53.544444444443798</v>
      </c>
    </row>
    <row r="4280" spans="1:5" x14ac:dyDescent="0.25">
      <c r="A4280" t="s">
        <v>22</v>
      </c>
      <c r="B4280" t="s">
        <v>19</v>
      </c>
      <c r="C4280" s="1">
        <v>45797.0625</v>
      </c>
      <c r="D4280" s="1">
        <v>45847.847916666673</v>
      </c>
      <c r="E4280" s="2">
        <f t="shared" si="66"/>
        <v>50.785416666672972</v>
      </c>
    </row>
    <row r="4281" spans="1:5" x14ac:dyDescent="0.25">
      <c r="A4281" t="s">
        <v>22</v>
      </c>
      <c r="B4281" t="s">
        <v>19</v>
      </c>
      <c r="C4281" s="1">
        <v>45978.134722222218</v>
      </c>
      <c r="D4281" s="1">
        <v>46031.813888888893</v>
      </c>
      <c r="E4281" s="2">
        <f t="shared" si="66"/>
        <v>53.679166666675883</v>
      </c>
    </row>
    <row r="4282" spans="1:5" x14ac:dyDescent="0.25">
      <c r="A4282" t="s">
        <v>22</v>
      </c>
      <c r="B4282" t="s">
        <v>19</v>
      </c>
      <c r="C4282" s="1">
        <v>46069.547222222223</v>
      </c>
      <c r="D4282" s="1">
        <v>46133.517361111109</v>
      </c>
      <c r="E4282" s="2">
        <f t="shared" si="66"/>
        <v>63.97013888888614</v>
      </c>
    </row>
    <row r="4283" spans="1:5" x14ac:dyDescent="0.25">
      <c r="A4283" t="s">
        <v>22</v>
      </c>
      <c r="B4283" t="s">
        <v>19</v>
      </c>
      <c r="C4283" s="1">
        <v>46069.547222222223</v>
      </c>
      <c r="D4283" s="1">
        <v>46133.517361111109</v>
      </c>
      <c r="E4283" s="2">
        <f t="shared" si="66"/>
        <v>63.97013888888614</v>
      </c>
    </row>
    <row r="4284" spans="1:5" x14ac:dyDescent="0.25">
      <c r="A4284" t="s">
        <v>22</v>
      </c>
      <c r="B4284" t="s">
        <v>51</v>
      </c>
      <c r="C4284" s="1">
        <v>45957.61041666667</v>
      </c>
      <c r="D4284" s="1">
        <v>46010.878472222219</v>
      </c>
      <c r="E4284" s="2">
        <f t="shared" si="66"/>
        <v>53.268055555548926</v>
      </c>
    </row>
    <row r="4285" spans="1:5" x14ac:dyDescent="0.25">
      <c r="A4285" t="s">
        <v>22</v>
      </c>
      <c r="B4285" t="s">
        <v>19</v>
      </c>
      <c r="C4285" s="1">
        <v>45984.224305555559</v>
      </c>
      <c r="D4285" s="1">
        <v>46038.279861111107</v>
      </c>
      <c r="E4285" s="2">
        <f t="shared" si="66"/>
        <v>54.055555555547471</v>
      </c>
    </row>
    <row r="4286" spans="1:5" x14ac:dyDescent="0.25">
      <c r="A4286" t="s">
        <v>8</v>
      </c>
      <c r="B4286" t="s">
        <v>18</v>
      </c>
      <c r="C4286" s="1">
        <v>46093.904861111107</v>
      </c>
      <c r="D4286" s="1">
        <v>46122.186805555553</v>
      </c>
      <c r="E4286" s="2">
        <f t="shared" si="66"/>
        <v>28.281944444446708</v>
      </c>
    </row>
    <row r="4287" spans="1:5" x14ac:dyDescent="0.25">
      <c r="A4287" t="s">
        <v>22</v>
      </c>
      <c r="B4287" t="s">
        <v>51</v>
      </c>
      <c r="C4287" s="1">
        <v>46069.547222222223</v>
      </c>
      <c r="D4287" s="1">
        <v>46129.326388888891</v>
      </c>
      <c r="E4287" s="2">
        <f t="shared" si="66"/>
        <v>59.779166666667152</v>
      </c>
    </row>
    <row r="4288" spans="1:5" x14ac:dyDescent="0.25">
      <c r="A4288" t="s">
        <v>6</v>
      </c>
      <c r="B4288" t="s">
        <v>8</v>
      </c>
      <c r="C4288" s="1">
        <v>45981.897916666669</v>
      </c>
      <c r="D4288" s="1">
        <v>46020.565972222219</v>
      </c>
      <c r="E4288" s="2">
        <f t="shared" si="66"/>
        <v>38.668055555550382</v>
      </c>
    </row>
    <row r="4289" spans="1:5" x14ac:dyDescent="0.25">
      <c r="A4289" t="s">
        <v>6</v>
      </c>
      <c r="B4289" t="s">
        <v>8</v>
      </c>
      <c r="C4289" s="1">
        <v>45981.897916666669</v>
      </c>
      <c r="D4289" s="1">
        <v>46020.565972222219</v>
      </c>
      <c r="E4289" s="2">
        <f t="shared" si="66"/>
        <v>38.668055555550382</v>
      </c>
    </row>
    <row r="4290" spans="1:5" x14ac:dyDescent="0.25">
      <c r="A4290" t="s">
        <v>22</v>
      </c>
      <c r="B4290" t="s">
        <v>19</v>
      </c>
      <c r="C4290" s="1">
        <v>45998.75</v>
      </c>
      <c r="D4290" s="1">
        <v>46059.65</v>
      </c>
      <c r="E4290" s="2">
        <f t="shared" ref="E4290:E4353" si="67">D4290-C4290</f>
        <v>60.900000000001455</v>
      </c>
    </row>
    <row r="4291" spans="1:5" x14ac:dyDescent="0.25">
      <c r="A4291" t="s">
        <v>34</v>
      </c>
      <c r="B4291" t="s">
        <v>8</v>
      </c>
      <c r="C4291" s="1">
        <v>46213.989583333343</v>
      </c>
      <c r="D4291" s="1">
        <v>46239.826388888891</v>
      </c>
      <c r="E4291" s="2">
        <f t="shared" si="67"/>
        <v>25.836805555547471</v>
      </c>
    </row>
    <row r="4292" spans="1:5" x14ac:dyDescent="0.25">
      <c r="A4292" t="s">
        <v>22</v>
      </c>
      <c r="B4292" t="s">
        <v>19</v>
      </c>
      <c r="C4292" s="1">
        <v>46168.129861111112</v>
      </c>
      <c r="D4292" s="1">
        <v>46220.279166666667</v>
      </c>
      <c r="E4292" s="2">
        <f t="shared" si="67"/>
        <v>52.149305555554747</v>
      </c>
    </row>
    <row r="4293" spans="1:5" x14ac:dyDescent="0.25">
      <c r="A4293" t="s">
        <v>22</v>
      </c>
      <c r="B4293" t="s">
        <v>19</v>
      </c>
      <c r="C4293" s="1">
        <v>46168.129861111112</v>
      </c>
      <c r="D4293" s="1">
        <v>46220.279166666667</v>
      </c>
      <c r="E4293" s="2">
        <f t="shared" si="67"/>
        <v>52.149305555554747</v>
      </c>
    </row>
    <row r="4294" spans="1:5" x14ac:dyDescent="0.25">
      <c r="A4294" t="s">
        <v>22</v>
      </c>
      <c r="B4294" t="s">
        <v>51</v>
      </c>
      <c r="C4294" s="1">
        <v>45908.133333333331</v>
      </c>
      <c r="D4294" s="1">
        <v>45967.76458333333</v>
      </c>
      <c r="E4294" s="2">
        <f t="shared" si="67"/>
        <v>59.631249999998545</v>
      </c>
    </row>
    <row r="4295" spans="1:5" x14ac:dyDescent="0.25">
      <c r="A4295" t="s">
        <v>22</v>
      </c>
      <c r="B4295" t="s">
        <v>19</v>
      </c>
      <c r="C4295" s="1">
        <v>46006.477777777778</v>
      </c>
      <c r="D4295" s="1">
        <v>46069.90625</v>
      </c>
      <c r="E4295" s="2">
        <f t="shared" si="67"/>
        <v>63.428472222221899</v>
      </c>
    </row>
    <row r="4296" spans="1:5" x14ac:dyDescent="0.25">
      <c r="A4296" t="s">
        <v>22</v>
      </c>
      <c r="B4296" t="s">
        <v>19</v>
      </c>
      <c r="C4296" s="1">
        <v>45970.664583333331</v>
      </c>
      <c r="D4296" s="1">
        <v>46025.578472222223</v>
      </c>
      <c r="E4296" s="2">
        <f t="shared" si="67"/>
        <v>54.913888888891961</v>
      </c>
    </row>
    <row r="4297" spans="1:5" x14ac:dyDescent="0.25">
      <c r="A4297" t="s">
        <v>22</v>
      </c>
      <c r="B4297" t="s">
        <v>19</v>
      </c>
      <c r="C4297" s="1">
        <v>46034.720833333333</v>
      </c>
      <c r="D4297" s="1">
        <v>46088.423611111109</v>
      </c>
      <c r="E4297" s="2">
        <f t="shared" si="67"/>
        <v>53.702777777776646</v>
      </c>
    </row>
    <row r="4298" spans="1:5" x14ac:dyDescent="0.25">
      <c r="A4298" t="s">
        <v>8</v>
      </c>
      <c r="B4298" t="s">
        <v>18</v>
      </c>
      <c r="C4298" s="1">
        <v>45977.738888888889</v>
      </c>
      <c r="D4298" s="1">
        <v>46009.657638888893</v>
      </c>
      <c r="E4298" s="2">
        <f t="shared" si="67"/>
        <v>31.918750000004366</v>
      </c>
    </row>
    <row r="4299" spans="1:5" x14ac:dyDescent="0.25">
      <c r="A4299" t="s">
        <v>22</v>
      </c>
      <c r="B4299" t="s">
        <v>19</v>
      </c>
      <c r="C4299" s="1">
        <v>46020.635416666657</v>
      </c>
      <c r="D4299" s="1">
        <v>46082.257638888892</v>
      </c>
      <c r="E4299" s="2">
        <f t="shared" si="67"/>
        <v>61.622222222234996</v>
      </c>
    </row>
    <row r="4300" spans="1:5" x14ac:dyDescent="0.25">
      <c r="A4300" t="s">
        <v>22</v>
      </c>
      <c r="B4300" t="s">
        <v>19</v>
      </c>
      <c r="C4300" s="1">
        <v>46013.51458333333</v>
      </c>
      <c r="D4300" s="1">
        <v>46069.90625</v>
      </c>
      <c r="E4300" s="2">
        <f t="shared" si="67"/>
        <v>56.391666666670062</v>
      </c>
    </row>
    <row r="4301" spans="1:5" x14ac:dyDescent="0.25">
      <c r="A4301" t="s">
        <v>22</v>
      </c>
      <c r="B4301" t="s">
        <v>51</v>
      </c>
      <c r="C4301" s="1">
        <v>46084.957638888889</v>
      </c>
      <c r="D4301" s="1">
        <v>46148.975694444453</v>
      </c>
      <c r="E4301" s="2">
        <f t="shared" si="67"/>
        <v>64.018055555563478</v>
      </c>
    </row>
    <row r="4302" spans="1:5" x14ac:dyDescent="0.25">
      <c r="A4302" t="s">
        <v>22</v>
      </c>
      <c r="B4302" t="s">
        <v>51</v>
      </c>
      <c r="C4302" s="1">
        <v>46110.847222222219</v>
      </c>
      <c r="D4302" s="1">
        <v>46164.704861111109</v>
      </c>
      <c r="E4302" s="2">
        <f t="shared" si="67"/>
        <v>53.857638888890506</v>
      </c>
    </row>
    <row r="4303" spans="1:5" x14ac:dyDescent="0.25">
      <c r="A4303" t="s">
        <v>22</v>
      </c>
      <c r="B4303" t="s">
        <v>19</v>
      </c>
      <c r="C4303" s="1">
        <v>45984.224305555559</v>
      </c>
      <c r="D4303" s="1">
        <v>46038.279861111107</v>
      </c>
      <c r="E4303" s="2">
        <f t="shared" si="67"/>
        <v>54.055555555547471</v>
      </c>
    </row>
    <row r="4304" spans="1:5" x14ac:dyDescent="0.25">
      <c r="A4304" t="s">
        <v>22</v>
      </c>
      <c r="B4304" t="s">
        <v>19</v>
      </c>
      <c r="C4304" s="1">
        <v>46034.720833333333</v>
      </c>
      <c r="D4304" s="1">
        <v>46088.423611111109</v>
      </c>
      <c r="E4304" s="2">
        <f t="shared" si="67"/>
        <v>53.702777777776646</v>
      </c>
    </row>
    <row r="4305" spans="1:5" x14ac:dyDescent="0.25">
      <c r="A4305" t="s">
        <v>22</v>
      </c>
      <c r="B4305" t="s">
        <v>19</v>
      </c>
      <c r="C4305" s="1">
        <v>46216.888888888891</v>
      </c>
      <c r="D4305" s="1">
        <v>46276.277777777781</v>
      </c>
      <c r="E4305" s="2">
        <f t="shared" si="67"/>
        <v>59.388888888890506</v>
      </c>
    </row>
    <row r="4306" spans="1:5" x14ac:dyDescent="0.25">
      <c r="A4306" t="s">
        <v>22</v>
      </c>
      <c r="B4306" t="s">
        <v>51</v>
      </c>
      <c r="C4306" s="1">
        <v>45978.134722222218</v>
      </c>
      <c r="D4306" s="1">
        <v>46039.305555555547</v>
      </c>
      <c r="E4306" s="2">
        <f t="shared" si="67"/>
        <v>61.170833333329938</v>
      </c>
    </row>
    <row r="4307" spans="1:5" x14ac:dyDescent="0.25">
      <c r="A4307" t="s">
        <v>22</v>
      </c>
      <c r="B4307" t="s">
        <v>19</v>
      </c>
      <c r="C4307" s="1">
        <v>46110.847222222219</v>
      </c>
      <c r="D4307" s="1">
        <v>46162.300694444442</v>
      </c>
      <c r="E4307" s="2">
        <f t="shared" si="67"/>
        <v>51.453472222223354</v>
      </c>
    </row>
    <row r="4308" spans="1:5" x14ac:dyDescent="0.25">
      <c r="A4308" t="s">
        <v>45</v>
      </c>
      <c r="B4308" t="s">
        <v>19</v>
      </c>
      <c r="C4308" s="1">
        <v>46105.14166666667</v>
      </c>
      <c r="D4308" s="1">
        <v>46144.47152777778</v>
      </c>
      <c r="E4308" s="2">
        <f t="shared" si="67"/>
        <v>39.329861111109494</v>
      </c>
    </row>
    <row r="4309" spans="1:5" x14ac:dyDescent="0.25">
      <c r="A4309" t="s">
        <v>22</v>
      </c>
      <c r="B4309" t="s">
        <v>19</v>
      </c>
      <c r="C4309" s="1">
        <v>46020.635416666657</v>
      </c>
      <c r="D4309" s="1">
        <v>46082.257638888892</v>
      </c>
      <c r="E4309" s="2">
        <f t="shared" si="67"/>
        <v>61.622222222234996</v>
      </c>
    </row>
    <row r="4310" spans="1:5" x14ac:dyDescent="0.25">
      <c r="A4310" t="s">
        <v>22</v>
      </c>
      <c r="B4310" t="s">
        <v>19</v>
      </c>
      <c r="C4310" s="1">
        <v>46020.635416666657</v>
      </c>
      <c r="D4310" s="1">
        <v>46082.257638888892</v>
      </c>
      <c r="E4310" s="2">
        <f t="shared" si="67"/>
        <v>61.622222222234996</v>
      </c>
    </row>
    <row r="4311" spans="1:5" x14ac:dyDescent="0.25">
      <c r="A4311" t="s">
        <v>22</v>
      </c>
      <c r="B4311" t="s">
        <v>19</v>
      </c>
      <c r="C4311" s="1">
        <v>46110.847222222219</v>
      </c>
      <c r="D4311" s="1">
        <v>46162.300694444442</v>
      </c>
      <c r="E4311" s="2">
        <f t="shared" si="67"/>
        <v>51.453472222223354</v>
      </c>
    </row>
    <row r="4312" spans="1:5" x14ac:dyDescent="0.25">
      <c r="A4312" t="s">
        <v>22</v>
      </c>
      <c r="B4312" t="s">
        <v>19</v>
      </c>
      <c r="C4312" s="1">
        <v>45957.61041666667</v>
      </c>
      <c r="D4312" s="1">
        <v>46011.899305555547</v>
      </c>
      <c r="E4312" s="2">
        <f t="shared" si="67"/>
        <v>54.288888888877409</v>
      </c>
    </row>
    <row r="4313" spans="1:5" x14ac:dyDescent="0.25">
      <c r="A4313" t="s">
        <v>19</v>
      </c>
      <c r="B4313" t="s">
        <v>8</v>
      </c>
      <c r="C4313" s="1">
        <v>46192.564409722218</v>
      </c>
      <c r="D4313" s="1">
        <v>46215.517361111109</v>
      </c>
      <c r="E4313" s="2">
        <f t="shared" si="67"/>
        <v>22.952951388891961</v>
      </c>
    </row>
    <row r="4314" spans="1:5" x14ac:dyDescent="0.25">
      <c r="A4314" t="s">
        <v>22</v>
      </c>
      <c r="B4314" t="s">
        <v>51</v>
      </c>
      <c r="C4314" s="1">
        <v>46216.888888888891</v>
      </c>
      <c r="D4314" s="1">
        <v>46282.281944444447</v>
      </c>
      <c r="E4314" s="2">
        <f t="shared" si="67"/>
        <v>65.393055555556202</v>
      </c>
    </row>
    <row r="4315" spans="1:5" x14ac:dyDescent="0.25">
      <c r="A4315" t="s">
        <v>22</v>
      </c>
      <c r="B4315" t="s">
        <v>19</v>
      </c>
      <c r="C4315" s="1">
        <v>46013.51458333333</v>
      </c>
      <c r="D4315" s="1">
        <v>46069.90625</v>
      </c>
      <c r="E4315" s="2">
        <f t="shared" si="67"/>
        <v>56.391666666670062</v>
      </c>
    </row>
    <row r="4316" spans="1:5" x14ac:dyDescent="0.25">
      <c r="A4316" t="s">
        <v>22</v>
      </c>
      <c r="B4316" t="s">
        <v>51</v>
      </c>
      <c r="C4316" s="1">
        <v>46077.848611111112</v>
      </c>
      <c r="D4316" s="1">
        <v>46139.546527777777</v>
      </c>
      <c r="E4316" s="2">
        <f t="shared" si="67"/>
        <v>61.697916666664241</v>
      </c>
    </row>
    <row r="4317" spans="1:5" x14ac:dyDescent="0.25">
      <c r="A4317" t="s">
        <v>19</v>
      </c>
      <c r="B4317" t="s">
        <v>8</v>
      </c>
      <c r="C4317" s="1">
        <v>45921.973611111112</v>
      </c>
      <c r="D4317" s="1">
        <v>45946.338888888888</v>
      </c>
      <c r="E4317" s="2">
        <f t="shared" si="67"/>
        <v>24.365277777775191</v>
      </c>
    </row>
    <row r="4318" spans="1:5" x14ac:dyDescent="0.25">
      <c r="A4318" t="s">
        <v>22</v>
      </c>
      <c r="B4318" t="s">
        <v>19</v>
      </c>
      <c r="C4318" s="1">
        <v>45991.995833333327</v>
      </c>
      <c r="D4318" s="1">
        <v>46045.793055555558</v>
      </c>
      <c r="E4318" s="2">
        <f t="shared" si="67"/>
        <v>53.79722222223063</v>
      </c>
    </row>
    <row r="4319" spans="1:5" x14ac:dyDescent="0.25">
      <c r="A4319" t="s">
        <v>22</v>
      </c>
      <c r="B4319" t="s">
        <v>19</v>
      </c>
      <c r="C4319" s="1">
        <v>46034.720833333333</v>
      </c>
      <c r="D4319" s="1">
        <v>46088.423611111109</v>
      </c>
      <c r="E4319" s="2">
        <f t="shared" si="67"/>
        <v>53.702777777776646</v>
      </c>
    </row>
    <row r="4320" spans="1:5" x14ac:dyDescent="0.25">
      <c r="A4320" t="s">
        <v>22</v>
      </c>
      <c r="B4320" t="s">
        <v>19</v>
      </c>
      <c r="C4320" s="1">
        <v>46173.790972222218</v>
      </c>
      <c r="D4320" s="1">
        <v>46228.611805555563</v>
      </c>
      <c r="E4320" s="2">
        <f t="shared" si="67"/>
        <v>54.820833333345945</v>
      </c>
    </row>
    <row r="4321" spans="1:5" x14ac:dyDescent="0.25">
      <c r="A4321" t="s">
        <v>22</v>
      </c>
      <c r="B4321" t="s">
        <v>19</v>
      </c>
      <c r="C4321" s="1">
        <v>46103.772916666669</v>
      </c>
      <c r="D4321" s="1">
        <v>46162.300694444442</v>
      </c>
      <c r="E4321" s="2">
        <f t="shared" si="67"/>
        <v>58.527777777773736</v>
      </c>
    </row>
    <row r="4322" spans="1:5" x14ac:dyDescent="0.25">
      <c r="A4322" t="s">
        <v>22</v>
      </c>
      <c r="B4322" t="s">
        <v>51</v>
      </c>
      <c r="C4322" s="1">
        <v>46097.521527777782</v>
      </c>
      <c r="D4322" s="1">
        <v>46153.469444444447</v>
      </c>
      <c r="E4322" s="2">
        <f t="shared" si="67"/>
        <v>55.947916666664241</v>
      </c>
    </row>
    <row r="4323" spans="1:5" x14ac:dyDescent="0.25">
      <c r="A4323" t="s">
        <v>22</v>
      </c>
      <c r="B4323" t="s">
        <v>19</v>
      </c>
      <c r="C4323" s="1">
        <v>46117.894444444442</v>
      </c>
      <c r="D4323" s="1">
        <v>46168.897916666669</v>
      </c>
      <c r="E4323" s="2">
        <f t="shared" si="67"/>
        <v>51.003472222226264</v>
      </c>
    </row>
    <row r="4324" spans="1:5" x14ac:dyDescent="0.25">
      <c r="A4324" t="s">
        <v>19</v>
      </c>
      <c r="B4324" t="s">
        <v>8</v>
      </c>
      <c r="C4324" s="1">
        <v>46223.848611111112</v>
      </c>
      <c r="D4324" s="1">
        <v>46243.890972222223</v>
      </c>
      <c r="E4324" s="2">
        <f t="shared" si="67"/>
        <v>20.042361111110949</v>
      </c>
    </row>
    <row r="4325" spans="1:5" x14ac:dyDescent="0.25">
      <c r="A4325" t="s">
        <v>22</v>
      </c>
      <c r="B4325" t="s">
        <v>19</v>
      </c>
      <c r="C4325" s="1">
        <v>46168.129861111112</v>
      </c>
      <c r="D4325" s="1">
        <v>46220.279166666667</v>
      </c>
      <c r="E4325" s="2">
        <f t="shared" si="67"/>
        <v>52.149305555554747</v>
      </c>
    </row>
    <row r="4326" spans="1:5" x14ac:dyDescent="0.25">
      <c r="A4326" t="s">
        <v>22</v>
      </c>
      <c r="B4326" t="s">
        <v>19</v>
      </c>
      <c r="C4326" s="1">
        <v>46168.129861111112</v>
      </c>
      <c r="D4326" s="1">
        <v>46220.279166666667</v>
      </c>
      <c r="E4326" s="2">
        <f t="shared" si="67"/>
        <v>52.149305555554747</v>
      </c>
    </row>
    <row r="4327" spans="1:5" x14ac:dyDescent="0.25">
      <c r="A4327" t="s">
        <v>22</v>
      </c>
      <c r="B4327" t="s">
        <v>51</v>
      </c>
      <c r="C4327" s="1">
        <v>46191.074305555558</v>
      </c>
      <c r="D4327" s="1">
        <v>46245.237500000003</v>
      </c>
      <c r="E4327" s="2">
        <f t="shared" si="67"/>
        <v>54.163194444445253</v>
      </c>
    </row>
    <row r="4328" spans="1:5" x14ac:dyDescent="0.25">
      <c r="A4328" t="s">
        <v>27</v>
      </c>
      <c r="B4328" t="s">
        <v>33</v>
      </c>
      <c r="C4328" s="1">
        <v>46206.808333333327</v>
      </c>
      <c r="D4328" s="1">
        <v>46261.787499999999</v>
      </c>
      <c r="E4328" s="2">
        <f t="shared" si="67"/>
        <v>54.979166666671517</v>
      </c>
    </row>
    <row r="4329" spans="1:5" x14ac:dyDescent="0.25">
      <c r="A4329" t="s">
        <v>7</v>
      </c>
      <c r="B4329" t="s">
        <v>11</v>
      </c>
      <c r="C4329" s="1">
        <v>45940.345833333333</v>
      </c>
      <c r="D4329" s="1">
        <v>46007.037499999999</v>
      </c>
      <c r="E4329" s="2">
        <f t="shared" si="67"/>
        <v>66.691666666665697</v>
      </c>
    </row>
    <row r="4330" spans="1:5" x14ac:dyDescent="0.25">
      <c r="A4330" t="s">
        <v>35</v>
      </c>
      <c r="B4330" t="s">
        <v>13</v>
      </c>
      <c r="C4330" s="1">
        <v>46222.995833333327</v>
      </c>
      <c r="D4330" s="1">
        <v>46263.520833333343</v>
      </c>
      <c r="E4330" s="2">
        <f t="shared" si="67"/>
        <v>40.525000000016007</v>
      </c>
    </row>
    <row r="4331" spans="1:5" x14ac:dyDescent="0.25">
      <c r="A4331" t="s">
        <v>22</v>
      </c>
      <c r="B4331" t="s">
        <v>52</v>
      </c>
      <c r="C4331" s="1">
        <v>46167.645833333343</v>
      </c>
      <c r="D4331" s="1">
        <v>46217.004166666673</v>
      </c>
      <c r="E4331" s="2">
        <f t="shared" si="67"/>
        <v>49.358333333329938</v>
      </c>
    </row>
    <row r="4332" spans="1:5" x14ac:dyDescent="0.25">
      <c r="A4332" t="s">
        <v>5</v>
      </c>
      <c r="B4332" t="s">
        <v>8</v>
      </c>
      <c r="C4332" s="1">
        <v>46121.404166666667</v>
      </c>
      <c r="D4332" s="1">
        <v>46162.866666666669</v>
      </c>
      <c r="E4332" s="2">
        <f t="shared" si="67"/>
        <v>41.462500000001455</v>
      </c>
    </row>
    <row r="4333" spans="1:5" x14ac:dyDescent="0.25">
      <c r="A4333" t="s">
        <v>9</v>
      </c>
      <c r="B4333" t="s">
        <v>8</v>
      </c>
      <c r="C4333" s="1">
        <v>46085.995833333327</v>
      </c>
      <c r="D4333" s="1">
        <v>46133.916666666657</v>
      </c>
      <c r="E4333" s="2">
        <f t="shared" si="67"/>
        <v>47.920833333329938</v>
      </c>
    </row>
    <row r="4334" spans="1:5" x14ac:dyDescent="0.25">
      <c r="A4334" t="s">
        <v>7</v>
      </c>
      <c r="B4334" t="s">
        <v>8</v>
      </c>
      <c r="C4334" s="1">
        <v>45875.462500000001</v>
      </c>
      <c r="D4334" s="1">
        <v>45920.2</v>
      </c>
      <c r="E4334" s="2">
        <f t="shared" si="67"/>
        <v>44.737499999995634</v>
      </c>
    </row>
    <row r="4335" spans="1:5" x14ac:dyDescent="0.25">
      <c r="A4335" t="s">
        <v>48</v>
      </c>
      <c r="B4335" t="s">
        <v>12</v>
      </c>
      <c r="C4335" s="1">
        <v>46145.408333333333</v>
      </c>
      <c r="D4335" s="1">
        <v>46201.125</v>
      </c>
      <c r="E4335" s="2">
        <f t="shared" si="67"/>
        <v>55.716666666667152</v>
      </c>
    </row>
    <row r="4336" spans="1:5" x14ac:dyDescent="0.25">
      <c r="A4336" t="s">
        <v>35</v>
      </c>
      <c r="B4336" t="s">
        <v>13</v>
      </c>
      <c r="C4336" s="1">
        <v>46121.841666666667</v>
      </c>
      <c r="D4336" s="1">
        <v>46162.541666666657</v>
      </c>
      <c r="E4336" s="2">
        <f t="shared" si="67"/>
        <v>40.699999999989814</v>
      </c>
    </row>
    <row r="4337" spans="1:5" x14ac:dyDescent="0.25">
      <c r="A4337" t="s">
        <v>15</v>
      </c>
      <c r="B4337" t="s">
        <v>6</v>
      </c>
      <c r="C4337" s="1">
        <v>45797.35</v>
      </c>
      <c r="D4337" s="1">
        <v>45850.375</v>
      </c>
      <c r="E4337" s="2">
        <f t="shared" si="67"/>
        <v>53.025000000001455</v>
      </c>
    </row>
    <row r="4338" spans="1:5" x14ac:dyDescent="0.25">
      <c r="A4338" t="s">
        <v>15</v>
      </c>
      <c r="B4338" t="s">
        <v>6</v>
      </c>
      <c r="C4338" s="1">
        <v>46054.012499999997</v>
      </c>
      <c r="D4338" s="1">
        <v>46130.4375</v>
      </c>
      <c r="E4338" s="2">
        <f t="shared" si="67"/>
        <v>76.42500000000291</v>
      </c>
    </row>
    <row r="4339" spans="1:5" x14ac:dyDescent="0.25">
      <c r="A4339" t="s">
        <v>5</v>
      </c>
      <c r="B4339" t="s">
        <v>8</v>
      </c>
      <c r="C4339" s="1">
        <v>46113.60833333333</v>
      </c>
      <c r="D4339" s="1">
        <v>46155.262499999997</v>
      </c>
      <c r="E4339" s="2">
        <f t="shared" si="67"/>
        <v>41.654166666667152</v>
      </c>
    </row>
    <row r="4340" spans="1:5" x14ac:dyDescent="0.25">
      <c r="A4340" t="s">
        <v>5</v>
      </c>
      <c r="B4340" t="s">
        <v>8</v>
      </c>
      <c r="C4340" s="1">
        <v>46035.520833333343</v>
      </c>
      <c r="D4340" s="1">
        <v>46073.45416666667</v>
      </c>
      <c r="E4340" s="2">
        <f t="shared" si="67"/>
        <v>37.933333333327028</v>
      </c>
    </row>
    <row r="4341" spans="1:5" x14ac:dyDescent="0.25">
      <c r="A4341" t="s">
        <v>5</v>
      </c>
      <c r="B4341" t="s">
        <v>8</v>
      </c>
      <c r="C4341" s="1">
        <v>46065.004166666673</v>
      </c>
      <c r="D4341" s="1">
        <v>46099.525000000001</v>
      </c>
      <c r="E4341" s="2">
        <f t="shared" si="67"/>
        <v>34.520833333328483</v>
      </c>
    </row>
    <row r="4342" spans="1:5" x14ac:dyDescent="0.25">
      <c r="A4342" t="s">
        <v>5</v>
      </c>
      <c r="B4342" t="s">
        <v>8</v>
      </c>
      <c r="C4342" s="1">
        <v>46038.558333333327</v>
      </c>
      <c r="D4342" s="1">
        <v>46073.45416666667</v>
      </c>
      <c r="E4342" s="2">
        <f t="shared" si="67"/>
        <v>34.895833333343035</v>
      </c>
    </row>
    <row r="4343" spans="1:5" x14ac:dyDescent="0.25">
      <c r="A4343" t="s">
        <v>5</v>
      </c>
      <c r="B4343" t="s">
        <v>8</v>
      </c>
      <c r="C4343" s="1">
        <v>46035.520833333343</v>
      </c>
      <c r="D4343" s="1">
        <v>46073.45416666667</v>
      </c>
      <c r="E4343" s="2">
        <f t="shared" si="67"/>
        <v>37.933333333327028</v>
      </c>
    </row>
    <row r="4344" spans="1:5" x14ac:dyDescent="0.25">
      <c r="A4344" t="s">
        <v>34</v>
      </c>
      <c r="B4344" t="s">
        <v>21</v>
      </c>
      <c r="C4344" s="1">
        <v>46132.408333333333</v>
      </c>
      <c r="D4344" s="1">
        <v>46145.29583333333</v>
      </c>
      <c r="E4344" s="2">
        <f t="shared" si="67"/>
        <v>12.88749999999709</v>
      </c>
    </row>
    <row r="4345" spans="1:5" x14ac:dyDescent="0.25">
      <c r="A4345" t="s">
        <v>5</v>
      </c>
      <c r="B4345" t="s">
        <v>8</v>
      </c>
      <c r="C4345" s="1">
        <v>46078.916666666657</v>
      </c>
      <c r="D4345" s="1">
        <v>46113.395833333343</v>
      </c>
      <c r="E4345" s="2">
        <f t="shared" si="67"/>
        <v>34.479166666686069</v>
      </c>
    </row>
    <row r="4346" spans="1:5" x14ac:dyDescent="0.25">
      <c r="A4346" t="s">
        <v>7</v>
      </c>
      <c r="B4346" t="s">
        <v>8</v>
      </c>
      <c r="C4346" s="1">
        <v>46002.212500000001</v>
      </c>
      <c r="D4346" s="1">
        <v>46047.712500000001</v>
      </c>
      <c r="E4346" s="2">
        <f t="shared" si="67"/>
        <v>45.5</v>
      </c>
    </row>
    <row r="4347" spans="1:5" x14ac:dyDescent="0.25">
      <c r="A4347" t="s">
        <v>7</v>
      </c>
      <c r="B4347" t="s">
        <v>8</v>
      </c>
      <c r="C4347" s="1">
        <v>46002.212500000001</v>
      </c>
      <c r="D4347" s="1">
        <v>46047.712500000001</v>
      </c>
      <c r="E4347" s="2">
        <f t="shared" si="67"/>
        <v>45.5</v>
      </c>
    </row>
    <row r="4348" spans="1:5" x14ac:dyDescent="0.25">
      <c r="A4348" t="s">
        <v>22</v>
      </c>
      <c r="B4348" t="s">
        <v>52</v>
      </c>
      <c r="C4348" s="1">
        <v>46188.895833333343</v>
      </c>
      <c r="D4348" s="1">
        <v>46238.279166666667</v>
      </c>
      <c r="E4348" s="2">
        <f t="shared" si="67"/>
        <v>49.383333333324117</v>
      </c>
    </row>
    <row r="4349" spans="1:5" x14ac:dyDescent="0.25">
      <c r="A4349" t="s">
        <v>5</v>
      </c>
      <c r="B4349" t="s">
        <v>8</v>
      </c>
      <c r="C4349" s="1">
        <v>46065.004166666673</v>
      </c>
      <c r="D4349" s="1">
        <v>46099.525000000001</v>
      </c>
      <c r="E4349" s="2">
        <f t="shared" si="67"/>
        <v>34.520833333328483</v>
      </c>
    </row>
    <row r="4350" spans="1:5" x14ac:dyDescent="0.25">
      <c r="A4350" t="s">
        <v>8</v>
      </c>
      <c r="B4350" t="s">
        <v>7</v>
      </c>
      <c r="C4350" s="1">
        <v>46151.513888888891</v>
      </c>
      <c r="D4350" s="1">
        <v>46206.541666666657</v>
      </c>
      <c r="E4350" s="2">
        <f t="shared" si="67"/>
        <v>55.02777777776646</v>
      </c>
    </row>
    <row r="4351" spans="1:5" x14ac:dyDescent="0.25">
      <c r="A4351" t="s">
        <v>22</v>
      </c>
      <c r="B4351" t="s">
        <v>52</v>
      </c>
      <c r="C4351" s="1">
        <v>46168.120833333327</v>
      </c>
      <c r="D4351" s="1">
        <v>46217.004166666673</v>
      </c>
      <c r="E4351" s="2">
        <f t="shared" si="67"/>
        <v>48.883333333345945</v>
      </c>
    </row>
    <row r="4352" spans="1:5" x14ac:dyDescent="0.25">
      <c r="A4352" t="s">
        <v>22</v>
      </c>
      <c r="B4352" t="s">
        <v>13</v>
      </c>
      <c r="C4352" s="1">
        <v>46203.162499999999</v>
      </c>
      <c r="D4352" s="1">
        <v>46263.520833333343</v>
      </c>
      <c r="E4352" s="2">
        <f t="shared" si="67"/>
        <v>60.35833333334449</v>
      </c>
    </row>
    <row r="4353" spans="1:5" x14ac:dyDescent="0.25">
      <c r="A4353" t="s">
        <v>48</v>
      </c>
      <c r="B4353" t="s">
        <v>12</v>
      </c>
      <c r="C4353" s="1">
        <v>46112.85</v>
      </c>
      <c r="D4353" s="1">
        <v>46169.322916666657</v>
      </c>
      <c r="E4353" s="2">
        <f t="shared" si="67"/>
        <v>56.472916666658421</v>
      </c>
    </row>
    <row r="4354" spans="1:5" x14ac:dyDescent="0.25">
      <c r="A4354" t="s">
        <v>7</v>
      </c>
      <c r="B4354" t="s">
        <v>8</v>
      </c>
      <c r="C4354" s="1">
        <v>45808.775000000001</v>
      </c>
      <c r="D4354" s="1">
        <v>45853.816666666673</v>
      </c>
      <c r="E4354" s="2">
        <f t="shared" ref="E4354:E4417" si="68">D4354-C4354</f>
        <v>45.041666666671517</v>
      </c>
    </row>
    <row r="4355" spans="1:5" x14ac:dyDescent="0.25">
      <c r="A4355" t="s">
        <v>5</v>
      </c>
      <c r="B4355" t="s">
        <v>8</v>
      </c>
      <c r="C4355" s="1">
        <v>46093.616666666669</v>
      </c>
      <c r="D4355" s="1">
        <v>46141.354166666657</v>
      </c>
      <c r="E4355" s="2">
        <f t="shared" si="68"/>
        <v>47.737499999988358</v>
      </c>
    </row>
    <row r="4356" spans="1:5" x14ac:dyDescent="0.25">
      <c r="A4356" t="s">
        <v>5</v>
      </c>
      <c r="B4356" t="s">
        <v>8</v>
      </c>
      <c r="C4356" s="1">
        <v>46115.291666666657</v>
      </c>
      <c r="D4356" s="1">
        <v>46188.845833333333</v>
      </c>
      <c r="E4356" s="2">
        <f t="shared" si="68"/>
        <v>73.554166666675883</v>
      </c>
    </row>
    <row r="4357" spans="1:5" x14ac:dyDescent="0.25">
      <c r="A4357" t="s">
        <v>9</v>
      </c>
      <c r="B4357" t="s">
        <v>8</v>
      </c>
      <c r="C4357" s="1">
        <v>45908.987500000003</v>
      </c>
      <c r="D4357" s="1">
        <v>45976.39166666667</v>
      </c>
      <c r="E4357" s="2">
        <f t="shared" si="68"/>
        <v>67.404166666667152</v>
      </c>
    </row>
    <row r="4358" spans="1:5" x14ac:dyDescent="0.25">
      <c r="A4358" t="s">
        <v>7</v>
      </c>
      <c r="B4358" t="s">
        <v>8</v>
      </c>
      <c r="C4358" s="1">
        <v>45881.681944444441</v>
      </c>
      <c r="D4358" s="1">
        <v>45938.662499999999</v>
      </c>
      <c r="E4358" s="2">
        <f t="shared" si="68"/>
        <v>56.980555555557657</v>
      </c>
    </row>
    <row r="4359" spans="1:5" x14ac:dyDescent="0.25">
      <c r="A4359" t="s">
        <v>5</v>
      </c>
      <c r="B4359" t="s">
        <v>8</v>
      </c>
      <c r="C4359" s="1">
        <v>46028.258333333331</v>
      </c>
      <c r="D4359" s="1">
        <v>46071.058333333327</v>
      </c>
      <c r="E4359" s="2">
        <f t="shared" si="68"/>
        <v>42.799999999995634</v>
      </c>
    </row>
    <row r="4360" spans="1:5" x14ac:dyDescent="0.25">
      <c r="A4360" t="s">
        <v>34</v>
      </c>
      <c r="B4360" t="s">
        <v>8</v>
      </c>
      <c r="C4360" s="1">
        <v>45940.29583333333</v>
      </c>
      <c r="D4360" s="1">
        <v>45968.025000000001</v>
      </c>
      <c r="E4360" s="2">
        <f t="shared" si="68"/>
        <v>27.729166666671517</v>
      </c>
    </row>
    <row r="4361" spans="1:5" x14ac:dyDescent="0.25">
      <c r="A4361" t="s">
        <v>7</v>
      </c>
      <c r="B4361" t="s">
        <v>11</v>
      </c>
      <c r="C4361" s="1">
        <v>45976.5</v>
      </c>
      <c r="D4361" s="1">
        <v>46070.337500000001</v>
      </c>
      <c r="E4361" s="2">
        <f t="shared" si="68"/>
        <v>93.837500000001455</v>
      </c>
    </row>
    <row r="4362" spans="1:5" x14ac:dyDescent="0.25">
      <c r="A4362" t="s">
        <v>5</v>
      </c>
      <c r="B4362" t="s">
        <v>8</v>
      </c>
      <c r="C4362" s="1">
        <v>45995.0625</v>
      </c>
      <c r="D4362" s="1">
        <v>46028.791666666657</v>
      </c>
      <c r="E4362" s="2">
        <f t="shared" si="68"/>
        <v>33.729166666656965</v>
      </c>
    </row>
    <row r="4363" spans="1:5" x14ac:dyDescent="0.25">
      <c r="A4363" t="s">
        <v>7</v>
      </c>
      <c r="B4363" t="s">
        <v>11</v>
      </c>
      <c r="C4363" s="1">
        <v>45938.883333333331</v>
      </c>
      <c r="D4363" s="1">
        <v>46007.037499999999</v>
      </c>
      <c r="E4363" s="2">
        <f t="shared" si="68"/>
        <v>68.154166666667152</v>
      </c>
    </row>
    <row r="4364" spans="1:5" x14ac:dyDescent="0.25">
      <c r="A4364" t="s">
        <v>9</v>
      </c>
      <c r="B4364" t="s">
        <v>8</v>
      </c>
      <c r="C4364" s="1">
        <v>46044.0625</v>
      </c>
      <c r="D4364" s="1">
        <v>46091.345833333333</v>
      </c>
      <c r="E4364" s="2">
        <f t="shared" si="68"/>
        <v>47.283333333332848</v>
      </c>
    </row>
    <row r="4365" spans="1:5" x14ac:dyDescent="0.25">
      <c r="A4365" t="s">
        <v>5</v>
      </c>
      <c r="B4365" t="s">
        <v>8</v>
      </c>
      <c r="C4365" s="1">
        <v>46061.879166666673</v>
      </c>
      <c r="D4365" s="1">
        <v>46112.529166666667</v>
      </c>
      <c r="E4365" s="2">
        <f t="shared" si="68"/>
        <v>50.649999999994179</v>
      </c>
    </row>
    <row r="4366" spans="1:5" x14ac:dyDescent="0.25">
      <c r="A4366" t="s">
        <v>5</v>
      </c>
      <c r="B4366" t="s">
        <v>8</v>
      </c>
      <c r="C4366" s="1">
        <v>46093.616666666669</v>
      </c>
      <c r="D4366" s="1">
        <v>46141.354166666657</v>
      </c>
      <c r="E4366" s="2">
        <f t="shared" si="68"/>
        <v>47.737499999988358</v>
      </c>
    </row>
    <row r="4367" spans="1:5" x14ac:dyDescent="0.25">
      <c r="A4367" t="s">
        <v>5</v>
      </c>
      <c r="B4367" t="s">
        <v>8</v>
      </c>
      <c r="C4367" s="1">
        <v>46025.436111111107</v>
      </c>
      <c r="D4367" s="1">
        <v>46071.058333333327</v>
      </c>
      <c r="E4367" s="2">
        <f t="shared" si="68"/>
        <v>45.622222222220444</v>
      </c>
    </row>
    <row r="4368" spans="1:5" x14ac:dyDescent="0.25">
      <c r="A4368" t="s">
        <v>7</v>
      </c>
      <c r="B4368" t="s">
        <v>8</v>
      </c>
      <c r="C4368" s="1">
        <v>45911.604166666657</v>
      </c>
      <c r="D4368" s="1">
        <v>45948.104166666657</v>
      </c>
      <c r="E4368" s="2">
        <f t="shared" si="68"/>
        <v>36.5</v>
      </c>
    </row>
    <row r="4369" spans="1:5" x14ac:dyDescent="0.25">
      <c r="A4369" t="s">
        <v>5</v>
      </c>
      <c r="B4369" t="s">
        <v>8</v>
      </c>
      <c r="C4369" s="1">
        <v>46049.5</v>
      </c>
      <c r="D4369" s="1">
        <v>46091.345833333333</v>
      </c>
      <c r="E4369" s="2">
        <f t="shared" si="68"/>
        <v>41.845833333332848</v>
      </c>
    </row>
    <row r="4370" spans="1:5" x14ac:dyDescent="0.25">
      <c r="A4370" t="s">
        <v>48</v>
      </c>
      <c r="B4370" t="s">
        <v>12</v>
      </c>
      <c r="C4370" s="1">
        <v>46066.07916666667</v>
      </c>
      <c r="D4370" s="1">
        <v>46144.05</v>
      </c>
      <c r="E4370" s="2">
        <f t="shared" si="68"/>
        <v>77.970833333332848</v>
      </c>
    </row>
    <row r="4371" spans="1:5" x14ac:dyDescent="0.25">
      <c r="A4371" t="s">
        <v>9</v>
      </c>
      <c r="B4371" t="s">
        <v>8</v>
      </c>
      <c r="C4371" s="1">
        <v>45823.041666666657</v>
      </c>
      <c r="D4371" s="1">
        <v>45875.612500000003</v>
      </c>
      <c r="E4371" s="2">
        <f t="shared" si="68"/>
        <v>52.570833333345945</v>
      </c>
    </row>
    <row r="4372" spans="1:5" x14ac:dyDescent="0.25">
      <c r="A4372" t="s">
        <v>7</v>
      </c>
      <c r="B4372" t="s">
        <v>11</v>
      </c>
      <c r="C4372" s="1">
        <v>45850.695833333331</v>
      </c>
      <c r="D4372" s="1">
        <v>45923.237500000003</v>
      </c>
      <c r="E4372" s="2">
        <f t="shared" si="68"/>
        <v>72.541666666671517</v>
      </c>
    </row>
    <row r="4373" spans="1:5" x14ac:dyDescent="0.25">
      <c r="A4373" t="s">
        <v>35</v>
      </c>
      <c r="B4373" t="s">
        <v>13</v>
      </c>
      <c r="C4373" s="1">
        <v>46143</v>
      </c>
      <c r="D4373" s="1">
        <v>46185.354166666657</v>
      </c>
      <c r="E4373" s="2">
        <f t="shared" si="68"/>
        <v>42.354166666656965</v>
      </c>
    </row>
    <row r="4374" spans="1:5" x14ac:dyDescent="0.25">
      <c r="A4374" t="s">
        <v>9</v>
      </c>
      <c r="B4374" t="s">
        <v>11</v>
      </c>
      <c r="C4374" s="1">
        <v>45805.252083333333</v>
      </c>
      <c r="D4374" s="1">
        <v>45874.708333333343</v>
      </c>
      <c r="E4374" s="2">
        <f t="shared" si="68"/>
        <v>69.456250000010186</v>
      </c>
    </row>
    <row r="4375" spans="1:5" x14ac:dyDescent="0.25">
      <c r="A4375" t="s">
        <v>5</v>
      </c>
      <c r="B4375" t="s">
        <v>8</v>
      </c>
      <c r="C4375" s="1">
        <v>46025.436111111107</v>
      </c>
      <c r="D4375" s="1">
        <v>46071.058333333327</v>
      </c>
      <c r="E4375" s="2">
        <f t="shared" si="68"/>
        <v>45.622222222220444</v>
      </c>
    </row>
    <row r="4376" spans="1:5" x14ac:dyDescent="0.25">
      <c r="A4376" t="s">
        <v>5</v>
      </c>
      <c r="B4376" t="s">
        <v>8</v>
      </c>
      <c r="C4376" s="1">
        <v>45952.57916666667</v>
      </c>
      <c r="D4376" s="1">
        <v>45993.345833333333</v>
      </c>
      <c r="E4376" s="2">
        <f t="shared" si="68"/>
        <v>40.766666666662786</v>
      </c>
    </row>
    <row r="4377" spans="1:5" x14ac:dyDescent="0.25">
      <c r="A4377" t="s">
        <v>7</v>
      </c>
      <c r="B4377" t="s">
        <v>8</v>
      </c>
      <c r="C4377" s="1">
        <v>45940.345833333333</v>
      </c>
      <c r="D4377" s="1">
        <v>45989.166666666657</v>
      </c>
      <c r="E4377" s="2">
        <f t="shared" si="68"/>
        <v>48.820833333324117</v>
      </c>
    </row>
    <row r="4378" spans="1:5" x14ac:dyDescent="0.25">
      <c r="A4378" t="s">
        <v>5</v>
      </c>
      <c r="B4378" t="s">
        <v>8</v>
      </c>
      <c r="C4378" s="1">
        <v>46018.725694444453</v>
      </c>
      <c r="D4378" s="1">
        <v>46071.058333333327</v>
      </c>
      <c r="E4378" s="2">
        <f t="shared" si="68"/>
        <v>52.332638888874499</v>
      </c>
    </row>
    <row r="4379" spans="1:5" x14ac:dyDescent="0.25">
      <c r="A4379" t="s">
        <v>7</v>
      </c>
      <c r="B4379" t="s">
        <v>8</v>
      </c>
      <c r="C4379" s="1">
        <v>45822.791666666657</v>
      </c>
      <c r="D4379" s="1">
        <v>45875.625</v>
      </c>
      <c r="E4379" s="2">
        <f t="shared" si="68"/>
        <v>52.833333333343035</v>
      </c>
    </row>
    <row r="4380" spans="1:5" x14ac:dyDescent="0.25">
      <c r="A4380" t="s">
        <v>9</v>
      </c>
      <c r="B4380" t="s">
        <v>8</v>
      </c>
      <c r="C4380" s="1">
        <v>46022.908333333333</v>
      </c>
      <c r="D4380" s="1">
        <v>46071.058333333327</v>
      </c>
      <c r="E4380" s="2">
        <f t="shared" si="68"/>
        <v>48.149999999994179</v>
      </c>
    </row>
    <row r="4381" spans="1:5" x14ac:dyDescent="0.25">
      <c r="A4381" t="s">
        <v>7</v>
      </c>
      <c r="B4381" t="s">
        <v>8</v>
      </c>
      <c r="C4381" s="1">
        <v>45822.8</v>
      </c>
      <c r="D4381" s="1">
        <v>45875.612500000003</v>
      </c>
      <c r="E4381" s="2">
        <f t="shared" si="68"/>
        <v>52.8125</v>
      </c>
    </row>
    <row r="4382" spans="1:5" x14ac:dyDescent="0.25">
      <c r="A4382" t="s">
        <v>35</v>
      </c>
      <c r="B4382" t="s">
        <v>13</v>
      </c>
      <c r="C4382" s="1">
        <v>46164.6875</v>
      </c>
      <c r="D4382" s="1">
        <v>46206.425000000003</v>
      </c>
      <c r="E4382" s="2">
        <f t="shared" si="68"/>
        <v>41.73750000000291</v>
      </c>
    </row>
    <row r="4383" spans="1:5" x14ac:dyDescent="0.25">
      <c r="A4383" t="s">
        <v>5</v>
      </c>
      <c r="B4383" t="s">
        <v>6</v>
      </c>
      <c r="C4383" s="1">
        <v>45909.529166666667</v>
      </c>
      <c r="D4383" s="1">
        <v>45967.804166666669</v>
      </c>
      <c r="E4383" s="2">
        <f t="shared" si="68"/>
        <v>58.275000000001455</v>
      </c>
    </row>
    <row r="4384" spans="1:5" x14ac:dyDescent="0.25">
      <c r="A4384" t="s">
        <v>7</v>
      </c>
      <c r="B4384" t="s">
        <v>8</v>
      </c>
      <c r="C4384" s="1">
        <v>45785.595833333333</v>
      </c>
      <c r="D4384" s="1">
        <v>45818.433333333327</v>
      </c>
      <c r="E4384" s="2">
        <f t="shared" si="68"/>
        <v>32.837499999994179</v>
      </c>
    </row>
    <row r="4385" spans="1:5" x14ac:dyDescent="0.25">
      <c r="A4385" t="s">
        <v>7</v>
      </c>
      <c r="B4385" t="s">
        <v>8</v>
      </c>
      <c r="C4385" s="1">
        <v>45911.604166666657</v>
      </c>
      <c r="D4385" s="1">
        <v>45948.104166666657</v>
      </c>
      <c r="E4385" s="2">
        <f t="shared" si="68"/>
        <v>36.5</v>
      </c>
    </row>
    <row r="4386" spans="1:5" x14ac:dyDescent="0.25">
      <c r="A4386" t="s">
        <v>7</v>
      </c>
      <c r="B4386" t="s">
        <v>8</v>
      </c>
      <c r="C4386" s="1">
        <v>45939.940972222219</v>
      </c>
      <c r="D4386" s="1">
        <v>45989.166666666657</v>
      </c>
      <c r="E4386" s="2">
        <f t="shared" si="68"/>
        <v>49.225694444437977</v>
      </c>
    </row>
    <row r="4387" spans="1:5" x14ac:dyDescent="0.25">
      <c r="A4387" t="s">
        <v>7</v>
      </c>
      <c r="B4387" t="s">
        <v>8</v>
      </c>
      <c r="C4387" s="1">
        <v>45903.083333333343</v>
      </c>
      <c r="D4387" s="1">
        <v>45938.662499999999</v>
      </c>
      <c r="E4387" s="2">
        <f t="shared" si="68"/>
        <v>35.57916666665551</v>
      </c>
    </row>
    <row r="4388" spans="1:5" x14ac:dyDescent="0.25">
      <c r="A4388" t="s">
        <v>7</v>
      </c>
      <c r="B4388" t="s">
        <v>8</v>
      </c>
      <c r="C4388" s="1">
        <v>45777.64166666667</v>
      </c>
      <c r="D4388" s="1">
        <v>45818.433333333327</v>
      </c>
      <c r="E4388" s="2">
        <f t="shared" si="68"/>
        <v>40.791666666656965</v>
      </c>
    </row>
    <row r="4389" spans="1:5" x14ac:dyDescent="0.25">
      <c r="A4389" t="s">
        <v>27</v>
      </c>
      <c r="B4389" t="s">
        <v>33</v>
      </c>
      <c r="C4389" s="1">
        <v>46191.916666666657</v>
      </c>
      <c r="D4389" s="1">
        <v>46242.637499999997</v>
      </c>
      <c r="E4389" s="2">
        <f t="shared" si="68"/>
        <v>50.720833333340124</v>
      </c>
    </row>
    <row r="4390" spans="1:5" x14ac:dyDescent="0.25">
      <c r="A4390" t="s">
        <v>34</v>
      </c>
      <c r="B4390" t="s">
        <v>8</v>
      </c>
      <c r="C4390" s="1">
        <v>46131.083333333343</v>
      </c>
      <c r="D4390" s="1">
        <v>46157.041666666657</v>
      </c>
      <c r="E4390" s="2">
        <f t="shared" si="68"/>
        <v>25.958333333313931</v>
      </c>
    </row>
    <row r="4391" spans="1:5" x14ac:dyDescent="0.25">
      <c r="A4391" t="s">
        <v>57</v>
      </c>
      <c r="B4391" t="s">
        <v>8</v>
      </c>
      <c r="C4391" s="1">
        <v>46143.916666666657</v>
      </c>
      <c r="D4391" s="1">
        <v>46177.194444444453</v>
      </c>
      <c r="E4391" s="2">
        <f t="shared" si="68"/>
        <v>33.277777777795563</v>
      </c>
    </row>
    <row r="4392" spans="1:5" x14ac:dyDescent="0.25">
      <c r="A4392" t="s">
        <v>7</v>
      </c>
      <c r="B4392" t="s">
        <v>8</v>
      </c>
      <c r="C4392" s="1">
        <v>45834.537499999999</v>
      </c>
      <c r="D4392" s="1">
        <v>45885.783333333333</v>
      </c>
      <c r="E4392" s="2">
        <f t="shared" si="68"/>
        <v>51.245833333334303</v>
      </c>
    </row>
    <row r="4393" spans="1:5" x14ac:dyDescent="0.25">
      <c r="A4393" t="s">
        <v>5</v>
      </c>
      <c r="B4393" t="s">
        <v>8</v>
      </c>
      <c r="C4393" s="1">
        <v>45982.8</v>
      </c>
      <c r="D4393" s="1">
        <v>46017.370833333327</v>
      </c>
      <c r="E4393" s="2">
        <f t="shared" si="68"/>
        <v>34.570833333324117</v>
      </c>
    </row>
    <row r="4394" spans="1:5" x14ac:dyDescent="0.25">
      <c r="A4394" t="s">
        <v>7</v>
      </c>
      <c r="B4394" t="s">
        <v>8</v>
      </c>
      <c r="C4394" s="1">
        <v>45792.854166666657</v>
      </c>
      <c r="D4394" s="1">
        <v>45839.3125</v>
      </c>
      <c r="E4394" s="2">
        <f t="shared" si="68"/>
        <v>46.458333333343035</v>
      </c>
    </row>
    <row r="4395" spans="1:5" x14ac:dyDescent="0.25">
      <c r="A4395" t="s">
        <v>7</v>
      </c>
      <c r="B4395" t="s">
        <v>8</v>
      </c>
      <c r="C4395" s="1">
        <v>45940.345833333333</v>
      </c>
      <c r="D4395" s="1">
        <v>45989.287499999999</v>
      </c>
      <c r="E4395" s="2">
        <f t="shared" si="68"/>
        <v>48.941666666665697</v>
      </c>
    </row>
    <row r="4396" spans="1:5" x14ac:dyDescent="0.25">
      <c r="A4396" t="s">
        <v>5</v>
      </c>
      <c r="B4396" t="s">
        <v>8</v>
      </c>
      <c r="C4396" s="1">
        <v>45995.0625</v>
      </c>
      <c r="D4396" s="1">
        <v>46028.791666666657</v>
      </c>
      <c r="E4396" s="2">
        <f t="shared" si="68"/>
        <v>33.729166666656965</v>
      </c>
    </row>
    <row r="4397" spans="1:5" x14ac:dyDescent="0.25">
      <c r="A4397" t="s">
        <v>5</v>
      </c>
      <c r="B4397" t="s">
        <v>8</v>
      </c>
      <c r="C4397" s="1">
        <v>46049.5</v>
      </c>
      <c r="D4397" s="1">
        <v>46091.345833333333</v>
      </c>
      <c r="E4397" s="2">
        <f t="shared" si="68"/>
        <v>41.845833333332848</v>
      </c>
    </row>
    <row r="4398" spans="1:5" x14ac:dyDescent="0.25">
      <c r="A4398" t="s">
        <v>5</v>
      </c>
      <c r="B4398" t="s">
        <v>8</v>
      </c>
      <c r="C4398" s="1">
        <v>45982.8</v>
      </c>
      <c r="D4398" s="1">
        <v>46017.370833333327</v>
      </c>
      <c r="E4398" s="2">
        <f t="shared" si="68"/>
        <v>34.570833333324117</v>
      </c>
    </row>
    <row r="4399" spans="1:5" x14ac:dyDescent="0.25">
      <c r="A4399" t="s">
        <v>9</v>
      </c>
      <c r="B4399" t="s">
        <v>8</v>
      </c>
      <c r="C4399" s="1">
        <v>46071.291666666657</v>
      </c>
      <c r="D4399" s="1">
        <v>46099.525000000001</v>
      </c>
      <c r="E4399" s="2">
        <f t="shared" si="68"/>
        <v>28.23333333334449</v>
      </c>
    </row>
    <row r="4400" spans="1:5" x14ac:dyDescent="0.25">
      <c r="A4400" t="s">
        <v>5</v>
      </c>
      <c r="B4400" t="s">
        <v>47</v>
      </c>
      <c r="C4400" s="1">
        <v>46072.658333333333</v>
      </c>
      <c r="D4400" s="1">
        <v>46105.429166666669</v>
      </c>
      <c r="E4400" s="2">
        <f t="shared" si="68"/>
        <v>32.770833333335759</v>
      </c>
    </row>
    <row r="4401" spans="1:5" x14ac:dyDescent="0.25">
      <c r="A4401" t="s">
        <v>15</v>
      </c>
      <c r="B4401" t="s">
        <v>6</v>
      </c>
      <c r="C4401" s="1">
        <v>45970.625</v>
      </c>
      <c r="D4401" s="1">
        <v>46025.729166666657</v>
      </c>
      <c r="E4401" s="2">
        <f t="shared" si="68"/>
        <v>55.104166666656965</v>
      </c>
    </row>
    <row r="4402" spans="1:5" x14ac:dyDescent="0.25">
      <c r="A4402" t="s">
        <v>7</v>
      </c>
      <c r="B4402" t="s">
        <v>11</v>
      </c>
      <c r="C4402" s="1">
        <v>46016.362500000003</v>
      </c>
      <c r="D4402" s="1">
        <v>46097.9375</v>
      </c>
      <c r="E4402" s="2">
        <f t="shared" si="68"/>
        <v>81.57499999999709</v>
      </c>
    </row>
    <row r="4403" spans="1:5" x14ac:dyDescent="0.25">
      <c r="A4403" t="s">
        <v>7</v>
      </c>
      <c r="B4403" t="s">
        <v>8</v>
      </c>
      <c r="C4403" s="1">
        <v>45822.791666666657</v>
      </c>
      <c r="D4403" s="1">
        <v>45875.625</v>
      </c>
      <c r="E4403" s="2">
        <f t="shared" si="68"/>
        <v>52.833333333343035</v>
      </c>
    </row>
    <row r="4404" spans="1:5" x14ac:dyDescent="0.25">
      <c r="A4404" t="s">
        <v>5</v>
      </c>
      <c r="B4404" t="s">
        <v>8</v>
      </c>
      <c r="C4404" s="1">
        <v>46101.51666666667</v>
      </c>
      <c r="D4404" s="1">
        <v>46146.737500000003</v>
      </c>
      <c r="E4404" s="2">
        <f t="shared" si="68"/>
        <v>45.220833333332848</v>
      </c>
    </row>
    <row r="4405" spans="1:5" x14ac:dyDescent="0.25">
      <c r="A4405" t="s">
        <v>7</v>
      </c>
      <c r="B4405" t="s">
        <v>8</v>
      </c>
      <c r="C4405" s="1">
        <v>45822.8</v>
      </c>
      <c r="D4405" s="1">
        <v>45875.612500000003</v>
      </c>
      <c r="E4405" s="2">
        <f t="shared" si="68"/>
        <v>52.8125</v>
      </c>
    </row>
    <row r="4406" spans="1:5" x14ac:dyDescent="0.25">
      <c r="A4406" t="s">
        <v>15</v>
      </c>
      <c r="B4406" t="s">
        <v>6</v>
      </c>
      <c r="C4406" s="1">
        <v>45920.5</v>
      </c>
      <c r="D4406" s="1">
        <v>45992.412499999999</v>
      </c>
      <c r="E4406" s="2">
        <f t="shared" si="68"/>
        <v>71.912499999998545</v>
      </c>
    </row>
    <row r="4407" spans="1:5" x14ac:dyDescent="0.25">
      <c r="A4407" t="s">
        <v>9</v>
      </c>
      <c r="B4407" t="s">
        <v>11</v>
      </c>
      <c r="C4407" s="1">
        <v>46066.324999999997</v>
      </c>
      <c r="D4407" s="1">
        <v>46126.425000000003</v>
      </c>
      <c r="E4407" s="2">
        <f t="shared" si="68"/>
        <v>60.100000000005821</v>
      </c>
    </row>
    <row r="4408" spans="1:5" x14ac:dyDescent="0.25">
      <c r="A4408" t="s">
        <v>7</v>
      </c>
      <c r="B4408" t="s">
        <v>8</v>
      </c>
      <c r="C4408" s="1">
        <v>45940.345833333333</v>
      </c>
      <c r="D4408" s="1">
        <v>45989.166666666657</v>
      </c>
      <c r="E4408" s="2">
        <f t="shared" si="68"/>
        <v>48.820833333324117</v>
      </c>
    </row>
    <row r="4409" spans="1:5" x14ac:dyDescent="0.25">
      <c r="A4409" t="s">
        <v>48</v>
      </c>
      <c r="B4409" t="s">
        <v>12</v>
      </c>
      <c r="C4409" s="1">
        <v>45916.984722222223</v>
      </c>
      <c r="D4409" s="1">
        <v>45969.333333333343</v>
      </c>
      <c r="E4409" s="2">
        <f t="shared" si="68"/>
        <v>52.348611111119681</v>
      </c>
    </row>
    <row r="4410" spans="1:5" x14ac:dyDescent="0.25">
      <c r="A4410" t="s">
        <v>5</v>
      </c>
      <c r="B4410" t="s">
        <v>8</v>
      </c>
      <c r="C4410" s="1">
        <v>45995.0625</v>
      </c>
      <c r="D4410" s="1">
        <v>46028.791666666657</v>
      </c>
      <c r="E4410" s="2">
        <f t="shared" si="68"/>
        <v>33.729166666656965</v>
      </c>
    </row>
    <row r="4411" spans="1:5" x14ac:dyDescent="0.25">
      <c r="A4411" t="s">
        <v>7</v>
      </c>
      <c r="B4411" t="s">
        <v>8</v>
      </c>
      <c r="C4411" s="1">
        <v>45875.5625</v>
      </c>
      <c r="D4411" s="1">
        <v>45920.2</v>
      </c>
      <c r="E4411" s="2">
        <f t="shared" si="68"/>
        <v>44.63749999999709</v>
      </c>
    </row>
    <row r="4412" spans="1:5" x14ac:dyDescent="0.25">
      <c r="A4412" t="s">
        <v>48</v>
      </c>
      <c r="B4412" t="s">
        <v>12</v>
      </c>
      <c r="C4412" s="1">
        <v>45856.6875</v>
      </c>
      <c r="D4412" s="1">
        <v>45911.895833333343</v>
      </c>
      <c r="E4412" s="2">
        <f t="shared" si="68"/>
        <v>55.208333333343035</v>
      </c>
    </row>
    <row r="4413" spans="1:5" x14ac:dyDescent="0.25">
      <c r="A4413" t="s">
        <v>7</v>
      </c>
      <c r="B4413" t="s">
        <v>8</v>
      </c>
      <c r="C4413" s="1">
        <v>45940.345833333333</v>
      </c>
      <c r="D4413" s="1">
        <v>45989.166666666657</v>
      </c>
      <c r="E4413" s="2">
        <f t="shared" si="68"/>
        <v>48.820833333324117</v>
      </c>
    </row>
    <row r="4414" spans="1:5" x14ac:dyDescent="0.25">
      <c r="A4414" t="s">
        <v>5</v>
      </c>
      <c r="B4414" t="s">
        <v>8</v>
      </c>
      <c r="C4414" s="1">
        <v>46093.616666666669</v>
      </c>
      <c r="D4414" s="1">
        <v>46141.354166666657</v>
      </c>
      <c r="E4414" s="2">
        <f t="shared" si="68"/>
        <v>47.737499999988358</v>
      </c>
    </row>
    <row r="4415" spans="1:5" x14ac:dyDescent="0.25">
      <c r="A4415" t="s">
        <v>7</v>
      </c>
      <c r="B4415" t="s">
        <v>11</v>
      </c>
      <c r="C4415" s="1">
        <v>46102.293749999997</v>
      </c>
      <c r="D4415" s="1">
        <v>46175.283333333333</v>
      </c>
      <c r="E4415" s="2">
        <f t="shared" si="68"/>
        <v>72.989583333335759</v>
      </c>
    </row>
    <row r="4416" spans="1:5" x14ac:dyDescent="0.25">
      <c r="A4416" t="s">
        <v>7</v>
      </c>
      <c r="B4416" t="s">
        <v>8</v>
      </c>
      <c r="C4416" s="1">
        <v>45822.8</v>
      </c>
      <c r="D4416" s="1">
        <v>45875.612500000003</v>
      </c>
      <c r="E4416" s="2">
        <f t="shared" si="68"/>
        <v>52.8125</v>
      </c>
    </row>
    <row r="4417" spans="1:5" x14ac:dyDescent="0.25">
      <c r="A4417" t="s">
        <v>5</v>
      </c>
      <c r="B4417" t="s">
        <v>8</v>
      </c>
      <c r="C4417" s="1">
        <v>45982.8</v>
      </c>
      <c r="D4417" s="1">
        <v>46017.370833333327</v>
      </c>
      <c r="E4417" s="2">
        <f t="shared" si="68"/>
        <v>34.570833333324117</v>
      </c>
    </row>
    <row r="4418" spans="1:5" x14ac:dyDescent="0.25">
      <c r="A4418" t="s">
        <v>5</v>
      </c>
      <c r="B4418" t="s">
        <v>8</v>
      </c>
      <c r="C4418" s="1">
        <v>46137.216666666667</v>
      </c>
      <c r="D4418" s="1">
        <v>46188.845833333333</v>
      </c>
      <c r="E4418" s="2">
        <f t="shared" ref="E4418:E4481" si="69">D4418-C4418</f>
        <v>51.629166666665697</v>
      </c>
    </row>
    <row r="4419" spans="1:5" x14ac:dyDescent="0.25">
      <c r="A4419" t="s">
        <v>48</v>
      </c>
      <c r="B4419" t="s">
        <v>12</v>
      </c>
      <c r="C4419" s="1">
        <v>45880.305555555547</v>
      </c>
      <c r="D4419" s="1">
        <v>45945.362500000003</v>
      </c>
      <c r="E4419" s="2">
        <f t="shared" si="69"/>
        <v>65.056944444455439</v>
      </c>
    </row>
    <row r="4420" spans="1:5" x14ac:dyDescent="0.25">
      <c r="A4420" t="s">
        <v>5</v>
      </c>
      <c r="B4420" t="s">
        <v>8</v>
      </c>
      <c r="C4420" s="1">
        <v>46049.5</v>
      </c>
      <c r="D4420" s="1">
        <v>46091.345833333333</v>
      </c>
      <c r="E4420" s="2">
        <f t="shared" si="69"/>
        <v>41.845833333332848</v>
      </c>
    </row>
    <row r="4421" spans="1:5" x14ac:dyDescent="0.25">
      <c r="A4421" t="s">
        <v>7</v>
      </c>
      <c r="B4421" t="s">
        <v>8</v>
      </c>
      <c r="C4421" s="1">
        <v>45785.595833333333</v>
      </c>
      <c r="D4421" s="1">
        <v>45818.433333333327</v>
      </c>
      <c r="E4421" s="2">
        <f t="shared" si="69"/>
        <v>32.837499999994179</v>
      </c>
    </row>
    <row r="4422" spans="1:5" x14ac:dyDescent="0.25">
      <c r="A4422" t="s">
        <v>15</v>
      </c>
      <c r="B4422" t="s">
        <v>6</v>
      </c>
      <c r="C4422" s="1">
        <v>45958.691666666673</v>
      </c>
      <c r="D4422" s="1">
        <v>46019.366666666669</v>
      </c>
      <c r="E4422" s="2">
        <f t="shared" si="69"/>
        <v>60.674999999995634</v>
      </c>
    </row>
    <row r="4423" spans="1:5" x14ac:dyDescent="0.25">
      <c r="A4423" t="s">
        <v>15</v>
      </c>
      <c r="B4423" t="s">
        <v>6</v>
      </c>
      <c r="C4423" s="1">
        <v>45804.012499999997</v>
      </c>
      <c r="D4423" s="1">
        <v>45868.555555555547</v>
      </c>
      <c r="E4423" s="2">
        <f t="shared" si="69"/>
        <v>64.543055555550382</v>
      </c>
    </row>
    <row r="4424" spans="1:5" x14ac:dyDescent="0.25">
      <c r="A4424" t="s">
        <v>5</v>
      </c>
      <c r="B4424" t="s">
        <v>8</v>
      </c>
      <c r="C4424" s="1">
        <v>46028.258333333331</v>
      </c>
      <c r="D4424" s="1">
        <v>46071.058333333327</v>
      </c>
      <c r="E4424" s="2">
        <f t="shared" si="69"/>
        <v>42.799999999995634</v>
      </c>
    </row>
    <row r="4425" spans="1:5" x14ac:dyDescent="0.25">
      <c r="A4425" t="s">
        <v>15</v>
      </c>
      <c r="B4425" t="s">
        <v>6</v>
      </c>
      <c r="C4425" s="1">
        <v>45887.85</v>
      </c>
      <c r="D4425" s="1">
        <v>45956.945833333331</v>
      </c>
      <c r="E4425" s="2">
        <f t="shared" si="69"/>
        <v>69.095833333332848</v>
      </c>
    </row>
    <row r="4426" spans="1:5" x14ac:dyDescent="0.25">
      <c r="A4426" t="s">
        <v>7</v>
      </c>
      <c r="B4426" t="s">
        <v>11</v>
      </c>
      <c r="C4426" s="1">
        <v>46078.666666666657</v>
      </c>
      <c r="D4426" s="1">
        <v>46154.554166666669</v>
      </c>
      <c r="E4426" s="2">
        <f t="shared" si="69"/>
        <v>75.887500000011642</v>
      </c>
    </row>
    <row r="4427" spans="1:5" x14ac:dyDescent="0.25">
      <c r="A4427" t="s">
        <v>9</v>
      </c>
      <c r="B4427" t="s">
        <v>11</v>
      </c>
      <c r="C4427" s="1">
        <v>46044</v>
      </c>
      <c r="D4427" s="1">
        <v>46097.9375</v>
      </c>
      <c r="E4427" s="2">
        <f t="shared" si="69"/>
        <v>53.9375</v>
      </c>
    </row>
    <row r="4428" spans="1:5" x14ac:dyDescent="0.25">
      <c r="A4428" t="s">
        <v>7</v>
      </c>
      <c r="B4428" t="s">
        <v>8</v>
      </c>
      <c r="C4428" s="1">
        <v>45875.462500000001</v>
      </c>
      <c r="D4428" s="1">
        <v>45920.2</v>
      </c>
      <c r="E4428" s="2">
        <f t="shared" si="69"/>
        <v>44.737499999995634</v>
      </c>
    </row>
    <row r="4429" spans="1:5" x14ac:dyDescent="0.25">
      <c r="A4429" t="s">
        <v>8</v>
      </c>
      <c r="B4429" t="s">
        <v>7</v>
      </c>
      <c r="C4429" s="1">
        <v>45959.195833333331</v>
      </c>
      <c r="D4429" s="1">
        <v>46016.57916666667</v>
      </c>
      <c r="E4429" s="2">
        <f t="shared" si="69"/>
        <v>57.383333333338669</v>
      </c>
    </row>
    <row r="4430" spans="1:5" x14ac:dyDescent="0.25">
      <c r="A4430" t="s">
        <v>22</v>
      </c>
      <c r="B4430" t="s">
        <v>52</v>
      </c>
      <c r="C4430" s="1">
        <v>46167.645833333343</v>
      </c>
      <c r="D4430" s="1">
        <v>46217.004166666673</v>
      </c>
      <c r="E4430" s="2">
        <f t="shared" si="69"/>
        <v>49.358333333329938</v>
      </c>
    </row>
    <row r="4431" spans="1:5" x14ac:dyDescent="0.25">
      <c r="A4431" t="s">
        <v>7</v>
      </c>
      <c r="B4431" t="s">
        <v>8</v>
      </c>
      <c r="C4431" s="1">
        <v>45808.775000000001</v>
      </c>
      <c r="D4431" s="1">
        <v>45853.816666666673</v>
      </c>
      <c r="E4431" s="2">
        <f t="shared" si="69"/>
        <v>45.041666666671517</v>
      </c>
    </row>
    <row r="4432" spans="1:5" x14ac:dyDescent="0.25">
      <c r="A4432" t="s">
        <v>5</v>
      </c>
      <c r="B4432" t="s">
        <v>8</v>
      </c>
      <c r="C4432" s="1">
        <v>46113.60833333333</v>
      </c>
      <c r="D4432" s="1">
        <v>46155.262499999997</v>
      </c>
      <c r="E4432" s="2">
        <f t="shared" si="69"/>
        <v>41.654166666667152</v>
      </c>
    </row>
    <row r="4433" spans="1:5" x14ac:dyDescent="0.25">
      <c r="A4433" t="s">
        <v>7</v>
      </c>
      <c r="B4433" t="s">
        <v>8</v>
      </c>
      <c r="C4433" s="1">
        <v>45800.645833333343</v>
      </c>
      <c r="D4433" s="1">
        <v>45839.3125</v>
      </c>
      <c r="E4433" s="2">
        <f t="shared" si="69"/>
        <v>38.666666666656965</v>
      </c>
    </row>
    <row r="4434" spans="1:5" x14ac:dyDescent="0.25">
      <c r="A4434" t="s">
        <v>48</v>
      </c>
      <c r="B4434" t="s">
        <v>12</v>
      </c>
      <c r="C4434" s="1">
        <v>45872.791666666657</v>
      </c>
      <c r="D4434" s="1">
        <v>45937.3</v>
      </c>
      <c r="E4434" s="2">
        <f t="shared" si="69"/>
        <v>64.508333333345945</v>
      </c>
    </row>
    <row r="4435" spans="1:5" x14ac:dyDescent="0.25">
      <c r="A4435" t="s">
        <v>7</v>
      </c>
      <c r="B4435" t="s">
        <v>8</v>
      </c>
      <c r="C4435" s="1">
        <v>45777.64166666667</v>
      </c>
      <c r="D4435" s="1">
        <v>45818.433333333327</v>
      </c>
      <c r="E4435" s="2">
        <f t="shared" si="69"/>
        <v>40.791666666656965</v>
      </c>
    </row>
    <row r="4436" spans="1:5" x14ac:dyDescent="0.25">
      <c r="A4436" t="s">
        <v>7</v>
      </c>
      <c r="B4436" t="s">
        <v>8</v>
      </c>
      <c r="C4436" s="1">
        <v>45891.654166666667</v>
      </c>
      <c r="D4436" s="1">
        <v>45938.662499999999</v>
      </c>
      <c r="E4436" s="2">
        <f t="shared" si="69"/>
        <v>47.008333333331393</v>
      </c>
    </row>
    <row r="4437" spans="1:5" x14ac:dyDescent="0.25">
      <c r="A4437" t="s">
        <v>7</v>
      </c>
      <c r="B4437" t="s">
        <v>8</v>
      </c>
      <c r="C4437" s="1">
        <v>45777.64166666667</v>
      </c>
      <c r="D4437" s="1">
        <v>45818.433333333327</v>
      </c>
      <c r="E4437" s="2">
        <f t="shared" si="69"/>
        <v>40.791666666656965</v>
      </c>
    </row>
    <row r="4438" spans="1:5" x14ac:dyDescent="0.25">
      <c r="A4438" t="s">
        <v>8</v>
      </c>
      <c r="B4438" t="s">
        <v>7</v>
      </c>
      <c r="C4438" s="1">
        <v>45879.145833333343</v>
      </c>
      <c r="D4438" s="1">
        <v>45908.73333333333</v>
      </c>
      <c r="E4438" s="2">
        <f t="shared" si="69"/>
        <v>29.587499999986903</v>
      </c>
    </row>
    <row r="4439" spans="1:5" x14ac:dyDescent="0.25">
      <c r="A4439" t="s">
        <v>7</v>
      </c>
      <c r="B4439" t="s">
        <v>8</v>
      </c>
      <c r="C4439" s="1">
        <v>45800.666666666657</v>
      </c>
      <c r="D4439" s="1">
        <v>45839.3125</v>
      </c>
      <c r="E4439" s="2">
        <f t="shared" si="69"/>
        <v>38.645833333343035</v>
      </c>
    </row>
    <row r="4440" spans="1:5" x14ac:dyDescent="0.25">
      <c r="A4440" t="s">
        <v>22</v>
      </c>
      <c r="B4440" t="s">
        <v>52</v>
      </c>
      <c r="C4440" s="1">
        <v>46189.991666666669</v>
      </c>
      <c r="D4440" s="1">
        <v>46238.279166666667</v>
      </c>
      <c r="E4440" s="2">
        <f t="shared" si="69"/>
        <v>48.287499999998545</v>
      </c>
    </row>
    <row r="4441" spans="1:5" x14ac:dyDescent="0.25">
      <c r="A4441" t="s">
        <v>7</v>
      </c>
      <c r="B4441" t="s">
        <v>8</v>
      </c>
      <c r="C4441" s="1">
        <v>45940.345833333333</v>
      </c>
      <c r="D4441" s="1">
        <v>45989.166666666657</v>
      </c>
      <c r="E4441" s="2">
        <f t="shared" si="69"/>
        <v>48.820833333324117</v>
      </c>
    </row>
    <row r="4442" spans="1:5" x14ac:dyDescent="0.25">
      <c r="A4442" t="s">
        <v>7</v>
      </c>
      <c r="B4442" t="s">
        <v>8</v>
      </c>
      <c r="C4442" s="1">
        <v>45891.211111111108</v>
      </c>
      <c r="D4442" s="1">
        <v>45938.76458333333</v>
      </c>
      <c r="E4442" s="2">
        <f t="shared" si="69"/>
        <v>47.553472222221899</v>
      </c>
    </row>
    <row r="4443" spans="1:5" x14ac:dyDescent="0.25">
      <c r="A4443" t="s">
        <v>5</v>
      </c>
      <c r="B4443" t="s">
        <v>47</v>
      </c>
      <c r="C4443" s="1">
        <v>46072.658333333333</v>
      </c>
      <c r="D4443" s="1">
        <v>46105.429166666669</v>
      </c>
      <c r="E4443" s="2">
        <f t="shared" si="69"/>
        <v>32.770833333335759</v>
      </c>
    </row>
    <row r="4444" spans="1:5" x14ac:dyDescent="0.25">
      <c r="A4444" t="s">
        <v>5</v>
      </c>
      <c r="B4444" t="s">
        <v>8</v>
      </c>
      <c r="C4444" s="1">
        <v>46035.520833333343</v>
      </c>
      <c r="D4444" s="1">
        <v>46073.45416666667</v>
      </c>
      <c r="E4444" s="2">
        <f t="shared" si="69"/>
        <v>37.933333333327028</v>
      </c>
    </row>
    <row r="4445" spans="1:5" x14ac:dyDescent="0.25">
      <c r="A4445" t="s">
        <v>7</v>
      </c>
      <c r="B4445" t="s">
        <v>11</v>
      </c>
      <c r="C4445" s="1">
        <v>45976.5</v>
      </c>
      <c r="D4445" s="1">
        <v>46070.337500000001</v>
      </c>
      <c r="E4445" s="2">
        <f t="shared" si="69"/>
        <v>93.837500000001455</v>
      </c>
    </row>
    <row r="4446" spans="1:5" x14ac:dyDescent="0.25">
      <c r="A4446" t="s">
        <v>9</v>
      </c>
      <c r="B4446" t="s">
        <v>8</v>
      </c>
      <c r="C4446" s="1">
        <v>45883.606249999997</v>
      </c>
      <c r="D4446" s="1">
        <v>45929.712500000001</v>
      </c>
      <c r="E4446" s="2">
        <f t="shared" si="69"/>
        <v>46.106250000004366</v>
      </c>
    </row>
    <row r="4447" spans="1:5" x14ac:dyDescent="0.25">
      <c r="A4447" t="s">
        <v>5</v>
      </c>
      <c r="B4447" t="s">
        <v>47</v>
      </c>
      <c r="C4447" s="1">
        <v>46128.754166666673</v>
      </c>
      <c r="D4447" s="1">
        <v>46160.966666666667</v>
      </c>
      <c r="E4447" s="2">
        <f t="shared" si="69"/>
        <v>32.212499999994179</v>
      </c>
    </row>
    <row r="4448" spans="1:5" x14ac:dyDescent="0.25">
      <c r="A4448" t="s">
        <v>5</v>
      </c>
      <c r="B4448" t="s">
        <v>8</v>
      </c>
      <c r="C4448" s="1">
        <v>46115.291666666657</v>
      </c>
      <c r="D4448" s="1">
        <v>46188.845833333333</v>
      </c>
      <c r="E4448" s="2">
        <f t="shared" si="69"/>
        <v>73.554166666675883</v>
      </c>
    </row>
    <row r="4449" spans="1:5" x14ac:dyDescent="0.25">
      <c r="A4449" t="s">
        <v>5</v>
      </c>
      <c r="B4449" t="s">
        <v>8</v>
      </c>
      <c r="C4449" s="1">
        <v>46065.004166666673</v>
      </c>
      <c r="D4449" s="1">
        <v>46099.525000000001</v>
      </c>
      <c r="E4449" s="2">
        <f t="shared" si="69"/>
        <v>34.520833333328483</v>
      </c>
    </row>
    <row r="4450" spans="1:5" x14ac:dyDescent="0.25">
      <c r="A4450" t="s">
        <v>9</v>
      </c>
      <c r="B4450" t="s">
        <v>8</v>
      </c>
      <c r="C4450" s="1">
        <v>45816.137499999997</v>
      </c>
      <c r="D4450" s="1">
        <v>45852.0625</v>
      </c>
      <c r="E4450" s="2">
        <f t="shared" si="69"/>
        <v>35.92500000000291</v>
      </c>
    </row>
    <row r="4451" spans="1:5" x14ac:dyDescent="0.25">
      <c r="A4451" t="s">
        <v>5</v>
      </c>
      <c r="B4451" t="s">
        <v>8</v>
      </c>
      <c r="C4451" s="1">
        <v>45982.8</v>
      </c>
      <c r="D4451" s="1">
        <v>46017.370833333327</v>
      </c>
      <c r="E4451" s="2">
        <f t="shared" si="69"/>
        <v>34.570833333324117</v>
      </c>
    </row>
    <row r="4452" spans="1:5" x14ac:dyDescent="0.25">
      <c r="A4452" t="s">
        <v>5</v>
      </c>
      <c r="B4452" t="s">
        <v>8</v>
      </c>
      <c r="C4452" s="1">
        <v>46093.625</v>
      </c>
      <c r="D4452" s="1">
        <v>46141.375</v>
      </c>
      <c r="E4452" s="2">
        <f t="shared" si="69"/>
        <v>47.75</v>
      </c>
    </row>
    <row r="4453" spans="1:5" x14ac:dyDescent="0.25">
      <c r="A4453" t="s">
        <v>22</v>
      </c>
      <c r="B4453" t="s">
        <v>13</v>
      </c>
      <c r="C4453" s="1">
        <v>46203.162499999999</v>
      </c>
      <c r="D4453" s="1">
        <v>46263.520833333343</v>
      </c>
      <c r="E4453" s="2">
        <f t="shared" si="69"/>
        <v>60.35833333334449</v>
      </c>
    </row>
    <row r="4454" spans="1:5" x14ac:dyDescent="0.25">
      <c r="A4454" t="s">
        <v>7</v>
      </c>
      <c r="B4454" t="s">
        <v>11</v>
      </c>
      <c r="C4454" s="1">
        <v>46042.912499999999</v>
      </c>
      <c r="D4454" s="1">
        <v>46112.7</v>
      </c>
      <c r="E4454" s="2">
        <f t="shared" si="69"/>
        <v>69.787499999998545</v>
      </c>
    </row>
    <row r="4455" spans="1:5" x14ac:dyDescent="0.25">
      <c r="A4455" t="s">
        <v>7</v>
      </c>
      <c r="B4455" t="s">
        <v>8</v>
      </c>
      <c r="C4455" s="1">
        <v>45847.879166666673</v>
      </c>
      <c r="D4455" s="1">
        <v>45910.25</v>
      </c>
      <c r="E4455" s="2">
        <f t="shared" si="69"/>
        <v>62.370833333327028</v>
      </c>
    </row>
    <row r="4456" spans="1:5" x14ac:dyDescent="0.25">
      <c r="A4456" t="s">
        <v>8</v>
      </c>
      <c r="B4456" t="s">
        <v>7</v>
      </c>
      <c r="C4456" s="1">
        <v>45959.195833333331</v>
      </c>
      <c r="D4456" s="1">
        <v>46016.57916666667</v>
      </c>
      <c r="E4456" s="2">
        <f t="shared" si="69"/>
        <v>57.383333333338669</v>
      </c>
    </row>
    <row r="4457" spans="1:5" x14ac:dyDescent="0.25">
      <c r="A4457" t="s">
        <v>7</v>
      </c>
      <c r="B4457" t="s">
        <v>8</v>
      </c>
      <c r="C4457" s="1">
        <v>45931.208333333343</v>
      </c>
      <c r="D4457" s="1">
        <v>45966.508333333331</v>
      </c>
      <c r="E4457" s="2">
        <f t="shared" si="69"/>
        <v>35.299999999988358</v>
      </c>
    </row>
    <row r="4458" spans="1:5" x14ac:dyDescent="0.25">
      <c r="A4458" t="s">
        <v>35</v>
      </c>
      <c r="B4458" t="s">
        <v>13</v>
      </c>
      <c r="C4458" s="1">
        <v>46164.6875</v>
      </c>
      <c r="D4458" s="1">
        <v>46206.425000000003</v>
      </c>
      <c r="E4458" s="2">
        <f t="shared" si="69"/>
        <v>41.73750000000291</v>
      </c>
    </row>
    <row r="4459" spans="1:5" x14ac:dyDescent="0.25">
      <c r="A4459" t="s">
        <v>7</v>
      </c>
      <c r="B4459" t="s">
        <v>8</v>
      </c>
      <c r="C4459" s="1">
        <v>46002.212500000001</v>
      </c>
      <c r="D4459" s="1">
        <v>46047.712500000001</v>
      </c>
      <c r="E4459" s="2">
        <f t="shared" si="69"/>
        <v>45.5</v>
      </c>
    </row>
    <row r="4460" spans="1:5" x14ac:dyDescent="0.25">
      <c r="A4460" t="s">
        <v>7</v>
      </c>
      <c r="B4460" t="s">
        <v>8</v>
      </c>
      <c r="C4460" s="1">
        <v>45843.85</v>
      </c>
      <c r="D4460" s="1">
        <v>45910.25</v>
      </c>
      <c r="E4460" s="2">
        <f t="shared" si="69"/>
        <v>66.400000000001455</v>
      </c>
    </row>
    <row r="4461" spans="1:5" x14ac:dyDescent="0.25">
      <c r="A4461" t="s">
        <v>5</v>
      </c>
      <c r="B4461" t="s">
        <v>8</v>
      </c>
      <c r="C4461" s="1">
        <v>46101.51666666667</v>
      </c>
      <c r="D4461" s="1">
        <v>46146.737500000003</v>
      </c>
      <c r="E4461" s="2">
        <f t="shared" si="69"/>
        <v>45.220833333332848</v>
      </c>
    </row>
    <row r="4462" spans="1:5" x14ac:dyDescent="0.25">
      <c r="A4462" t="s">
        <v>7</v>
      </c>
      <c r="B4462" t="s">
        <v>8</v>
      </c>
      <c r="C4462" s="1">
        <v>45834.537499999999</v>
      </c>
      <c r="D4462" s="1">
        <v>45885.783333333333</v>
      </c>
      <c r="E4462" s="2">
        <f t="shared" si="69"/>
        <v>51.245833333334303</v>
      </c>
    </row>
    <row r="4463" spans="1:5" x14ac:dyDescent="0.25">
      <c r="A4463" t="s">
        <v>9</v>
      </c>
      <c r="B4463" t="s">
        <v>8</v>
      </c>
      <c r="C4463" s="1">
        <v>45791.5</v>
      </c>
      <c r="D4463" s="1">
        <v>45833.520833333343</v>
      </c>
      <c r="E4463" s="2">
        <f t="shared" si="69"/>
        <v>42.020833333343035</v>
      </c>
    </row>
    <row r="4464" spans="1:5" x14ac:dyDescent="0.25">
      <c r="A4464" t="s">
        <v>5</v>
      </c>
      <c r="B4464" t="s">
        <v>8</v>
      </c>
      <c r="C4464" s="1">
        <v>46049.5</v>
      </c>
      <c r="D4464" s="1">
        <v>46091.345833333333</v>
      </c>
      <c r="E4464" s="2">
        <f t="shared" si="69"/>
        <v>41.845833333332848</v>
      </c>
    </row>
    <row r="4465" spans="1:5" x14ac:dyDescent="0.25">
      <c r="A4465" t="s">
        <v>5</v>
      </c>
      <c r="B4465" t="s">
        <v>8</v>
      </c>
      <c r="C4465" s="1">
        <v>46115.291666666657</v>
      </c>
      <c r="D4465" s="1">
        <v>46188.845833333333</v>
      </c>
      <c r="E4465" s="2">
        <f t="shared" si="69"/>
        <v>73.554166666675883</v>
      </c>
    </row>
    <row r="4466" spans="1:5" x14ac:dyDescent="0.25">
      <c r="A4466" t="s">
        <v>5</v>
      </c>
      <c r="B4466" t="s">
        <v>8</v>
      </c>
      <c r="C4466" s="1">
        <v>46101.51666666667</v>
      </c>
      <c r="D4466" s="1">
        <v>46146.737500000003</v>
      </c>
      <c r="E4466" s="2">
        <f t="shared" si="69"/>
        <v>45.220833333332848</v>
      </c>
    </row>
    <row r="4467" spans="1:5" x14ac:dyDescent="0.25">
      <c r="A4467" t="s">
        <v>34</v>
      </c>
      <c r="B4467" t="s">
        <v>21</v>
      </c>
      <c r="C4467" s="1">
        <v>45916.606944444437</v>
      </c>
      <c r="D4467" s="1">
        <v>45927.083333333343</v>
      </c>
      <c r="E4467" s="2">
        <f t="shared" si="69"/>
        <v>10.476388888906513</v>
      </c>
    </row>
    <row r="4468" spans="1:5" x14ac:dyDescent="0.25">
      <c r="A4468" t="s">
        <v>7</v>
      </c>
      <c r="B4468" t="s">
        <v>8</v>
      </c>
      <c r="C4468" s="1">
        <v>45891.654166666667</v>
      </c>
      <c r="D4468" s="1">
        <v>45938.662499999999</v>
      </c>
      <c r="E4468" s="2">
        <f t="shared" si="69"/>
        <v>47.008333333331393</v>
      </c>
    </row>
    <row r="4469" spans="1:5" x14ac:dyDescent="0.25">
      <c r="A4469" t="s">
        <v>7</v>
      </c>
      <c r="B4469" t="s">
        <v>8</v>
      </c>
      <c r="C4469" s="1">
        <v>45808.775000000001</v>
      </c>
      <c r="D4469" s="1">
        <v>45853.833333333343</v>
      </c>
      <c r="E4469" s="2">
        <f t="shared" si="69"/>
        <v>45.058333333341579</v>
      </c>
    </row>
    <row r="4470" spans="1:5" x14ac:dyDescent="0.25">
      <c r="A4470" t="s">
        <v>7</v>
      </c>
      <c r="B4470" t="s">
        <v>8</v>
      </c>
      <c r="C4470" s="1">
        <v>45891.654166666667</v>
      </c>
      <c r="D4470" s="1">
        <v>45938.662499999999</v>
      </c>
      <c r="E4470" s="2">
        <f t="shared" si="69"/>
        <v>47.008333333331393</v>
      </c>
    </row>
    <row r="4471" spans="1:5" x14ac:dyDescent="0.25">
      <c r="A4471" t="s">
        <v>5</v>
      </c>
      <c r="B4471" t="s">
        <v>8</v>
      </c>
      <c r="C4471" s="1">
        <v>45967.658333333333</v>
      </c>
      <c r="D4471" s="1">
        <v>46003.89166666667</v>
      </c>
      <c r="E4471" s="2">
        <f t="shared" si="69"/>
        <v>36.233333333337214</v>
      </c>
    </row>
    <row r="4472" spans="1:5" x14ac:dyDescent="0.25">
      <c r="A4472" t="s">
        <v>7</v>
      </c>
      <c r="B4472" t="s">
        <v>8</v>
      </c>
      <c r="C4472" s="1">
        <v>45785.595833333333</v>
      </c>
      <c r="D4472" s="1">
        <v>45818.416666666657</v>
      </c>
      <c r="E4472" s="2">
        <f t="shared" si="69"/>
        <v>32.820833333324117</v>
      </c>
    </row>
    <row r="4473" spans="1:5" x14ac:dyDescent="0.25">
      <c r="A4473" t="s">
        <v>7</v>
      </c>
      <c r="B4473" t="s">
        <v>8</v>
      </c>
      <c r="C4473" s="1">
        <v>45931.208333333343</v>
      </c>
      <c r="D4473" s="1">
        <v>45966.508333333331</v>
      </c>
      <c r="E4473" s="2">
        <f t="shared" si="69"/>
        <v>35.299999999988358</v>
      </c>
    </row>
    <row r="4474" spans="1:5" x14ac:dyDescent="0.25">
      <c r="A4474" t="s">
        <v>5</v>
      </c>
      <c r="B4474" t="s">
        <v>8</v>
      </c>
      <c r="C4474" s="1">
        <v>45967.658333333333</v>
      </c>
      <c r="D4474" s="1">
        <v>46003.89166666667</v>
      </c>
      <c r="E4474" s="2">
        <f t="shared" si="69"/>
        <v>36.233333333337214</v>
      </c>
    </row>
    <row r="4475" spans="1:5" x14ac:dyDescent="0.25">
      <c r="A4475" t="s">
        <v>7</v>
      </c>
      <c r="B4475" t="s">
        <v>8</v>
      </c>
      <c r="C4475" s="1">
        <v>45822.831250000003</v>
      </c>
      <c r="D4475" s="1">
        <v>45875.612500000003</v>
      </c>
      <c r="E4475" s="2">
        <f t="shared" si="69"/>
        <v>52.78125</v>
      </c>
    </row>
    <row r="4476" spans="1:5" x14ac:dyDescent="0.25">
      <c r="A4476" t="s">
        <v>7</v>
      </c>
      <c r="B4476" t="s">
        <v>11</v>
      </c>
      <c r="C4476" s="1">
        <v>45938.883333333331</v>
      </c>
      <c r="D4476" s="1">
        <v>46007.037499999999</v>
      </c>
      <c r="E4476" s="2">
        <f t="shared" si="69"/>
        <v>68.154166666667152</v>
      </c>
    </row>
    <row r="4477" spans="1:5" x14ac:dyDescent="0.25">
      <c r="A4477" t="s">
        <v>5</v>
      </c>
      <c r="B4477" t="s">
        <v>8</v>
      </c>
      <c r="C4477" s="1">
        <v>46011.283333333333</v>
      </c>
      <c r="D4477" s="1">
        <v>46047.712500000001</v>
      </c>
      <c r="E4477" s="2">
        <f t="shared" si="69"/>
        <v>36.429166666668607</v>
      </c>
    </row>
    <row r="4478" spans="1:5" x14ac:dyDescent="0.25">
      <c r="A4478" t="s">
        <v>5</v>
      </c>
      <c r="B4478" t="s">
        <v>8</v>
      </c>
      <c r="C4478" s="1">
        <v>45982.8</v>
      </c>
      <c r="D4478" s="1">
        <v>46017.370833333327</v>
      </c>
      <c r="E4478" s="2">
        <f t="shared" si="69"/>
        <v>34.570833333324117</v>
      </c>
    </row>
    <row r="4479" spans="1:5" x14ac:dyDescent="0.25">
      <c r="A4479" t="s">
        <v>7</v>
      </c>
      <c r="B4479" t="s">
        <v>11</v>
      </c>
      <c r="C4479" s="1">
        <v>46078.666666666657</v>
      </c>
      <c r="D4479" s="1">
        <v>46154.554166666669</v>
      </c>
      <c r="E4479" s="2">
        <f t="shared" si="69"/>
        <v>75.887500000011642</v>
      </c>
    </row>
    <row r="4480" spans="1:5" x14ac:dyDescent="0.25">
      <c r="A4480" t="s">
        <v>5</v>
      </c>
      <c r="B4480" t="s">
        <v>8</v>
      </c>
      <c r="C4480" s="1">
        <v>46065.004166666673</v>
      </c>
      <c r="D4480" s="1">
        <v>46099.525000000001</v>
      </c>
      <c r="E4480" s="2">
        <f t="shared" si="69"/>
        <v>34.520833333328483</v>
      </c>
    </row>
    <row r="4481" spans="1:5" x14ac:dyDescent="0.25">
      <c r="A4481" t="s">
        <v>7</v>
      </c>
      <c r="B4481" t="s">
        <v>8</v>
      </c>
      <c r="C4481" s="1">
        <v>45931.208333333343</v>
      </c>
      <c r="D4481" s="1">
        <v>45966.508333333331</v>
      </c>
      <c r="E4481" s="2">
        <f t="shared" si="69"/>
        <v>35.299999999988358</v>
      </c>
    </row>
    <row r="4482" spans="1:5" x14ac:dyDescent="0.25">
      <c r="A4482" t="s">
        <v>9</v>
      </c>
      <c r="B4482" t="s">
        <v>8</v>
      </c>
      <c r="C4482" s="1">
        <v>45913.604166666657</v>
      </c>
      <c r="D4482" s="1">
        <v>45965.662499999999</v>
      </c>
      <c r="E4482" s="2">
        <f t="shared" ref="E4482:E4545" si="70">D4482-C4482</f>
        <v>52.058333333341579</v>
      </c>
    </row>
    <row r="4483" spans="1:5" x14ac:dyDescent="0.25">
      <c r="A4483" t="s">
        <v>7</v>
      </c>
      <c r="B4483" t="s">
        <v>8</v>
      </c>
      <c r="C4483" s="1">
        <v>45808.775000000001</v>
      </c>
      <c r="D4483" s="1">
        <v>45853.816666666673</v>
      </c>
      <c r="E4483" s="2">
        <f t="shared" si="70"/>
        <v>45.041666666671517</v>
      </c>
    </row>
    <row r="4484" spans="1:5" x14ac:dyDescent="0.25">
      <c r="A4484" t="s">
        <v>5</v>
      </c>
      <c r="B4484" t="s">
        <v>8</v>
      </c>
      <c r="C4484" s="1">
        <v>46078.916666666657</v>
      </c>
      <c r="D4484" s="1">
        <v>46113.395833333343</v>
      </c>
      <c r="E4484" s="2">
        <f t="shared" si="70"/>
        <v>34.479166666686069</v>
      </c>
    </row>
    <row r="4485" spans="1:5" x14ac:dyDescent="0.25">
      <c r="A4485" t="s">
        <v>5</v>
      </c>
      <c r="B4485" t="s">
        <v>8</v>
      </c>
      <c r="C4485" s="1">
        <v>45952.052083333343</v>
      </c>
      <c r="D4485" s="1">
        <v>45993.345833333333</v>
      </c>
      <c r="E4485" s="2">
        <f t="shared" si="70"/>
        <v>41.293749999989814</v>
      </c>
    </row>
    <row r="4486" spans="1:5" x14ac:dyDescent="0.25">
      <c r="A4486" t="s">
        <v>5</v>
      </c>
      <c r="B4486" t="s">
        <v>8</v>
      </c>
      <c r="C4486" s="1">
        <v>46028.258333333331</v>
      </c>
      <c r="D4486" s="1">
        <v>46071.058333333327</v>
      </c>
      <c r="E4486" s="2">
        <f t="shared" si="70"/>
        <v>42.799999999995634</v>
      </c>
    </row>
    <row r="4487" spans="1:5" x14ac:dyDescent="0.25">
      <c r="A4487" t="s">
        <v>7</v>
      </c>
      <c r="B4487" t="s">
        <v>8</v>
      </c>
      <c r="C4487" s="1">
        <v>45911.604166666657</v>
      </c>
      <c r="D4487" s="1">
        <v>45948.104166666657</v>
      </c>
      <c r="E4487" s="2">
        <f t="shared" si="70"/>
        <v>36.5</v>
      </c>
    </row>
    <row r="4488" spans="1:5" x14ac:dyDescent="0.25">
      <c r="A4488" t="s">
        <v>7</v>
      </c>
      <c r="B4488" t="s">
        <v>8</v>
      </c>
      <c r="C4488" s="1">
        <v>45931.208333333343</v>
      </c>
      <c r="D4488" s="1">
        <v>45966.508333333331</v>
      </c>
      <c r="E4488" s="2">
        <f t="shared" si="70"/>
        <v>35.299999999988358</v>
      </c>
    </row>
    <row r="4489" spans="1:5" x14ac:dyDescent="0.25">
      <c r="A4489" t="s">
        <v>7</v>
      </c>
      <c r="B4489" t="s">
        <v>8</v>
      </c>
      <c r="C4489" s="1">
        <v>45843.85</v>
      </c>
      <c r="D4489" s="1">
        <v>45910.25</v>
      </c>
      <c r="E4489" s="2">
        <f t="shared" si="70"/>
        <v>66.400000000001455</v>
      </c>
    </row>
    <row r="4490" spans="1:5" x14ac:dyDescent="0.25">
      <c r="A4490" t="s">
        <v>15</v>
      </c>
      <c r="B4490" t="s">
        <v>6</v>
      </c>
      <c r="C4490" s="1">
        <v>46076.683333333327</v>
      </c>
      <c r="D4490" s="1">
        <v>46143.237500000003</v>
      </c>
      <c r="E4490" s="2">
        <f t="shared" si="70"/>
        <v>66.554166666675883</v>
      </c>
    </row>
    <row r="4491" spans="1:5" x14ac:dyDescent="0.25">
      <c r="A4491" t="s">
        <v>5</v>
      </c>
      <c r="B4491" t="s">
        <v>8</v>
      </c>
      <c r="C4491" s="1">
        <v>46121.404166666667</v>
      </c>
      <c r="D4491" s="1">
        <v>46162.866666666669</v>
      </c>
      <c r="E4491" s="2">
        <f t="shared" si="70"/>
        <v>41.462500000001455</v>
      </c>
    </row>
    <row r="4492" spans="1:5" x14ac:dyDescent="0.25">
      <c r="A4492" t="s">
        <v>5</v>
      </c>
      <c r="B4492" t="s">
        <v>8</v>
      </c>
      <c r="C4492" s="1">
        <v>46049.5</v>
      </c>
      <c r="D4492" s="1">
        <v>46091.345833333333</v>
      </c>
      <c r="E4492" s="2">
        <f t="shared" si="70"/>
        <v>41.845833333332848</v>
      </c>
    </row>
    <row r="4493" spans="1:5" x14ac:dyDescent="0.25">
      <c r="A4493" t="s">
        <v>5</v>
      </c>
      <c r="B4493" t="s">
        <v>8</v>
      </c>
      <c r="C4493" s="1">
        <v>45952.57916666667</v>
      </c>
      <c r="D4493" s="1">
        <v>45993.345833333333</v>
      </c>
      <c r="E4493" s="2">
        <f t="shared" si="70"/>
        <v>40.766666666662786</v>
      </c>
    </row>
    <row r="4494" spans="1:5" x14ac:dyDescent="0.25">
      <c r="A4494" t="s">
        <v>34</v>
      </c>
      <c r="B4494" t="s">
        <v>8</v>
      </c>
      <c r="C4494" s="1">
        <v>46043.701388888891</v>
      </c>
      <c r="D4494" s="1">
        <v>46079.366666666669</v>
      </c>
      <c r="E4494" s="2">
        <f t="shared" si="70"/>
        <v>35.665277777778101</v>
      </c>
    </row>
    <row r="4495" spans="1:5" x14ac:dyDescent="0.25">
      <c r="A4495" t="s">
        <v>5</v>
      </c>
      <c r="B4495" t="s">
        <v>8</v>
      </c>
      <c r="C4495" s="1">
        <v>46025.436111111107</v>
      </c>
      <c r="D4495" s="1">
        <v>46071.058333333327</v>
      </c>
      <c r="E4495" s="2">
        <f t="shared" si="70"/>
        <v>45.622222222220444</v>
      </c>
    </row>
    <row r="4496" spans="1:5" x14ac:dyDescent="0.25">
      <c r="A4496" t="s">
        <v>5</v>
      </c>
      <c r="B4496" t="s">
        <v>8</v>
      </c>
      <c r="C4496" s="1">
        <v>46078.916666666657</v>
      </c>
      <c r="D4496" s="1">
        <v>46113.395833333343</v>
      </c>
      <c r="E4496" s="2">
        <f t="shared" si="70"/>
        <v>34.479166666686069</v>
      </c>
    </row>
    <row r="4497" spans="1:5" x14ac:dyDescent="0.25">
      <c r="A4497" t="s">
        <v>7</v>
      </c>
      <c r="B4497" t="s">
        <v>8</v>
      </c>
      <c r="C4497" s="1">
        <v>45834.537499999999</v>
      </c>
      <c r="D4497" s="1">
        <v>45885.783333333333</v>
      </c>
      <c r="E4497" s="2">
        <f t="shared" si="70"/>
        <v>51.245833333334303</v>
      </c>
    </row>
    <row r="4498" spans="1:5" x14ac:dyDescent="0.25">
      <c r="A4498" t="s">
        <v>5</v>
      </c>
      <c r="B4498" t="s">
        <v>8</v>
      </c>
      <c r="C4498" s="1">
        <v>46113.60833333333</v>
      </c>
      <c r="D4498" s="1">
        <v>46155.262499999997</v>
      </c>
      <c r="E4498" s="2">
        <f t="shared" si="70"/>
        <v>41.654166666667152</v>
      </c>
    </row>
    <row r="4499" spans="1:5" x14ac:dyDescent="0.25">
      <c r="A4499" t="s">
        <v>7</v>
      </c>
      <c r="B4499" t="s">
        <v>8</v>
      </c>
      <c r="C4499" s="1">
        <v>45785.595833333333</v>
      </c>
      <c r="D4499" s="1">
        <v>45818.416666666657</v>
      </c>
      <c r="E4499" s="2">
        <f t="shared" si="70"/>
        <v>32.820833333324117</v>
      </c>
    </row>
    <row r="4500" spans="1:5" x14ac:dyDescent="0.25">
      <c r="A4500" t="s">
        <v>5</v>
      </c>
      <c r="B4500" t="s">
        <v>8</v>
      </c>
      <c r="C4500" s="1">
        <v>45945.658333333333</v>
      </c>
      <c r="D4500" s="1">
        <v>45993.345833333333</v>
      </c>
      <c r="E4500" s="2">
        <f t="shared" si="70"/>
        <v>47.6875</v>
      </c>
    </row>
    <row r="4501" spans="1:5" x14ac:dyDescent="0.25">
      <c r="A4501" t="s">
        <v>9</v>
      </c>
      <c r="B4501" t="s">
        <v>11</v>
      </c>
      <c r="C4501" s="1">
        <v>46100.75</v>
      </c>
      <c r="D4501" s="1">
        <v>46168.354166666657</v>
      </c>
      <c r="E4501" s="2">
        <f t="shared" si="70"/>
        <v>67.604166666656965</v>
      </c>
    </row>
    <row r="4502" spans="1:5" x14ac:dyDescent="0.25">
      <c r="A4502" t="s">
        <v>7</v>
      </c>
      <c r="B4502" t="s">
        <v>11</v>
      </c>
      <c r="C4502" s="1">
        <v>45850.6</v>
      </c>
      <c r="D4502" s="1">
        <v>45923.237500000003</v>
      </c>
      <c r="E4502" s="2">
        <f t="shared" si="70"/>
        <v>72.637500000004366</v>
      </c>
    </row>
    <row r="4503" spans="1:5" x14ac:dyDescent="0.25">
      <c r="A4503" t="s">
        <v>7</v>
      </c>
      <c r="B4503" t="s">
        <v>8</v>
      </c>
      <c r="C4503" s="1">
        <v>45792.854166666657</v>
      </c>
      <c r="D4503" s="1">
        <v>45839.3125</v>
      </c>
      <c r="E4503" s="2">
        <f t="shared" si="70"/>
        <v>46.458333333343035</v>
      </c>
    </row>
    <row r="4504" spans="1:5" x14ac:dyDescent="0.25">
      <c r="A4504" t="s">
        <v>5</v>
      </c>
      <c r="B4504" t="s">
        <v>8</v>
      </c>
      <c r="C4504" s="1">
        <v>46078.916666666657</v>
      </c>
      <c r="D4504" s="1">
        <v>46113.395833333343</v>
      </c>
      <c r="E4504" s="2">
        <f t="shared" si="70"/>
        <v>34.479166666686069</v>
      </c>
    </row>
    <row r="4505" spans="1:5" x14ac:dyDescent="0.25">
      <c r="A4505" t="s">
        <v>8</v>
      </c>
      <c r="B4505" t="s">
        <v>19</v>
      </c>
      <c r="C4505" s="1">
        <v>46141.833333333343</v>
      </c>
      <c r="D4505" s="1">
        <v>46187.854166666657</v>
      </c>
      <c r="E4505" s="2">
        <f t="shared" si="70"/>
        <v>46.020833333313931</v>
      </c>
    </row>
    <row r="4506" spans="1:5" x14ac:dyDescent="0.25">
      <c r="A4506" t="s">
        <v>48</v>
      </c>
      <c r="B4506" t="s">
        <v>12</v>
      </c>
      <c r="C4506" s="1">
        <v>45841.020833333343</v>
      </c>
      <c r="D4506" s="1">
        <v>45898.416666666657</v>
      </c>
      <c r="E4506" s="2">
        <f t="shared" si="70"/>
        <v>57.395833333313931</v>
      </c>
    </row>
    <row r="4507" spans="1:5" x14ac:dyDescent="0.25">
      <c r="A4507" t="s">
        <v>5</v>
      </c>
      <c r="B4507" t="s">
        <v>8</v>
      </c>
      <c r="C4507" s="1">
        <v>45982.8</v>
      </c>
      <c r="D4507" s="1">
        <v>46017.370833333327</v>
      </c>
      <c r="E4507" s="2">
        <f t="shared" si="70"/>
        <v>34.570833333324117</v>
      </c>
    </row>
    <row r="4508" spans="1:5" x14ac:dyDescent="0.25">
      <c r="A4508" t="s">
        <v>5</v>
      </c>
      <c r="B4508" t="s">
        <v>8</v>
      </c>
      <c r="C4508" s="1">
        <v>45945.658333333333</v>
      </c>
      <c r="D4508" s="1">
        <v>45993.345833333333</v>
      </c>
      <c r="E4508" s="2">
        <f t="shared" si="70"/>
        <v>47.6875</v>
      </c>
    </row>
    <row r="4509" spans="1:5" x14ac:dyDescent="0.25">
      <c r="A4509" t="s">
        <v>5</v>
      </c>
      <c r="B4509" t="s">
        <v>8</v>
      </c>
      <c r="C4509" s="1">
        <v>45967.584722222222</v>
      </c>
      <c r="D4509" s="1">
        <v>46003.89166666667</v>
      </c>
      <c r="E4509" s="2">
        <f t="shared" si="70"/>
        <v>36.306944444448163</v>
      </c>
    </row>
    <row r="4510" spans="1:5" x14ac:dyDescent="0.25">
      <c r="A4510" t="s">
        <v>7</v>
      </c>
      <c r="B4510" t="s">
        <v>8</v>
      </c>
      <c r="C4510" s="1">
        <v>45800.645833333343</v>
      </c>
      <c r="D4510" s="1">
        <v>45839.3125</v>
      </c>
      <c r="E4510" s="2">
        <f t="shared" si="70"/>
        <v>38.666666666656965</v>
      </c>
    </row>
    <row r="4511" spans="1:5" x14ac:dyDescent="0.25">
      <c r="A4511" t="s">
        <v>5</v>
      </c>
      <c r="B4511" t="s">
        <v>8</v>
      </c>
      <c r="C4511" s="1">
        <v>46115.291666666657</v>
      </c>
      <c r="D4511" s="1">
        <v>46188.845833333333</v>
      </c>
      <c r="E4511" s="2">
        <f t="shared" si="70"/>
        <v>73.554166666675883</v>
      </c>
    </row>
    <row r="4512" spans="1:5" x14ac:dyDescent="0.25">
      <c r="A4512" t="s">
        <v>5</v>
      </c>
      <c r="B4512" t="s">
        <v>8</v>
      </c>
      <c r="C4512" s="1">
        <v>46113.60833333333</v>
      </c>
      <c r="D4512" s="1">
        <v>46155.262499999997</v>
      </c>
      <c r="E4512" s="2">
        <f t="shared" si="70"/>
        <v>41.654166666667152</v>
      </c>
    </row>
    <row r="4513" spans="1:5" x14ac:dyDescent="0.25">
      <c r="A4513" t="s">
        <v>5</v>
      </c>
      <c r="B4513" t="s">
        <v>8</v>
      </c>
      <c r="C4513" s="1">
        <v>46115.291666666657</v>
      </c>
      <c r="D4513" s="1">
        <v>46188.845833333333</v>
      </c>
      <c r="E4513" s="2">
        <f t="shared" si="70"/>
        <v>73.554166666675883</v>
      </c>
    </row>
    <row r="4514" spans="1:5" x14ac:dyDescent="0.25">
      <c r="A4514" t="s">
        <v>5</v>
      </c>
      <c r="B4514" t="s">
        <v>8</v>
      </c>
      <c r="C4514" s="1">
        <v>46035.520833333343</v>
      </c>
      <c r="D4514" s="1">
        <v>46073.45416666667</v>
      </c>
      <c r="E4514" s="2">
        <f t="shared" si="70"/>
        <v>37.933333333327028</v>
      </c>
    </row>
    <row r="4515" spans="1:5" x14ac:dyDescent="0.25">
      <c r="A4515" t="s">
        <v>7</v>
      </c>
      <c r="B4515" t="s">
        <v>8</v>
      </c>
      <c r="C4515" s="1">
        <v>45834.537499999999</v>
      </c>
      <c r="D4515" s="1">
        <v>45885.783333333333</v>
      </c>
      <c r="E4515" s="2">
        <f t="shared" si="70"/>
        <v>51.245833333334303</v>
      </c>
    </row>
    <row r="4516" spans="1:5" x14ac:dyDescent="0.25">
      <c r="A4516" t="s">
        <v>15</v>
      </c>
      <c r="B4516" t="s">
        <v>6</v>
      </c>
      <c r="C4516" s="1">
        <v>45997.574999999997</v>
      </c>
      <c r="D4516" s="1">
        <v>46061.5625</v>
      </c>
      <c r="E4516" s="2">
        <f t="shared" si="70"/>
        <v>63.98750000000291</v>
      </c>
    </row>
    <row r="4517" spans="1:5" x14ac:dyDescent="0.25">
      <c r="A4517" t="s">
        <v>48</v>
      </c>
      <c r="B4517" t="s">
        <v>12</v>
      </c>
      <c r="C4517" s="1">
        <v>45804.6875</v>
      </c>
      <c r="D4517" s="1">
        <v>45856.2</v>
      </c>
      <c r="E4517" s="2">
        <f t="shared" si="70"/>
        <v>51.51249999999709</v>
      </c>
    </row>
    <row r="4518" spans="1:5" x14ac:dyDescent="0.25">
      <c r="A4518" t="s">
        <v>9</v>
      </c>
      <c r="B4518" t="s">
        <v>11</v>
      </c>
      <c r="C4518" s="1">
        <v>45896.973611111112</v>
      </c>
      <c r="D4518" s="1">
        <v>45971.879166666673</v>
      </c>
      <c r="E4518" s="2">
        <f t="shared" si="70"/>
        <v>74.905555555560568</v>
      </c>
    </row>
    <row r="4519" spans="1:5" x14ac:dyDescent="0.25">
      <c r="A4519" t="s">
        <v>14</v>
      </c>
      <c r="B4519" t="s">
        <v>22</v>
      </c>
      <c r="C4519" s="1">
        <v>45760.90625</v>
      </c>
      <c r="D4519" s="1">
        <v>45808.809548611112</v>
      </c>
      <c r="E4519" s="2">
        <f t="shared" si="70"/>
        <v>47.903298611112405</v>
      </c>
    </row>
    <row r="4520" spans="1:5" x14ac:dyDescent="0.25">
      <c r="A4520" t="s">
        <v>15</v>
      </c>
      <c r="B4520" t="s">
        <v>18</v>
      </c>
      <c r="C4520" s="1">
        <v>45716.541666666657</v>
      </c>
      <c r="D4520" s="1">
        <v>45765.89166666667</v>
      </c>
      <c r="E4520" s="2">
        <f t="shared" si="70"/>
        <v>49.350000000013097</v>
      </c>
    </row>
    <row r="4521" spans="1:5" x14ac:dyDescent="0.25">
      <c r="A4521" t="s">
        <v>14</v>
      </c>
      <c r="B4521" t="s">
        <v>22</v>
      </c>
      <c r="C4521" s="1">
        <v>46053.895833333343</v>
      </c>
      <c r="D4521" s="1">
        <v>46102.822916666657</v>
      </c>
      <c r="E4521" s="2">
        <f t="shared" si="70"/>
        <v>48.927083333313931</v>
      </c>
    </row>
    <row r="4522" spans="1:5" x14ac:dyDescent="0.25">
      <c r="A4522" t="s">
        <v>22</v>
      </c>
      <c r="B4522" t="s">
        <v>51</v>
      </c>
      <c r="C4522" s="1">
        <v>45740</v>
      </c>
      <c r="D4522" s="1">
        <v>45795.396527777782</v>
      </c>
      <c r="E4522" s="2">
        <f t="shared" si="70"/>
        <v>55.396527777782467</v>
      </c>
    </row>
    <row r="4523" spans="1:5" x14ac:dyDescent="0.25">
      <c r="A4523" t="s">
        <v>15</v>
      </c>
      <c r="B4523" t="s">
        <v>18</v>
      </c>
      <c r="C4523" s="1">
        <v>45773.75</v>
      </c>
      <c r="D4523" s="1">
        <v>45818.272916666669</v>
      </c>
      <c r="E4523" s="2">
        <f t="shared" si="70"/>
        <v>44.522916666668607</v>
      </c>
    </row>
    <row r="4524" spans="1:5" x14ac:dyDescent="0.25">
      <c r="A4524" t="s">
        <v>8</v>
      </c>
      <c r="B4524" t="s">
        <v>18</v>
      </c>
      <c r="C4524" s="1">
        <v>46114.920138888891</v>
      </c>
      <c r="D4524" s="1">
        <v>46143.124305555553</v>
      </c>
      <c r="E4524" s="2">
        <f t="shared" si="70"/>
        <v>28.204166666662786</v>
      </c>
    </row>
    <row r="4525" spans="1:5" x14ac:dyDescent="0.25">
      <c r="A4525" t="s">
        <v>6</v>
      </c>
      <c r="B4525" t="s">
        <v>8</v>
      </c>
      <c r="C4525" s="1">
        <v>45833.5</v>
      </c>
      <c r="D4525" s="1">
        <v>45876.867361111108</v>
      </c>
      <c r="E4525" s="2">
        <f t="shared" si="70"/>
        <v>43.367361111108039</v>
      </c>
    </row>
    <row r="4526" spans="1:5" x14ac:dyDescent="0.25">
      <c r="A4526" t="s">
        <v>6</v>
      </c>
      <c r="B4526" t="s">
        <v>8</v>
      </c>
      <c r="C4526" s="1">
        <v>45784.463194444441</v>
      </c>
      <c r="D4526" s="1">
        <v>45824.51458333333</v>
      </c>
      <c r="E4526" s="2">
        <f t="shared" si="70"/>
        <v>40.051388888889051</v>
      </c>
    </row>
    <row r="4527" spans="1:5" x14ac:dyDescent="0.25">
      <c r="A4527" t="s">
        <v>6</v>
      </c>
      <c r="B4527" t="s">
        <v>8</v>
      </c>
      <c r="C4527" s="1">
        <v>46001.453472222223</v>
      </c>
      <c r="D4527" s="1">
        <v>46042.34375</v>
      </c>
      <c r="E4527" s="2">
        <f t="shared" si="70"/>
        <v>40.890277777776646</v>
      </c>
    </row>
    <row r="4528" spans="1:5" x14ac:dyDescent="0.25">
      <c r="A4528" t="s">
        <v>22</v>
      </c>
      <c r="B4528" t="s">
        <v>19</v>
      </c>
      <c r="C4528" s="1">
        <v>45950.506249999999</v>
      </c>
      <c r="D4528" s="1">
        <v>46005.897222222222</v>
      </c>
      <c r="E4528" s="2">
        <f t="shared" si="70"/>
        <v>55.390972222223354</v>
      </c>
    </row>
    <row r="4529" spans="1:5" x14ac:dyDescent="0.25">
      <c r="A4529" t="s">
        <v>22</v>
      </c>
      <c r="B4529" t="s">
        <v>19</v>
      </c>
      <c r="C4529" s="1">
        <v>45898.765972222223</v>
      </c>
      <c r="D4529" s="1">
        <v>45954.644444444442</v>
      </c>
      <c r="E4529" s="2">
        <f t="shared" si="70"/>
        <v>55.878472222218988</v>
      </c>
    </row>
    <row r="4530" spans="1:5" x14ac:dyDescent="0.25">
      <c r="A4530" t="s">
        <v>15</v>
      </c>
      <c r="B4530" t="s">
        <v>18</v>
      </c>
      <c r="C4530" s="1">
        <v>45752.384722222218</v>
      </c>
      <c r="D4530" s="1">
        <v>45795.936805555553</v>
      </c>
      <c r="E4530" s="2">
        <f t="shared" si="70"/>
        <v>43.552083333335759</v>
      </c>
    </row>
    <row r="4531" spans="1:5" x14ac:dyDescent="0.25">
      <c r="A4531" t="s">
        <v>17</v>
      </c>
      <c r="B4531" t="s">
        <v>18</v>
      </c>
      <c r="C4531" s="1">
        <v>45662</v>
      </c>
      <c r="D4531" s="1">
        <v>45715.222222222219</v>
      </c>
      <c r="E4531" s="2">
        <f t="shared" si="70"/>
        <v>53.222222222218988</v>
      </c>
    </row>
    <row r="4532" spans="1:5" x14ac:dyDescent="0.25">
      <c r="A4532" t="s">
        <v>14</v>
      </c>
      <c r="B4532" t="s">
        <v>22</v>
      </c>
      <c r="C4532" s="1">
        <v>45706.722916666673</v>
      </c>
      <c r="D4532" s="1">
        <v>45761.35</v>
      </c>
      <c r="E4532" s="2">
        <f t="shared" si="70"/>
        <v>54.627083333325572</v>
      </c>
    </row>
    <row r="4533" spans="1:5" x14ac:dyDescent="0.25">
      <c r="A4533" t="s">
        <v>19</v>
      </c>
      <c r="B4533" t="s">
        <v>8</v>
      </c>
      <c r="C4533" s="1">
        <v>45921.973611111112</v>
      </c>
      <c r="D4533" s="1">
        <v>45946.338888888888</v>
      </c>
      <c r="E4533" s="2">
        <f t="shared" si="70"/>
        <v>24.365277777775191</v>
      </c>
    </row>
    <row r="4534" spans="1:5" x14ac:dyDescent="0.25">
      <c r="A4534" t="s">
        <v>22</v>
      </c>
      <c r="B4534" t="s">
        <v>51</v>
      </c>
      <c r="C4534" s="1">
        <v>45763.166666666657</v>
      </c>
      <c r="D4534" s="1">
        <v>45815</v>
      </c>
      <c r="E4534" s="2">
        <f t="shared" si="70"/>
        <v>51.833333333343035</v>
      </c>
    </row>
    <row r="4535" spans="1:5" x14ac:dyDescent="0.25">
      <c r="A4535" t="s">
        <v>14</v>
      </c>
      <c r="B4535" t="s">
        <v>22</v>
      </c>
      <c r="C4535" s="1">
        <v>46230.609386574077</v>
      </c>
      <c r="D4535" s="1">
        <v>46282.318055555559</v>
      </c>
      <c r="E4535" s="2">
        <f t="shared" si="70"/>
        <v>51.708668981482333</v>
      </c>
    </row>
    <row r="4536" spans="1:5" x14ac:dyDescent="0.25">
      <c r="A4536" t="s">
        <v>8</v>
      </c>
      <c r="B4536" t="s">
        <v>18</v>
      </c>
      <c r="C4536" s="1">
        <v>45926.723611111112</v>
      </c>
      <c r="D4536" s="1">
        <v>45953.67291666667</v>
      </c>
      <c r="E4536" s="2">
        <f t="shared" si="70"/>
        <v>26.949305555557657</v>
      </c>
    </row>
    <row r="4537" spans="1:5" x14ac:dyDescent="0.25">
      <c r="A4537" t="s">
        <v>6</v>
      </c>
      <c r="B4537" t="s">
        <v>8</v>
      </c>
      <c r="C4537" s="1">
        <v>46001.453472222223</v>
      </c>
      <c r="D4537" s="1">
        <v>46042.34375</v>
      </c>
      <c r="E4537" s="2">
        <f t="shared" si="70"/>
        <v>40.890277777776646</v>
      </c>
    </row>
    <row r="4538" spans="1:5" x14ac:dyDescent="0.25">
      <c r="A4538" t="s">
        <v>6</v>
      </c>
      <c r="B4538" t="s">
        <v>8</v>
      </c>
      <c r="C4538" s="1">
        <v>46091.99722222222</v>
      </c>
      <c r="D4538" s="1">
        <v>46139.593055555553</v>
      </c>
      <c r="E4538" s="2">
        <f t="shared" si="70"/>
        <v>47.595833333332848</v>
      </c>
    </row>
    <row r="4539" spans="1:5" x14ac:dyDescent="0.25">
      <c r="A4539" t="s">
        <v>22</v>
      </c>
      <c r="B4539" t="s">
        <v>19</v>
      </c>
      <c r="C4539" s="1">
        <v>46020.635416666657</v>
      </c>
      <c r="D4539" s="1">
        <v>46082.257638888892</v>
      </c>
      <c r="E4539" s="2">
        <f t="shared" si="70"/>
        <v>61.622222222234996</v>
      </c>
    </row>
    <row r="4540" spans="1:5" x14ac:dyDescent="0.25">
      <c r="A4540" t="s">
        <v>6</v>
      </c>
      <c r="B4540" t="s">
        <v>8</v>
      </c>
      <c r="C4540" s="1">
        <v>45948.252083333333</v>
      </c>
      <c r="D4540" s="1">
        <v>45985.127083333333</v>
      </c>
      <c r="E4540" s="2">
        <f t="shared" si="70"/>
        <v>36.875</v>
      </c>
    </row>
    <row r="4541" spans="1:5" x14ac:dyDescent="0.25">
      <c r="A4541" t="s">
        <v>22</v>
      </c>
      <c r="B4541" t="s">
        <v>19</v>
      </c>
      <c r="C4541" s="1">
        <v>45803.65625</v>
      </c>
      <c r="D4541" s="1">
        <v>45854.040972222218</v>
      </c>
      <c r="E4541" s="2">
        <f t="shared" si="70"/>
        <v>50.384722222217533</v>
      </c>
    </row>
    <row r="4542" spans="1:5" x14ac:dyDescent="0.25">
      <c r="A4542" t="s">
        <v>19</v>
      </c>
      <c r="B4542" t="s">
        <v>8</v>
      </c>
      <c r="C4542" s="1">
        <v>45886.208333333343</v>
      </c>
      <c r="D4542" s="1">
        <v>45910.938888888893</v>
      </c>
      <c r="E4542" s="2">
        <f t="shared" si="70"/>
        <v>24.730555555550382</v>
      </c>
    </row>
    <row r="4543" spans="1:5" x14ac:dyDescent="0.25">
      <c r="A4543" t="s">
        <v>19</v>
      </c>
      <c r="B4543" t="s">
        <v>8</v>
      </c>
      <c r="C4543" s="1">
        <v>46256.731944444437</v>
      </c>
      <c r="D4543" s="1">
        <v>46282.698611111111</v>
      </c>
      <c r="E4543" s="2">
        <f t="shared" si="70"/>
        <v>25.966666666674428</v>
      </c>
    </row>
    <row r="4544" spans="1:5" x14ac:dyDescent="0.25">
      <c r="A4544" t="s">
        <v>15</v>
      </c>
      <c r="B4544" t="s">
        <v>18</v>
      </c>
      <c r="C4544" s="1">
        <v>45745.210416666669</v>
      </c>
      <c r="D4544" s="1">
        <v>45789.237500000003</v>
      </c>
      <c r="E4544" s="2">
        <f t="shared" si="70"/>
        <v>44.027083333334303</v>
      </c>
    </row>
    <row r="4545" spans="1:5" x14ac:dyDescent="0.25">
      <c r="A4545" t="s">
        <v>6</v>
      </c>
      <c r="B4545" t="s">
        <v>8</v>
      </c>
      <c r="C4545" s="1">
        <v>45859.069444444453</v>
      </c>
      <c r="D4545" s="1">
        <v>45895.902083333327</v>
      </c>
      <c r="E4545" s="2">
        <f t="shared" si="70"/>
        <v>36.832638888874499</v>
      </c>
    </row>
    <row r="4546" spans="1:5" x14ac:dyDescent="0.25">
      <c r="A4546" t="s">
        <v>6</v>
      </c>
      <c r="B4546" t="s">
        <v>8</v>
      </c>
      <c r="C4546" s="1">
        <v>45794.95</v>
      </c>
      <c r="D4546" s="1">
        <v>45831.624305555553</v>
      </c>
      <c r="E4546" s="2">
        <f t="shared" ref="E4546:E4609" si="71">D4546-C4546</f>
        <v>36.674305555556202</v>
      </c>
    </row>
    <row r="4547" spans="1:5" x14ac:dyDescent="0.25">
      <c r="A4547" t="s">
        <v>22</v>
      </c>
      <c r="B4547" t="s">
        <v>51</v>
      </c>
      <c r="C4547" s="1">
        <v>45763.166666666657</v>
      </c>
      <c r="D4547" s="1">
        <v>45815</v>
      </c>
      <c r="E4547" s="2">
        <f t="shared" si="71"/>
        <v>51.833333333343035</v>
      </c>
    </row>
    <row r="4548" spans="1:5" x14ac:dyDescent="0.25">
      <c r="A4548" t="s">
        <v>34</v>
      </c>
      <c r="B4548" t="s">
        <v>21</v>
      </c>
      <c r="C4548" s="1">
        <v>46174.750694444447</v>
      </c>
      <c r="D4548" s="1">
        <v>46185.211111111108</v>
      </c>
      <c r="E4548" s="2">
        <f t="shared" si="71"/>
        <v>10.460416666661331</v>
      </c>
    </row>
    <row r="4549" spans="1:5" x14ac:dyDescent="0.25">
      <c r="A4549" t="s">
        <v>34</v>
      </c>
      <c r="B4549" t="s">
        <v>8</v>
      </c>
      <c r="C4549" s="1">
        <v>46154.064583333333</v>
      </c>
      <c r="D4549" s="1">
        <v>46183.990277777782</v>
      </c>
      <c r="E4549" s="2">
        <f t="shared" si="71"/>
        <v>29.925694444449618</v>
      </c>
    </row>
    <row r="4550" spans="1:5" x14ac:dyDescent="0.25">
      <c r="A4550" t="s">
        <v>34</v>
      </c>
      <c r="B4550" t="s">
        <v>8</v>
      </c>
      <c r="C4550" s="1">
        <v>46195.359675925924</v>
      </c>
      <c r="D4550" s="1">
        <v>46225.716666666667</v>
      </c>
      <c r="E4550" s="2">
        <f t="shared" si="71"/>
        <v>30.35699074074364</v>
      </c>
    </row>
    <row r="4551" spans="1:5" x14ac:dyDescent="0.25">
      <c r="A4551" t="s">
        <v>19</v>
      </c>
      <c r="B4551" t="s">
        <v>54</v>
      </c>
      <c r="C4551" s="1">
        <v>45886.208333333343</v>
      </c>
      <c r="D4551" s="1">
        <v>45922.131249999999</v>
      </c>
      <c r="E4551" s="2">
        <f t="shared" si="71"/>
        <v>35.92291666665551</v>
      </c>
    </row>
    <row r="4552" spans="1:5" x14ac:dyDescent="0.25">
      <c r="A4552" t="s">
        <v>22</v>
      </c>
      <c r="B4552" t="s">
        <v>19</v>
      </c>
      <c r="C4552" s="1">
        <v>45865.990277777782</v>
      </c>
      <c r="D4552" s="1">
        <v>45920.620833333327</v>
      </c>
      <c r="E4552" s="2">
        <f t="shared" si="71"/>
        <v>54.630555555544561</v>
      </c>
    </row>
    <row r="4553" spans="1:5" x14ac:dyDescent="0.25">
      <c r="A4553" t="s">
        <v>19</v>
      </c>
      <c r="B4553" t="s">
        <v>8</v>
      </c>
      <c r="C4553" s="1">
        <v>46147.065972222219</v>
      </c>
      <c r="D4553" s="1">
        <v>46185.602083333331</v>
      </c>
      <c r="E4553" s="2">
        <f t="shared" si="71"/>
        <v>38.536111111112405</v>
      </c>
    </row>
    <row r="4554" spans="1:5" x14ac:dyDescent="0.25">
      <c r="A4554" t="s">
        <v>22</v>
      </c>
      <c r="B4554" t="s">
        <v>19</v>
      </c>
      <c r="C4554" s="1">
        <v>45838.040972222218</v>
      </c>
      <c r="D4554" s="1">
        <v>45890.80972222222</v>
      </c>
      <c r="E4554" s="2">
        <f t="shared" si="71"/>
        <v>52.76875000000291</v>
      </c>
    </row>
    <row r="4555" spans="1:5" x14ac:dyDescent="0.25">
      <c r="A4555" t="s">
        <v>22</v>
      </c>
      <c r="B4555" t="s">
        <v>51</v>
      </c>
      <c r="C4555" s="1">
        <v>45790.489583333343</v>
      </c>
      <c r="D4555" s="1">
        <v>45845.291666666657</v>
      </c>
      <c r="E4555" s="2">
        <f t="shared" si="71"/>
        <v>54.802083333313931</v>
      </c>
    </row>
    <row r="4556" spans="1:5" x14ac:dyDescent="0.25">
      <c r="A4556" t="s">
        <v>22</v>
      </c>
      <c r="B4556" t="s">
        <v>6</v>
      </c>
      <c r="C4556" s="1">
        <v>45898.765972222223</v>
      </c>
      <c r="D4556" s="1">
        <v>45963.546527777777</v>
      </c>
      <c r="E4556" s="2">
        <f t="shared" si="71"/>
        <v>64.780555555553292</v>
      </c>
    </row>
    <row r="4557" spans="1:5" x14ac:dyDescent="0.25">
      <c r="A4557" t="s">
        <v>34</v>
      </c>
      <c r="B4557" t="s">
        <v>8</v>
      </c>
      <c r="C4557" s="1">
        <v>46237.706469907411</v>
      </c>
      <c r="D4557" s="1">
        <v>46268.543749999997</v>
      </c>
      <c r="E4557" s="2">
        <f t="shared" si="71"/>
        <v>30.837280092586298</v>
      </c>
    </row>
    <row r="4558" spans="1:5" x14ac:dyDescent="0.25">
      <c r="A4558" t="s">
        <v>15</v>
      </c>
      <c r="B4558" t="s">
        <v>18</v>
      </c>
      <c r="C4558" s="1">
        <v>45851.369444444441</v>
      </c>
      <c r="D4558" s="1">
        <v>45894.320138888892</v>
      </c>
      <c r="E4558" s="2">
        <f t="shared" si="71"/>
        <v>42.950694444451074</v>
      </c>
    </row>
    <row r="4559" spans="1:5" x14ac:dyDescent="0.25">
      <c r="A4559" t="s">
        <v>17</v>
      </c>
      <c r="B4559" t="s">
        <v>18</v>
      </c>
      <c r="C4559" s="1">
        <v>45661.875</v>
      </c>
      <c r="D4559" s="1">
        <v>45715.222222222219</v>
      </c>
      <c r="E4559" s="2">
        <f t="shared" si="71"/>
        <v>53.347222222218988</v>
      </c>
    </row>
    <row r="4560" spans="1:5" x14ac:dyDescent="0.25">
      <c r="A4560" t="s">
        <v>8</v>
      </c>
      <c r="B4560" t="s">
        <v>44</v>
      </c>
      <c r="C4560" s="1">
        <v>45694.468055555553</v>
      </c>
      <c r="D4560" s="1">
        <v>45730.416666666657</v>
      </c>
      <c r="E4560" s="2">
        <f t="shared" si="71"/>
        <v>35.948611111103673</v>
      </c>
    </row>
    <row r="4561" spans="1:5" x14ac:dyDescent="0.25">
      <c r="A4561" t="s">
        <v>7</v>
      </c>
      <c r="B4561" t="s">
        <v>18</v>
      </c>
      <c r="C4561" s="1">
        <v>46168.025694444441</v>
      </c>
      <c r="D4561" s="1">
        <v>46209.374305555553</v>
      </c>
      <c r="E4561" s="2">
        <f t="shared" si="71"/>
        <v>41.348611111112405</v>
      </c>
    </row>
    <row r="4562" spans="1:5" x14ac:dyDescent="0.25">
      <c r="A4562" t="s">
        <v>8</v>
      </c>
      <c r="B4562" t="s">
        <v>18</v>
      </c>
      <c r="C4562" s="1">
        <v>46059.042361111111</v>
      </c>
      <c r="D4562" s="1">
        <v>46094.338194444441</v>
      </c>
      <c r="E4562" s="2">
        <f t="shared" si="71"/>
        <v>35.295833333329938</v>
      </c>
    </row>
    <row r="4563" spans="1:5" x14ac:dyDescent="0.25">
      <c r="A4563" t="s">
        <v>34</v>
      </c>
      <c r="B4563" t="s">
        <v>8</v>
      </c>
      <c r="C4563" s="1">
        <v>46154.064583333333</v>
      </c>
      <c r="D4563" s="1">
        <v>46183.990277777782</v>
      </c>
      <c r="E4563" s="2">
        <f t="shared" si="71"/>
        <v>29.925694444449618</v>
      </c>
    </row>
    <row r="4564" spans="1:5" x14ac:dyDescent="0.25">
      <c r="A4564" t="s">
        <v>34</v>
      </c>
      <c r="B4564" t="s">
        <v>8</v>
      </c>
      <c r="C4564" s="1">
        <v>45773.5625</v>
      </c>
      <c r="D4564" s="1">
        <v>45801</v>
      </c>
      <c r="E4564" s="2">
        <f t="shared" si="71"/>
        <v>27.4375</v>
      </c>
    </row>
    <row r="4565" spans="1:5" x14ac:dyDescent="0.25">
      <c r="A4565" t="s">
        <v>22</v>
      </c>
      <c r="B4565" t="s">
        <v>6</v>
      </c>
      <c r="C4565" s="1">
        <v>45902.17083333333</v>
      </c>
      <c r="D4565" s="1">
        <v>45963.546527777777</v>
      </c>
      <c r="E4565" s="2">
        <f t="shared" si="71"/>
        <v>61.375694444446708</v>
      </c>
    </row>
    <row r="4566" spans="1:5" x14ac:dyDescent="0.25">
      <c r="A4566" t="s">
        <v>34</v>
      </c>
      <c r="B4566" t="s">
        <v>8</v>
      </c>
      <c r="C4566" s="1">
        <v>45804.447916666657</v>
      </c>
      <c r="D4566" s="1">
        <v>45834.644444444442</v>
      </c>
      <c r="E4566" s="2">
        <f t="shared" si="71"/>
        <v>30.196527777785377</v>
      </c>
    </row>
    <row r="4567" spans="1:5" x14ac:dyDescent="0.25">
      <c r="A4567" t="s">
        <v>15</v>
      </c>
      <c r="B4567" t="s">
        <v>18</v>
      </c>
      <c r="C4567" s="1">
        <v>45926.768055555563</v>
      </c>
      <c r="D4567" s="1">
        <v>45984.481944444437</v>
      </c>
      <c r="E4567" s="2">
        <f t="shared" si="71"/>
        <v>57.713888888873043</v>
      </c>
    </row>
    <row r="4568" spans="1:5" x14ac:dyDescent="0.25">
      <c r="A4568" t="s">
        <v>14</v>
      </c>
      <c r="B4568" t="s">
        <v>22</v>
      </c>
      <c r="C4568" s="1">
        <v>45774.90347222222</v>
      </c>
      <c r="D4568" s="1">
        <v>45823.335416666669</v>
      </c>
      <c r="E4568" s="2">
        <f t="shared" si="71"/>
        <v>48.431944444448163</v>
      </c>
    </row>
    <row r="4569" spans="1:5" x14ac:dyDescent="0.25">
      <c r="A4569" t="s">
        <v>6</v>
      </c>
      <c r="B4569" t="s">
        <v>8</v>
      </c>
      <c r="C4569" s="1">
        <v>45897.177777777782</v>
      </c>
      <c r="D4569" s="1">
        <v>45937.532638888893</v>
      </c>
      <c r="E4569" s="2">
        <f t="shared" si="71"/>
        <v>40.354861111110949</v>
      </c>
    </row>
    <row r="4570" spans="1:5" x14ac:dyDescent="0.25">
      <c r="A4570" t="s">
        <v>14</v>
      </c>
      <c r="B4570" t="s">
        <v>22</v>
      </c>
      <c r="C4570" s="1">
        <v>45690.559027777781</v>
      </c>
      <c r="D4570" s="1">
        <v>45738.298402777778</v>
      </c>
      <c r="E4570" s="2">
        <f t="shared" si="71"/>
        <v>47.739374999997381</v>
      </c>
    </row>
    <row r="4571" spans="1:5" x14ac:dyDescent="0.25">
      <c r="A4571" t="s">
        <v>7</v>
      </c>
      <c r="B4571" t="s">
        <v>66</v>
      </c>
      <c r="C4571" s="1">
        <v>46210.15625</v>
      </c>
      <c r="D4571" s="1">
        <v>46254.810416666667</v>
      </c>
      <c r="E4571" s="2">
        <f t="shared" si="71"/>
        <v>44.654166666667152</v>
      </c>
    </row>
    <row r="4572" spans="1:5" x14ac:dyDescent="0.25">
      <c r="A4572" t="s">
        <v>27</v>
      </c>
      <c r="B4572" t="s">
        <v>33</v>
      </c>
      <c r="C4572" s="1">
        <v>46184.895833333343</v>
      </c>
      <c r="D4572" s="1">
        <v>46239.191666666673</v>
      </c>
      <c r="E4572" s="2">
        <f t="shared" si="71"/>
        <v>54.295833333329938</v>
      </c>
    </row>
    <row r="4573" spans="1:5" x14ac:dyDescent="0.25">
      <c r="A4573" t="s">
        <v>5</v>
      </c>
      <c r="B4573" t="s">
        <v>6</v>
      </c>
      <c r="C4573" s="1">
        <v>45880.45</v>
      </c>
      <c r="D4573" s="1">
        <v>45943.01666666667</v>
      </c>
      <c r="E4573" s="2">
        <f t="shared" si="71"/>
        <v>62.566666666672972</v>
      </c>
    </row>
    <row r="4574" spans="1:5" x14ac:dyDescent="0.25">
      <c r="A4574" t="s">
        <v>22</v>
      </c>
      <c r="B4574" t="s">
        <v>6</v>
      </c>
      <c r="C4574" s="1">
        <v>46154.158333333333</v>
      </c>
      <c r="D4574" s="1">
        <v>46232.543749999997</v>
      </c>
      <c r="E4574" s="2">
        <f t="shared" si="71"/>
        <v>78.385416666664241</v>
      </c>
    </row>
    <row r="4575" spans="1:5" x14ac:dyDescent="0.25">
      <c r="A4575" t="s">
        <v>9</v>
      </c>
      <c r="B4575" t="s">
        <v>8</v>
      </c>
      <c r="C4575" s="1">
        <v>45940.4375</v>
      </c>
      <c r="D4575" s="1">
        <v>45989.166666666657</v>
      </c>
      <c r="E4575" s="2">
        <f t="shared" si="71"/>
        <v>48.729166666656965</v>
      </c>
    </row>
    <row r="4576" spans="1:5" x14ac:dyDescent="0.25">
      <c r="A4576" t="s">
        <v>9</v>
      </c>
      <c r="B4576" t="s">
        <v>11</v>
      </c>
      <c r="C4576" s="1">
        <v>45944.166666666657</v>
      </c>
      <c r="D4576" s="1">
        <v>46007.037499999999</v>
      </c>
      <c r="E4576" s="2">
        <f t="shared" si="71"/>
        <v>62.870833333341579</v>
      </c>
    </row>
    <row r="4577" spans="1:5" x14ac:dyDescent="0.25">
      <c r="A4577" t="s">
        <v>9</v>
      </c>
      <c r="B4577" t="s">
        <v>11</v>
      </c>
      <c r="C4577" s="1">
        <v>45931.70416666667</v>
      </c>
      <c r="D4577" s="1">
        <v>45992.908333333333</v>
      </c>
      <c r="E4577" s="2">
        <f t="shared" si="71"/>
        <v>61.204166666662786</v>
      </c>
    </row>
    <row r="4578" spans="1:5" x14ac:dyDescent="0.25">
      <c r="A4578" t="s">
        <v>22</v>
      </c>
      <c r="B4578" t="s">
        <v>6</v>
      </c>
      <c r="C4578" s="1">
        <v>46217.987500000003</v>
      </c>
      <c r="D4578" s="1">
        <v>46287.25</v>
      </c>
      <c r="E4578" s="2">
        <f t="shared" si="71"/>
        <v>69.26249999999709</v>
      </c>
    </row>
    <row r="4579" spans="1:5" x14ac:dyDescent="0.25">
      <c r="A4579" t="s">
        <v>9</v>
      </c>
      <c r="B4579" t="s">
        <v>8</v>
      </c>
      <c r="C4579" s="1">
        <v>46085.995833333327</v>
      </c>
      <c r="D4579" s="1">
        <v>46133.916666666657</v>
      </c>
      <c r="E4579" s="2">
        <f t="shared" si="71"/>
        <v>47.920833333329938</v>
      </c>
    </row>
    <row r="4580" spans="1:5" x14ac:dyDescent="0.25">
      <c r="A4580" t="s">
        <v>22</v>
      </c>
      <c r="B4580" t="s">
        <v>6</v>
      </c>
      <c r="C4580" s="1">
        <v>46168.120833333327</v>
      </c>
      <c r="D4580" s="1">
        <v>46251.333333333343</v>
      </c>
      <c r="E4580" s="2">
        <f t="shared" si="71"/>
        <v>83.212500000016007</v>
      </c>
    </row>
    <row r="4581" spans="1:5" x14ac:dyDescent="0.25">
      <c r="A4581" t="s">
        <v>9</v>
      </c>
      <c r="B4581" t="s">
        <v>8</v>
      </c>
      <c r="C4581" s="1">
        <v>45933.291666666657</v>
      </c>
      <c r="D4581" s="1">
        <v>45989.166666666657</v>
      </c>
      <c r="E4581" s="2">
        <f t="shared" si="71"/>
        <v>55.875</v>
      </c>
    </row>
    <row r="4582" spans="1:5" x14ac:dyDescent="0.25">
      <c r="A4582" t="s">
        <v>15</v>
      </c>
      <c r="B4582" t="s">
        <v>6</v>
      </c>
      <c r="C4582" s="1">
        <v>45997.574999999997</v>
      </c>
      <c r="D4582" s="1">
        <v>46061.5625</v>
      </c>
      <c r="E4582" s="2">
        <f t="shared" si="71"/>
        <v>63.98750000000291</v>
      </c>
    </row>
    <row r="4583" spans="1:5" x14ac:dyDescent="0.25">
      <c r="A4583" t="s">
        <v>27</v>
      </c>
      <c r="B4583" t="s">
        <v>33</v>
      </c>
      <c r="C4583" s="1">
        <v>46210.354166666657</v>
      </c>
      <c r="D4583" s="1">
        <v>46267.758333333331</v>
      </c>
      <c r="E4583" s="2">
        <f t="shared" si="71"/>
        <v>57.404166666674428</v>
      </c>
    </row>
    <row r="4584" spans="1:5" x14ac:dyDescent="0.25">
      <c r="A4584" t="s">
        <v>7</v>
      </c>
      <c r="B4584" t="s">
        <v>8</v>
      </c>
      <c r="C4584" s="1">
        <v>45875.462500000001</v>
      </c>
      <c r="D4584" s="1">
        <v>45920.2</v>
      </c>
      <c r="E4584" s="2">
        <f t="shared" si="71"/>
        <v>44.737499999995634</v>
      </c>
    </row>
    <row r="4585" spans="1:5" x14ac:dyDescent="0.25">
      <c r="A4585" t="s">
        <v>7</v>
      </c>
      <c r="B4585" t="s">
        <v>8</v>
      </c>
      <c r="C4585" s="1">
        <v>45792.854166666657</v>
      </c>
      <c r="D4585" s="1">
        <v>45839.3125</v>
      </c>
      <c r="E4585" s="2">
        <f t="shared" si="71"/>
        <v>46.458333333343035</v>
      </c>
    </row>
    <row r="4586" spans="1:5" x14ac:dyDescent="0.25">
      <c r="A4586" t="s">
        <v>22</v>
      </c>
      <c r="B4586" t="s">
        <v>13</v>
      </c>
      <c r="C4586" s="1">
        <v>46203.162499999999</v>
      </c>
      <c r="D4586" s="1">
        <v>46263.520833333343</v>
      </c>
      <c r="E4586" s="2">
        <f t="shared" si="71"/>
        <v>60.35833333334449</v>
      </c>
    </row>
    <row r="4587" spans="1:5" x14ac:dyDescent="0.25">
      <c r="A4587" t="s">
        <v>15</v>
      </c>
      <c r="B4587" t="s">
        <v>6</v>
      </c>
      <c r="C4587" s="1">
        <v>45958.691666666673</v>
      </c>
      <c r="D4587" s="1">
        <v>46019.366666666669</v>
      </c>
      <c r="E4587" s="2">
        <f t="shared" si="71"/>
        <v>60.674999999995634</v>
      </c>
    </row>
    <row r="4588" spans="1:5" x14ac:dyDescent="0.25">
      <c r="A4588" t="s">
        <v>7</v>
      </c>
      <c r="B4588" t="s">
        <v>8</v>
      </c>
      <c r="C4588" s="1">
        <v>45843.85</v>
      </c>
      <c r="D4588" s="1">
        <v>45910.25</v>
      </c>
      <c r="E4588" s="2">
        <f t="shared" si="71"/>
        <v>66.400000000001455</v>
      </c>
    </row>
    <row r="4589" spans="1:5" x14ac:dyDescent="0.25">
      <c r="A4589" t="s">
        <v>8</v>
      </c>
      <c r="B4589" t="s">
        <v>7</v>
      </c>
      <c r="C4589" s="1">
        <v>45959.195833333331</v>
      </c>
      <c r="D4589" s="1">
        <v>46016.57916666667</v>
      </c>
      <c r="E4589" s="2">
        <f t="shared" si="71"/>
        <v>57.383333333338669</v>
      </c>
    </row>
    <row r="4590" spans="1:5" x14ac:dyDescent="0.25">
      <c r="A4590" t="s">
        <v>48</v>
      </c>
      <c r="B4590" t="s">
        <v>12</v>
      </c>
      <c r="C4590" s="1">
        <v>45828.033333333333</v>
      </c>
      <c r="D4590" s="1">
        <v>45892.125</v>
      </c>
      <c r="E4590" s="2">
        <f t="shared" si="71"/>
        <v>64.091666666667152</v>
      </c>
    </row>
    <row r="4591" spans="1:5" x14ac:dyDescent="0.25">
      <c r="A4591" t="s">
        <v>5</v>
      </c>
      <c r="B4591" t="s">
        <v>8</v>
      </c>
      <c r="C4591" s="1">
        <v>45998.14166666667</v>
      </c>
      <c r="D4591" s="1">
        <v>46039.5</v>
      </c>
      <c r="E4591" s="2">
        <f t="shared" si="71"/>
        <v>41.358333333329938</v>
      </c>
    </row>
    <row r="4592" spans="1:5" x14ac:dyDescent="0.25">
      <c r="A4592" t="s">
        <v>15</v>
      </c>
      <c r="B4592" t="s">
        <v>6</v>
      </c>
      <c r="C4592" s="1">
        <v>46090.7</v>
      </c>
      <c r="D4592" s="1">
        <v>46156.729166666657</v>
      </c>
      <c r="E4592" s="2">
        <f t="shared" si="71"/>
        <v>66.029166666659876</v>
      </c>
    </row>
    <row r="4593" spans="1:5" x14ac:dyDescent="0.25">
      <c r="A4593" t="s">
        <v>15</v>
      </c>
      <c r="B4593" t="s">
        <v>6</v>
      </c>
      <c r="C4593" s="1">
        <v>45878.5</v>
      </c>
      <c r="D4593" s="1">
        <v>45941.433333333327</v>
      </c>
      <c r="E4593" s="2">
        <f t="shared" si="71"/>
        <v>62.933333333327028</v>
      </c>
    </row>
    <row r="4594" spans="1:5" x14ac:dyDescent="0.25">
      <c r="A4594" t="s">
        <v>5</v>
      </c>
      <c r="B4594" t="s">
        <v>8</v>
      </c>
      <c r="C4594" s="1">
        <v>46065.004166666673</v>
      </c>
      <c r="D4594" s="1">
        <v>46099.525000000001</v>
      </c>
      <c r="E4594" s="2">
        <f t="shared" si="71"/>
        <v>34.520833333328483</v>
      </c>
    </row>
    <row r="4595" spans="1:5" x14ac:dyDescent="0.25">
      <c r="A4595" t="s">
        <v>7</v>
      </c>
      <c r="B4595" t="s">
        <v>8</v>
      </c>
      <c r="C4595" s="1">
        <v>45940.345833333333</v>
      </c>
      <c r="D4595" s="1">
        <v>45989.166666666657</v>
      </c>
      <c r="E4595" s="2">
        <f t="shared" si="71"/>
        <v>48.820833333324117</v>
      </c>
    </row>
    <row r="4596" spans="1:5" x14ac:dyDescent="0.25">
      <c r="A4596" t="s">
        <v>7</v>
      </c>
      <c r="B4596" t="s">
        <v>8</v>
      </c>
      <c r="C4596" s="1">
        <v>45940.345833333333</v>
      </c>
      <c r="D4596" s="1">
        <v>45989.166666666657</v>
      </c>
      <c r="E4596" s="2">
        <f t="shared" si="71"/>
        <v>48.820833333324117</v>
      </c>
    </row>
    <row r="4597" spans="1:5" x14ac:dyDescent="0.25">
      <c r="A4597" t="s">
        <v>34</v>
      </c>
      <c r="B4597" t="s">
        <v>8</v>
      </c>
      <c r="C4597" s="1">
        <v>46036.2</v>
      </c>
      <c r="D4597" s="1">
        <v>46067.162499999999</v>
      </c>
      <c r="E4597" s="2">
        <f t="shared" si="71"/>
        <v>30.962500000001455</v>
      </c>
    </row>
    <row r="4598" spans="1:5" x14ac:dyDescent="0.25">
      <c r="A4598" t="s">
        <v>7</v>
      </c>
      <c r="B4598" t="s">
        <v>8</v>
      </c>
      <c r="C4598" s="1">
        <v>45903.083333333343</v>
      </c>
      <c r="D4598" s="1">
        <v>45938.662499999999</v>
      </c>
      <c r="E4598" s="2">
        <f t="shared" si="71"/>
        <v>35.57916666665551</v>
      </c>
    </row>
    <row r="4599" spans="1:5" x14ac:dyDescent="0.25">
      <c r="A4599" t="s">
        <v>7</v>
      </c>
      <c r="B4599" t="s">
        <v>8</v>
      </c>
      <c r="C4599" s="1">
        <v>45822.8</v>
      </c>
      <c r="D4599" s="1">
        <v>45875.612500000003</v>
      </c>
      <c r="E4599" s="2">
        <f t="shared" si="71"/>
        <v>52.8125</v>
      </c>
    </row>
    <row r="4600" spans="1:5" x14ac:dyDescent="0.25">
      <c r="A4600" t="s">
        <v>34</v>
      </c>
      <c r="B4600" t="s">
        <v>8</v>
      </c>
      <c r="C4600" s="1">
        <v>46018.375</v>
      </c>
      <c r="D4600" s="1">
        <v>46054.970833333333</v>
      </c>
      <c r="E4600" s="2">
        <f t="shared" si="71"/>
        <v>36.595833333332848</v>
      </c>
    </row>
    <row r="4601" spans="1:5" x14ac:dyDescent="0.25">
      <c r="A4601" t="s">
        <v>5</v>
      </c>
      <c r="B4601" t="s">
        <v>8</v>
      </c>
      <c r="C4601" s="1">
        <v>45998.14166666667</v>
      </c>
      <c r="D4601" s="1">
        <v>46039.5</v>
      </c>
      <c r="E4601" s="2">
        <f t="shared" si="71"/>
        <v>41.358333333329938</v>
      </c>
    </row>
    <row r="4602" spans="1:5" x14ac:dyDescent="0.25">
      <c r="A4602" t="s">
        <v>7</v>
      </c>
      <c r="B4602" t="s">
        <v>11</v>
      </c>
      <c r="C4602" s="1">
        <v>45828.291666666657</v>
      </c>
      <c r="D4602" s="1">
        <v>45909.995833333327</v>
      </c>
      <c r="E4602" s="2">
        <f t="shared" si="71"/>
        <v>81.704166666670062</v>
      </c>
    </row>
    <row r="4603" spans="1:5" x14ac:dyDescent="0.25">
      <c r="A4603" t="s">
        <v>5</v>
      </c>
      <c r="B4603" t="s">
        <v>8</v>
      </c>
      <c r="C4603" s="1">
        <v>45998.14166666667</v>
      </c>
      <c r="D4603" s="1">
        <v>46039.5</v>
      </c>
      <c r="E4603" s="2">
        <f t="shared" si="71"/>
        <v>41.358333333329938</v>
      </c>
    </row>
    <row r="4604" spans="1:5" x14ac:dyDescent="0.25">
      <c r="A4604" t="s">
        <v>7</v>
      </c>
      <c r="B4604" t="s">
        <v>8</v>
      </c>
      <c r="C4604" s="1">
        <v>45891.654166666667</v>
      </c>
      <c r="D4604" s="1">
        <v>45938.662499999999</v>
      </c>
      <c r="E4604" s="2">
        <f t="shared" si="71"/>
        <v>47.008333333331393</v>
      </c>
    </row>
    <row r="4605" spans="1:5" x14ac:dyDescent="0.25">
      <c r="A4605" t="s">
        <v>9</v>
      </c>
      <c r="B4605" t="s">
        <v>8</v>
      </c>
      <c r="C4605" s="1">
        <v>45984.033333333333</v>
      </c>
      <c r="D4605" s="1">
        <v>46023.412499999999</v>
      </c>
      <c r="E4605" s="2">
        <f t="shared" si="71"/>
        <v>39.379166666665697</v>
      </c>
    </row>
    <row r="4606" spans="1:5" x14ac:dyDescent="0.25">
      <c r="A4606" t="s">
        <v>9</v>
      </c>
      <c r="B4606" t="s">
        <v>8</v>
      </c>
      <c r="C4606" s="1">
        <v>45823.041666666657</v>
      </c>
      <c r="D4606" s="1">
        <v>45875.612500000003</v>
      </c>
      <c r="E4606" s="2">
        <f t="shared" si="71"/>
        <v>52.570833333345945</v>
      </c>
    </row>
    <row r="4607" spans="1:5" x14ac:dyDescent="0.25">
      <c r="A4607" t="s">
        <v>5</v>
      </c>
      <c r="B4607" t="s">
        <v>8</v>
      </c>
      <c r="C4607" s="1">
        <v>46061.879166666673</v>
      </c>
      <c r="D4607" s="1">
        <v>46112.529166666667</v>
      </c>
      <c r="E4607" s="2">
        <f t="shared" si="71"/>
        <v>50.649999999994179</v>
      </c>
    </row>
    <row r="4608" spans="1:5" x14ac:dyDescent="0.25">
      <c r="A4608" t="s">
        <v>7</v>
      </c>
      <c r="B4608" t="s">
        <v>8</v>
      </c>
      <c r="C4608" s="1">
        <v>46002.212500000001</v>
      </c>
      <c r="D4608" s="1">
        <v>46047.712500000001</v>
      </c>
      <c r="E4608" s="2">
        <f t="shared" si="71"/>
        <v>45.5</v>
      </c>
    </row>
    <row r="4609" spans="1:5" x14ac:dyDescent="0.25">
      <c r="A4609" t="s">
        <v>5</v>
      </c>
      <c r="B4609" t="s">
        <v>8</v>
      </c>
      <c r="C4609" s="1">
        <v>45982.8</v>
      </c>
      <c r="D4609" s="1">
        <v>46017.370833333327</v>
      </c>
      <c r="E4609" s="2">
        <f t="shared" si="71"/>
        <v>34.570833333324117</v>
      </c>
    </row>
    <row r="4610" spans="1:5" x14ac:dyDescent="0.25">
      <c r="A4610" t="s">
        <v>5</v>
      </c>
      <c r="B4610" t="s">
        <v>8</v>
      </c>
      <c r="C4610" s="1">
        <v>46101.51666666667</v>
      </c>
      <c r="D4610" s="1">
        <v>46146.737500000003</v>
      </c>
      <c r="E4610" s="2">
        <f t="shared" ref="E4610:E4673" si="72">D4610-C4610</f>
        <v>45.220833333332848</v>
      </c>
    </row>
    <row r="4611" spans="1:5" x14ac:dyDescent="0.25">
      <c r="A4611" t="s">
        <v>5</v>
      </c>
      <c r="B4611" t="s">
        <v>8</v>
      </c>
      <c r="C4611" s="1">
        <v>45952.061111111107</v>
      </c>
      <c r="D4611" s="1">
        <v>45993.345833333333</v>
      </c>
      <c r="E4611" s="2">
        <f t="shared" si="72"/>
        <v>41.284722222226264</v>
      </c>
    </row>
    <row r="4612" spans="1:5" x14ac:dyDescent="0.25">
      <c r="A4612" t="s">
        <v>7</v>
      </c>
      <c r="B4612" t="s">
        <v>8</v>
      </c>
      <c r="C4612" s="1">
        <v>45920.587500000001</v>
      </c>
      <c r="D4612" s="1">
        <v>45965.662499999999</v>
      </c>
      <c r="E4612" s="2">
        <f t="shared" si="72"/>
        <v>45.07499999999709</v>
      </c>
    </row>
    <row r="4613" spans="1:5" x14ac:dyDescent="0.25">
      <c r="A4613" t="s">
        <v>5</v>
      </c>
      <c r="B4613" t="s">
        <v>8</v>
      </c>
      <c r="C4613" s="1">
        <v>46035.520833333343</v>
      </c>
      <c r="D4613" s="1">
        <v>46073.45416666667</v>
      </c>
      <c r="E4613" s="2">
        <f t="shared" si="72"/>
        <v>37.933333333327028</v>
      </c>
    </row>
    <row r="4614" spans="1:5" x14ac:dyDescent="0.25">
      <c r="A4614" t="s">
        <v>5</v>
      </c>
      <c r="B4614" t="s">
        <v>8</v>
      </c>
      <c r="C4614" s="1">
        <v>46025.436111111107</v>
      </c>
      <c r="D4614" s="1">
        <v>46071.058333333327</v>
      </c>
      <c r="E4614" s="2">
        <f t="shared" si="72"/>
        <v>45.622222222220444</v>
      </c>
    </row>
    <row r="4615" spans="1:5" x14ac:dyDescent="0.25">
      <c r="A4615" t="s">
        <v>7</v>
      </c>
      <c r="B4615" t="s">
        <v>8</v>
      </c>
      <c r="C4615" s="1">
        <v>45891.654166666667</v>
      </c>
      <c r="D4615" s="1">
        <v>45938.662499999999</v>
      </c>
      <c r="E4615" s="2">
        <f t="shared" si="72"/>
        <v>47.008333333331393</v>
      </c>
    </row>
    <row r="4616" spans="1:5" x14ac:dyDescent="0.25">
      <c r="A4616" t="s">
        <v>7</v>
      </c>
      <c r="B4616" t="s">
        <v>8</v>
      </c>
      <c r="C4616" s="1">
        <v>45778.629166666673</v>
      </c>
      <c r="D4616" s="1">
        <v>45818.433333333327</v>
      </c>
      <c r="E4616" s="2">
        <f t="shared" si="72"/>
        <v>39.804166666654055</v>
      </c>
    </row>
    <row r="4617" spans="1:5" x14ac:dyDescent="0.25">
      <c r="A4617" t="s">
        <v>5</v>
      </c>
      <c r="B4617" t="s">
        <v>8</v>
      </c>
      <c r="C4617" s="1">
        <v>46025.436111111107</v>
      </c>
      <c r="D4617" s="1">
        <v>46071.058333333327</v>
      </c>
      <c r="E4617" s="2">
        <f t="shared" si="72"/>
        <v>45.622222222220444</v>
      </c>
    </row>
    <row r="4618" spans="1:5" x14ac:dyDescent="0.25">
      <c r="A4618" t="s">
        <v>5</v>
      </c>
      <c r="B4618" t="s">
        <v>8</v>
      </c>
      <c r="C4618" s="1">
        <v>46065.004166666673</v>
      </c>
      <c r="D4618" s="1">
        <v>46099.525000000001</v>
      </c>
      <c r="E4618" s="2">
        <f t="shared" si="72"/>
        <v>34.520833333328483</v>
      </c>
    </row>
    <row r="4619" spans="1:5" x14ac:dyDescent="0.25">
      <c r="A4619" t="s">
        <v>5</v>
      </c>
      <c r="B4619" t="s">
        <v>8</v>
      </c>
      <c r="C4619" s="1">
        <v>46128.754166666673</v>
      </c>
      <c r="D4619" s="1">
        <v>46162.866666666669</v>
      </c>
      <c r="E4619" s="2">
        <f t="shared" si="72"/>
        <v>34.112499999995634</v>
      </c>
    </row>
    <row r="4620" spans="1:5" x14ac:dyDescent="0.25">
      <c r="A4620" t="s">
        <v>7</v>
      </c>
      <c r="B4620" t="s">
        <v>8</v>
      </c>
      <c r="C4620" s="1">
        <v>45785.595833333333</v>
      </c>
      <c r="D4620" s="1">
        <v>45818.433333333327</v>
      </c>
      <c r="E4620" s="2">
        <f t="shared" si="72"/>
        <v>32.837499999994179</v>
      </c>
    </row>
    <row r="4621" spans="1:5" x14ac:dyDescent="0.25">
      <c r="A4621" t="s">
        <v>7</v>
      </c>
      <c r="B4621" t="s">
        <v>8</v>
      </c>
      <c r="C4621" s="1">
        <v>45891.654166666667</v>
      </c>
      <c r="D4621" s="1">
        <v>45938.662499999999</v>
      </c>
      <c r="E4621" s="2">
        <f t="shared" si="72"/>
        <v>47.008333333331393</v>
      </c>
    </row>
    <row r="4622" spans="1:5" x14ac:dyDescent="0.25">
      <c r="A4622" t="s">
        <v>7</v>
      </c>
      <c r="B4622" t="s">
        <v>8</v>
      </c>
      <c r="C4622" s="1">
        <v>45777.64166666667</v>
      </c>
      <c r="D4622" s="1">
        <v>45818.433333333327</v>
      </c>
      <c r="E4622" s="2">
        <f t="shared" si="72"/>
        <v>40.791666666656965</v>
      </c>
    </row>
    <row r="4623" spans="1:5" x14ac:dyDescent="0.25">
      <c r="A4623" t="s">
        <v>7</v>
      </c>
      <c r="B4623" t="s">
        <v>11</v>
      </c>
      <c r="C4623" s="1">
        <v>46078.666666666657</v>
      </c>
      <c r="D4623" s="1">
        <v>46154.554166666669</v>
      </c>
      <c r="E4623" s="2">
        <f t="shared" si="72"/>
        <v>75.887500000011642</v>
      </c>
    </row>
    <row r="4624" spans="1:5" x14ac:dyDescent="0.25">
      <c r="A4624" t="s">
        <v>15</v>
      </c>
      <c r="B4624" t="s">
        <v>6</v>
      </c>
      <c r="C4624" s="1">
        <v>45984.912499999999</v>
      </c>
      <c r="D4624" s="1">
        <v>46046.2</v>
      </c>
      <c r="E4624" s="2">
        <f t="shared" si="72"/>
        <v>61.287499999998545</v>
      </c>
    </row>
    <row r="4625" spans="1:5" x14ac:dyDescent="0.25">
      <c r="A4625" t="s">
        <v>5</v>
      </c>
      <c r="B4625" t="s">
        <v>8</v>
      </c>
      <c r="C4625" s="1">
        <v>45952.57916666667</v>
      </c>
      <c r="D4625" s="1">
        <v>45993.345833333333</v>
      </c>
      <c r="E4625" s="2">
        <f t="shared" si="72"/>
        <v>40.766666666662786</v>
      </c>
    </row>
    <row r="4626" spans="1:5" x14ac:dyDescent="0.25">
      <c r="A4626" t="s">
        <v>7</v>
      </c>
      <c r="B4626" t="s">
        <v>8</v>
      </c>
      <c r="C4626" s="1">
        <v>45843.85</v>
      </c>
      <c r="D4626" s="1">
        <v>45910.25</v>
      </c>
      <c r="E4626" s="2">
        <f t="shared" si="72"/>
        <v>66.400000000001455</v>
      </c>
    </row>
    <row r="4627" spans="1:5" x14ac:dyDescent="0.25">
      <c r="A4627" t="s">
        <v>5</v>
      </c>
      <c r="B4627" t="s">
        <v>8</v>
      </c>
      <c r="C4627" s="1">
        <v>45982.8</v>
      </c>
      <c r="D4627" s="1">
        <v>46017.370833333327</v>
      </c>
      <c r="E4627" s="2">
        <f t="shared" si="72"/>
        <v>34.570833333324117</v>
      </c>
    </row>
    <row r="4628" spans="1:5" x14ac:dyDescent="0.25">
      <c r="A4628" t="s">
        <v>5</v>
      </c>
      <c r="B4628" t="s">
        <v>8</v>
      </c>
      <c r="C4628" s="1">
        <v>45945.658333333333</v>
      </c>
      <c r="D4628" s="1">
        <v>45993.345833333333</v>
      </c>
      <c r="E4628" s="2">
        <f t="shared" si="72"/>
        <v>47.6875</v>
      </c>
    </row>
    <row r="4629" spans="1:5" x14ac:dyDescent="0.25">
      <c r="A4629" t="s">
        <v>5</v>
      </c>
      <c r="B4629" t="s">
        <v>8</v>
      </c>
      <c r="C4629" s="1">
        <v>46088.612500000003</v>
      </c>
      <c r="D4629" s="1">
        <v>46141.354166666657</v>
      </c>
      <c r="E4629" s="2">
        <f t="shared" si="72"/>
        <v>52.741666666654055</v>
      </c>
    </row>
    <row r="4630" spans="1:5" x14ac:dyDescent="0.25">
      <c r="A4630" t="s">
        <v>15</v>
      </c>
      <c r="B4630" t="s">
        <v>6</v>
      </c>
      <c r="C4630" s="1">
        <v>45909.966666666667</v>
      </c>
      <c r="D4630" s="1">
        <v>45970.504166666673</v>
      </c>
      <c r="E4630" s="2">
        <f t="shared" si="72"/>
        <v>60.537500000005821</v>
      </c>
    </row>
    <row r="4631" spans="1:5" x14ac:dyDescent="0.25">
      <c r="A4631" t="s">
        <v>34</v>
      </c>
      <c r="B4631" t="s">
        <v>8</v>
      </c>
      <c r="C4631" s="1">
        <v>45953.501388888893</v>
      </c>
      <c r="D4631" s="1">
        <v>45981.868055555547</v>
      </c>
      <c r="E4631" s="2">
        <f t="shared" si="72"/>
        <v>28.366666666654055</v>
      </c>
    </row>
    <row r="4632" spans="1:5" x14ac:dyDescent="0.25">
      <c r="A4632" t="s">
        <v>8</v>
      </c>
      <c r="B4632" t="s">
        <v>7</v>
      </c>
      <c r="C4632" s="1">
        <v>45928.775000000001</v>
      </c>
      <c r="D4632" s="1">
        <v>45968.229166666657</v>
      </c>
      <c r="E4632" s="2">
        <f t="shared" si="72"/>
        <v>39.45416666665551</v>
      </c>
    </row>
    <row r="4633" spans="1:5" x14ac:dyDescent="0.25">
      <c r="A4633" t="s">
        <v>7</v>
      </c>
      <c r="B4633" t="s">
        <v>8</v>
      </c>
      <c r="C4633" s="1">
        <v>45903.083333333343</v>
      </c>
      <c r="D4633" s="1">
        <v>45938.662499999999</v>
      </c>
      <c r="E4633" s="2">
        <f t="shared" si="72"/>
        <v>35.57916666665551</v>
      </c>
    </row>
    <row r="4634" spans="1:5" x14ac:dyDescent="0.25">
      <c r="A4634" t="s">
        <v>7</v>
      </c>
      <c r="B4634" t="s">
        <v>8</v>
      </c>
      <c r="C4634" s="1">
        <v>45808.775000000001</v>
      </c>
      <c r="D4634" s="1">
        <v>45853.816666666673</v>
      </c>
      <c r="E4634" s="2">
        <f t="shared" si="72"/>
        <v>45.041666666671517</v>
      </c>
    </row>
    <row r="4635" spans="1:5" x14ac:dyDescent="0.25">
      <c r="A4635" t="s">
        <v>9</v>
      </c>
      <c r="B4635" t="s">
        <v>8</v>
      </c>
      <c r="C4635" s="1">
        <v>46125.166666666657</v>
      </c>
      <c r="D4635" s="1">
        <v>46155.262499999997</v>
      </c>
      <c r="E4635" s="2">
        <f t="shared" si="72"/>
        <v>30.095833333340124</v>
      </c>
    </row>
    <row r="4636" spans="1:5" x14ac:dyDescent="0.25">
      <c r="A4636" t="s">
        <v>48</v>
      </c>
      <c r="B4636" t="s">
        <v>12</v>
      </c>
      <c r="C4636" s="1">
        <v>45849.958333333343</v>
      </c>
      <c r="D4636" s="1">
        <v>45901.241666666669</v>
      </c>
      <c r="E4636" s="2">
        <f t="shared" si="72"/>
        <v>51.283333333325572</v>
      </c>
    </row>
    <row r="4637" spans="1:5" x14ac:dyDescent="0.25">
      <c r="A4637" t="s">
        <v>7</v>
      </c>
      <c r="B4637" t="s">
        <v>8</v>
      </c>
      <c r="C4637" s="1">
        <v>45847.879166666673</v>
      </c>
      <c r="D4637" s="1">
        <v>45910.25</v>
      </c>
      <c r="E4637" s="2">
        <f t="shared" si="72"/>
        <v>62.370833333327028</v>
      </c>
    </row>
    <row r="4638" spans="1:5" x14ac:dyDescent="0.25">
      <c r="A4638" t="s">
        <v>5</v>
      </c>
      <c r="B4638" t="s">
        <v>8</v>
      </c>
      <c r="C4638" s="1">
        <v>45959.334027777782</v>
      </c>
      <c r="D4638" s="1">
        <v>45993.345833333333</v>
      </c>
      <c r="E4638" s="2">
        <f t="shared" si="72"/>
        <v>34.011805555550382</v>
      </c>
    </row>
    <row r="4639" spans="1:5" x14ac:dyDescent="0.25">
      <c r="A4639" t="s">
        <v>5</v>
      </c>
      <c r="B4639" t="s">
        <v>8</v>
      </c>
      <c r="C4639" s="1">
        <v>46093.625</v>
      </c>
      <c r="D4639" s="1">
        <v>46141.354166666657</v>
      </c>
      <c r="E4639" s="2">
        <f t="shared" si="72"/>
        <v>47.729166666656965</v>
      </c>
    </row>
    <row r="4640" spans="1:5" x14ac:dyDescent="0.25">
      <c r="A4640" t="s">
        <v>7</v>
      </c>
      <c r="B4640" t="s">
        <v>8</v>
      </c>
      <c r="C4640" s="1">
        <v>45843.85</v>
      </c>
      <c r="D4640" s="1">
        <v>45910.25</v>
      </c>
      <c r="E4640" s="2">
        <f t="shared" si="72"/>
        <v>66.400000000001455</v>
      </c>
    </row>
    <row r="4641" spans="1:5" x14ac:dyDescent="0.25">
      <c r="A4641" t="s">
        <v>15</v>
      </c>
      <c r="B4641" t="s">
        <v>6</v>
      </c>
      <c r="C4641" s="1">
        <v>45933.637499999997</v>
      </c>
      <c r="D4641" s="1">
        <v>45995.916666666657</v>
      </c>
      <c r="E4641" s="2">
        <f t="shared" si="72"/>
        <v>62.279166666659876</v>
      </c>
    </row>
    <row r="4642" spans="1:5" x14ac:dyDescent="0.25">
      <c r="A4642" t="s">
        <v>7</v>
      </c>
      <c r="B4642" t="s">
        <v>8</v>
      </c>
      <c r="C4642" s="1">
        <v>45800.645833333343</v>
      </c>
      <c r="D4642" s="1">
        <v>45839.3125</v>
      </c>
      <c r="E4642" s="2">
        <f t="shared" si="72"/>
        <v>38.666666666656965</v>
      </c>
    </row>
    <row r="4643" spans="1:5" x14ac:dyDescent="0.25">
      <c r="A4643" t="s">
        <v>8</v>
      </c>
      <c r="B4643" t="s">
        <v>7</v>
      </c>
      <c r="C4643" s="1">
        <v>45879.145833333343</v>
      </c>
      <c r="D4643" s="1">
        <v>45908.73333333333</v>
      </c>
      <c r="E4643" s="2">
        <f t="shared" si="72"/>
        <v>29.587499999986903</v>
      </c>
    </row>
    <row r="4644" spans="1:5" x14ac:dyDescent="0.25">
      <c r="A4644" t="s">
        <v>48</v>
      </c>
      <c r="B4644" t="s">
        <v>12</v>
      </c>
      <c r="C4644" s="1">
        <v>45907.429861111108</v>
      </c>
      <c r="D4644" s="1">
        <v>45970.104166666657</v>
      </c>
      <c r="E4644" s="2">
        <f t="shared" si="72"/>
        <v>62.674305555548926</v>
      </c>
    </row>
    <row r="4645" spans="1:5" x14ac:dyDescent="0.25">
      <c r="A4645" t="s">
        <v>8</v>
      </c>
      <c r="B4645" t="s">
        <v>7</v>
      </c>
      <c r="C4645" s="1">
        <v>45879.145833333343</v>
      </c>
      <c r="D4645" s="1">
        <v>45908.73333333333</v>
      </c>
      <c r="E4645" s="2">
        <f t="shared" si="72"/>
        <v>29.587499999986903</v>
      </c>
    </row>
    <row r="4646" spans="1:5" x14ac:dyDescent="0.25">
      <c r="A4646" t="s">
        <v>9</v>
      </c>
      <c r="B4646" t="s">
        <v>11</v>
      </c>
      <c r="C4646" s="1">
        <v>45815.1875</v>
      </c>
      <c r="D4646" s="1">
        <v>45874.708333333343</v>
      </c>
      <c r="E4646" s="2">
        <f t="shared" si="72"/>
        <v>59.520833333343035</v>
      </c>
    </row>
    <row r="4647" spans="1:5" x14ac:dyDescent="0.25">
      <c r="A4647" t="s">
        <v>7</v>
      </c>
      <c r="B4647" t="s">
        <v>8</v>
      </c>
      <c r="C4647" s="1">
        <v>45882.166666666657</v>
      </c>
      <c r="D4647" s="1">
        <v>45938.662499999999</v>
      </c>
      <c r="E4647" s="2">
        <f t="shared" si="72"/>
        <v>56.495833333341579</v>
      </c>
    </row>
    <row r="4648" spans="1:5" x14ac:dyDescent="0.25">
      <c r="A4648" t="s">
        <v>5</v>
      </c>
      <c r="B4648" t="s">
        <v>8</v>
      </c>
      <c r="C4648" s="1">
        <v>45945.658333333333</v>
      </c>
      <c r="D4648" s="1">
        <v>45993.345833333333</v>
      </c>
      <c r="E4648" s="2">
        <f t="shared" si="72"/>
        <v>47.6875</v>
      </c>
    </row>
    <row r="4649" spans="1:5" x14ac:dyDescent="0.25">
      <c r="A4649" t="s">
        <v>7</v>
      </c>
      <c r="B4649" t="s">
        <v>8</v>
      </c>
      <c r="C4649" s="1">
        <v>45843.85</v>
      </c>
      <c r="D4649" s="1">
        <v>45910.25</v>
      </c>
      <c r="E4649" s="2">
        <f t="shared" si="72"/>
        <v>66.400000000001455</v>
      </c>
    </row>
    <row r="4650" spans="1:5" x14ac:dyDescent="0.25">
      <c r="A4650" t="s">
        <v>35</v>
      </c>
      <c r="B4650" t="s">
        <v>13</v>
      </c>
      <c r="C4650" s="1">
        <v>46135.091666666667</v>
      </c>
      <c r="D4650" s="1">
        <v>46181.066666666673</v>
      </c>
      <c r="E4650" s="2">
        <f t="shared" si="72"/>
        <v>45.975000000005821</v>
      </c>
    </row>
    <row r="4651" spans="1:5" x14ac:dyDescent="0.25">
      <c r="A4651" t="s">
        <v>5</v>
      </c>
      <c r="B4651" t="s">
        <v>8</v>
      </c>
      <c r="C4651" s="1">
        <v>46128.754166666673</v>
      </c>
      <c r="D4651" s="1">
        <v>46162.866666666669</v>
      </c>
      <c r="E4651" s="2">
        <f t="shared" si="72"/>
        <v>34.112499999995634</v>
      </c>
    </row>
    <row r="4652" spans="1:5" x14ac:dyDescent="0.25">
      <c r="A4652" t="s">
        <v>7</v>
      </c>
      <c r="B4652" t="s">
        <v>8</v>
      </c>
      <c r="C4652" s="1">
        <v>46002.212500000001</v>
      </c>
      <c r="D4652" s="1">
        <v>46047.712500000001</v>
      </c>
      <c r="E4652" s="2">
        <f t="shared" si="72"/>
        <v>45.5</v>
      </c>
    </row>
    <row r="4653" spans="1:5" x14ac:dyDescent="0.25">
      <c r="A4653" t="s">
        <v>7</v>
      </c>
      <c r="B4653" t="s">
        <v>8</v>
      </c>
      <c r="C4653" s="1">
        <v>45940.345833333333</v>
      </c>
      <c r="D4653" s="1">
        <v>45989.166666666657</v>
      </c>
      <c r="E4653" s="2">
        <f t="shared" si="72"/>
        <v>48.820833333324117</v>
      </c>
    </row>
    <row r="4654" spans="1:5" x14ac:dyDescent="0.25">
      <c r="A4654" t="s">
        <v>9</v>
      </c>
      <c r="B4654" t="s">
        <v>8</v>
      </c>
      <c r="C4654" s="1">
        <v>45805.745833333327</v>
      </c>
      <c r="D4654" s="1">
        <v>45847.133333333331</v>
      </c>
      <c r="E4654" s="2">
        <f t="shared" si="72"/>
        <v>41.387500000004366</v>
      </c>
    </row>
    <row r="4655" spans="1:5" x14ac:dyDescent="0.25">
      <c r="A4655" t="s">
        <v>5</v>
      </c>
      <c r="B4655" t="s">
        <v>8</v>
      </c>
      <c r="C4655" s="1">
        <v>45952.57916666667</v>
      </c>
      <c r="D4655" s="1">
        <v>45993.345833333333</v>
      </c>
      <c r="E4655" s="2">
        <f t="shared" si="72"/>
        <v>40.766666666662786</v>
      </c>
    </row>
    <row r="4656" spans="1:5" x14ac:dyDescent="0.25">
      <c r="A4656" t="s">
        <v>5</v>
      </c>
      <c r="B4656" t="s">
        <v>8</v>
      </c>
      <c r="C4656" s="1">
        <v>46128.75</v>
      </c>
      <c r="D4656" s="1">
        <v>46162.866666666669</v>
      </c>
      <c r="E4656" s="2">
        <f t="shared" si="72"/>
        <v>34.116666666668607</v>
      </c>
    </row>
    <row r="4657" spans="1:5" x14ac:dyDescent="0.25">
      <c r="A4657" t="s">
        <v>5</v>
      </c>
      <c r="B4657" t="s">
        <v>8</v>
      </c>
      <c r="C4657" s="1">
        <v>46072.658333333333</v>
      </c>
      <c r="D4657" s="1">
        <v>46107.929166666669</v>
      </c>
      <c r="E4657" s="2">
        <f t="shared" si="72"/>
        <v>35.270833333335759</v>
      </c>
    </row>
    <row r="4658" spans="1:5" x14ac:dyDescent="0.25">
      <c r="A4658" t="s">
        <v>9</v>
      </c>
      <c r="B4658" t="s">
        <v>8</v>
      </c>
      <c r="C4658" s="1">
        <v>45791.5</v>
      </c>
      <c r="D4658" s="1">
        <v>45833.520833333343</v>
      </c>
      <c r="E4658" s="2">
        <f t="shared" si="72"/>
        <v>42.020833333343035</v>
      </c>
    </row>
    <row r="4659" spans="1:5" x14ac:dyDescent="0.25">
      <c r="A4659" t="s">
        <v>5</v>
      </c>
      <c r="B4659" t="s">
        <v>56</v>
      </c>
      <c r="C4659" s="1">
        <v>46093.616666666669</v>
      </c>
      <c r="D4659" s="1">
        <v>46125.1875</v>
      </c>
      <c r="E4659" s="2">
        <f t="shared" si="72"/>
        <v>31.570833333331393</v>
      </c>
    </row>
    <row r="4660" spans="1:5" x14ac:dyDescent="0.25">
      <c r="A4660" t="s">
        <v>5</v>
      </c>
      <c r="B4660" t="s">
        <v>8</v>
      </c>
      <c r="C4660" s="1">
        <v>45945.658333333333</v>
      </c>
      <c r="D4660" s="1">
        <v>45993.345833333333</v>
      </c>
      <c r="E4660" s="2">
        <f t="shared" si="72"/>
        <v>47.6875</v>
      </c>
    </row>
    <row r="4661" spans="1:5" x14ac:dyDescent="0.25">
      <c r="A4661" t="s">
        <v>5</v>
      </c>
      <c r="B4661" t="s">
        <v>8</v>
      </c>
      <c r="C4661" s="1">
        <v>46101.51666666667</v>
      </c>
      <c r="D4661" s="1">
        <v>46146.737500000003</v>
      </c>
      <c r="E4661" s="2">
        <f t="shared" si="72"/>
        <v>45.220833333332848</v>
      </c>
    </row>
    <row r="4662" spans="1:5" x14ac:dyDescent="0.25">
      <c r="A4662" t="s">
        <v>15</v>
      </c>
      <c r="B4662" t="s">
        <v>6</v>
      </c>
      <c r="C4662" s="1">
        <v>46095.802083333343</v>
      </c>
      <c r="D4662" s="1">
        <v>46164.712500000001</v>
      </c>
      <c r="E4662" s="2">
        <f t="shared" si="72"/>
        <v>68.910416666658421</v>
      </c>
    </row>
    <row r="4663" spans="1:5" x14ac:dyDescent="0.25">
      <c r="A4663" t="s">
        <v>15</v>
      </c>
      <c r="B4663" t="s">
        <v>6</v>
      </c>
      <c r="C4663" s="1">
        <v>45894.958333333343</v>
      </c>
      <c r="D4663" s="1">
        <v>45967.804166666669</v>
      </c>
      <c r="E4663" s="2">
        <f t="shared" si="72"/>
        <v>72.845833333325572</v>
      </c>
    </row>
    <row r="4664" spans="1:5" x14ac:dyDescent="0.25">
      <c r="A4664" t="s">
        <v>5</v>
      </c>
      <c r="B4664" t="s">
        <v>8</v>
      </c>
      <c r="C4664" s="1">
        <v>46035.520833333343</v>
      </c>
      <c r="D4664" s="1">
        <v>46073.45416666667</v>
      </c>
      <c r="E4664" s="2">
        <f t="shared" si="72"/>
        <v>37.933333333327028</v>
      </c>
    </row>
    <row r="4665" spans="1:5" x14ac:dyDescent="0.25">
      <c r="A4665" t="s">
        <v>5</v>
      </c>
      <c r="B4665" t="s">
        <v>8</v>
      </c>
      <c r="C4665" s="1">
        <v>46025.436111111107</v>
      </c>
      <c r="D4665" s="1">
        <v>46071.058333333327</v>
      </c>
      <c r="E4665" s="2">
        <f t="shared" si="72"/>
        <v>45.622222222220444</v>
      </c>
    </row>
    <row r="4666" spans="1:5" x14ac:dyDescent="0.25">
      <c r="A4666" t="s">
        <v>7</v>
      </c>
      <c r="B4666" t="s">
        <v>8</v>
      </c>
      <c r="C4666" s="1">
        <v>46002.212500000001</v>
      </c>
      <c r="D4666" s="1">
        <v>46047.712500000001</v>
      </c>
      <c r="E4666" s="2">
        <f t="shared" si="72"/>
        <v>45.5</v>
      </c>
    </row>
    <row r="4667" spans="1:5" x14ac:dyDescent="0.25">
      <c r="A4667" t="s">
        <v>7</v>
      </c>
      <c r="B4667" t="s">
        <v>8</v>
      </c>
      <c r="C4667" s="1">
        <v>45807.791666666657</v>
      </c>
      <c r="D4667" s="1">
        <v>45853.816666666673</v>
      </c>
      <c r="E4667" s="2">
        <f t="shared" si="72"/>
        <v>46.025000000016007</v>
      </c>
    </row>
    <row r="4668" spans="1:5" x14ac:dyDescent="0.25">
      <c r="A4668" t="s">
        <v>5</v>
      </c>
      <c r="B4668" t="s">
        <v>8</v>
      </c>
      <c r="C4668" s="1">
        <v>45998.14166666667</v>
      </c>
      <c r="D4668" s="1">
        <v>46039.5</v>
      </c>
      <c r="E4668" s="2">
        <f t="shared" si="72"/>
        <v>41.358333333329938</v>
      </c>
    </row>
    <row r="4669" spans="1:5" x14ac:dyDescent="0.25">
      <c r="A4669" t="s">
        <v>5</v>
      </c>
      <c r="B4669" t="s">
        <v>8</v>
      </c>
      <c r="C4669" s="1">
        <v>46065.004166666673</v>
      </c>
      <c r="D4669" s="1">
        <v>46099.525000000001</v>
      </c>
      <c r="E4669" s="2">
        <f t="shared" si="72"/>
        <v>34.520833333328483</v>
      </c>
    </row>
    <row r="4670" spans="1:5" x14ac:dyDescent="0.25">
      <c r="A4670" t="s">
        <v>8</v>
      </c>
      <c r="B4670" t="s">
        <v>19</v>
      </c>
      <c r="C4670" s="1">
        <v>46141.833333333343</v>
      </c>
      <c r="D4670" s="1">
        <v>46187.854166666657</v>
      </c>
      <c r="E4670" s="2">
        <f t="shared" si="72"/>
        <v>46.020833333313931</v>
      </c>
    </row>
    <row r="4671" spans="1:5" x14ac:dyDescent="0.25">
      <c r="A4671" t="s">
        <v>7</v>
      </c>
      <c r="B4671" t="s">
        <v>8</v>
      </c>
      <c r="C4671" s="1">
        <v>45882.166666666657</v>
      </c>
      <c r="D4671" s="1">
        <v>45938.662499999999</v>
      </c>
      <c r="E4671" s="2">
        <f t="shared" si="72"/>
        <v>56.495833333341579</v>
      </c>
    </row>
    <row r="4672" spans="1:5" x14ac:dyDescent="0.25">
      <c r="A4672" t="s">
        <v>7</v>
      </c>
      <c r="B4672" t="s">
        <v>8</v>
      </c>
      <c r="C4672" s="1">
        <v>45822.8</v>
      </c>
      <c r="D4672" s="1">
        <v>45875.612500000003</v>
      </c>
      <c r="E4672" s="2">
        <f t="shared" si="72"/>
        <v>52.8125</v>
      </c>
    </row>
    <row r="4673" spans="1:5" x14ac:dyDescent="0.25">
      <c r="A4673" t="s">
        <v>7</v>
      </c>
      <c r="B4673" t="s">
        <v>8</v>
      </c>
      <c r="C4673" s="1">
        <v>45834.537499999999</v>
      </c>
      <c r="D4673" s="1">
        <v>45885.783333333333</v>
      </c>
      <c r="E4673" s="2">
        <f t="shared" si="72"/>
        <v>51.245833333334303</v>
      </c>
    </row>
    <row r="4674" spans="1:5" x14ac:dyDescent="0.25">
      <c r="A4674" t="s">
        <v>7</v>
      </c>
      <c r="B4674" t="s">
        <v>8</v>
      </c>
      <c r="C4674" s="1">
        <v>45785.595833333333</v>
      </c>
      <c r="D4674" s="1">
        <v>45818.416666666657</v>
      </c>
      <c r="E4674" s="2">
        <f t="shared" ref="E4674:E4737" si="73">D4674-C4674</f>
        <v>32.820833333324117</v>
      </c>
    </row>
    <row r="4675" spans="1:5" x14ac:dyDescent="0.25">
      <c r="A4675" t="s">
        <v>7</v>
      </c>
      <c r="B4675" t="s">
        <v>8</v>
      </c>
      <c r="C4675" s="1">
        <v>45875.462500000001</v>
      </c>
      <c r="D4675" s="1">
        <v>45920.2</v>
      </c>
      <c r="E4675" s="2">
        <f t="shared" si="73"/>
        <v>44.737499999995634</v>
      </c>
    </row>
    <row r="4676" spans="1:5" x14ac:dyDescent="0.25">
      <c r="A4676" t="s">
        <v>34</v>
      </c>
      <c r="B4676" t="s">
        <v>8</v>
      </c>
      <c r="C4676" s="1">
        <v>45965.780555555553</v>
      </c>
      <c r="D4676" s="1">
        <v>45995.229166666657</v>
      </c>
      <c r="E4676" s="2">
        <f t="shared" si="73"/>
        <v>29.448611111103673</v>
      </c>
    </row>
    <row r="4677" spans="1:5" x14ac:dyDescent="0.25">
      <c r="A4677" t="s">
        <v>7</v>
      </c>
      <c r="B4677" t="s">
        <v>8</v>
      </c>
      <c r="C4677" s="1">
        <v>45822.8</v>
      </c>
      <c r="D4677" s="1">
        <v>45875.612500000003</v>
      </c>
      <c r="E4677" s="2">
        <f t="shared" si="73"/>
        <v>52.8125</v>
      </c>
    </row>
    <row r="4678" spans="1:5" x14ac:dyDescent="0.25">
      <c r="A4678" t="s">
        <v>9</v>
      </c>
      <c r="B4678" t="s">
        <v>8</v>
      </c>
      <c r="C4678" s="1">
        <v>45823.041666666657</v>
      </c>
      <c r="D4678" s="1">
        <v>45875.612500000003</v>
      </c>
      <c r="E4678" s="2">
        <f t="shared" si="73"/>
        <v>52.570833333345945</v>
      </c>
    </row>
    <row r="4679" spans="1:5" x14ac:dyDescent="0.25">
      <c r="A4679" t="s">
        <v>9</v>
      </c>
      <c r="B4679" t="s">
        <v>11</v>
      </c>
      <c r="C4679" s="1">
        <v>46026.004166666673</v>
      </c>
      <c r="D4679" s="1">
        <v>46126.425000000003</v>
      </c>
      <c r="E4679" s="2">
        <f t="shared" si="73"/>
        <v>100.42083333332994</v>
      </c>
    </row>
    <row r="4680" spans="1:5" x14ac:dyDescent="0.25">
      <c r="A4680" t="s">
        <v>48</v>
      </c>
      <c r="B4680" t="s">
        <v>12</v>
      </c>
      <c r="C4680" s="1">
        <v>45849.958333333343</v>
      </c>
      <c r="D4680" s="1">
        <v>45901.241666666669</v>
      </c>
      <c r="E4680" s="2">
        <f t="shared" si="73"/>
        <v>51.283333333325572</v>
      </c>
    </row>
    <row r="4681" spans="1:5" x14ac:dyDescent="0.25">
      <c r="A4681" t="s">
        <v>15</v>
      </c>
      <c r="B4681" t="s">
        <v>6</v>
      </c>
      <c r="C4681" s="1">
        <v>45886.5</v>
      </c>
      <c r="D4681" s="1">
        <v>45943.01666666667</v>
      </c>
      <c r="E4681" s="2">
        <f t="shared" si="73"/>
        <v>56.516666666670062</v>
      </c>
    </row>
    <row r="4682" spans="1:5" x14ac:dyDescent="0.25">
      <c r="A4682" t="s">
        <v>5</v>
      </c>
      <c r="B4682" t="s">
        <v>56</v>
      </c>
      <c r="C4682" s="1">
        <v>46093.616666666669</v>
      </c>
      <c r="D4682" s="1">
        <v>46125.1875</v>
      </c>
      <c r="E4682" s="2">
        <f t="shared" si="73"/>
        <v>31.570833333331393</v>
      </c>
    </row>
    <row r="4683" spans="1:5" x14ac:dyDescent="0.25">
      <c r="A4683" t="s">
        <v>5</v>
      </c>
      <c r="B4683" t="s">
        <v>8</v>
      </c>
      <c r="C4683" s="1">
        <v>46101.51666666667</v>
      </c>
      <c r="D4683" s="1">
        <v>46146.737500000003</v>
      </c>
      <c r="E4683" s="2">
        <f t="shared" si="73"/>
        <v>45.220833333332848</v>
      </c>
    </row>
    <row r="4684" spans="1:5" x14ac:dyDescent="0.25">
      <c r="A4684" t="s">
        <v>7</v>
      </c>
      <c r="B4684" t="s">
        <v>8</v>
      </c>
      <c r="C4684" s="1">
        <v>45834.537499999999</v>
      </c>
      <c r="D4684" s="1">
        <v>45885.783333333333</v>
      </c>
      <c r="E4684" s="2">
        <f t="shared" si="73"/>
        <v>51.245833333334303</v>
      </c>
    </row>
    <row r="4685" spans="1:5" x14ac:dyDescent="0.25">
      <c r="A4685" t="s">
        <v>15</v>
      </c>
      <c r="B4685" t="s">
        <v>6</v>
      </c>
      <c r="C4685" s="1">
        <v>46049.262499999997</v>
      </c>
      <c r="D4685" s="1">
        <v>46126.666666666657</v>
      </c>
      <c r="E4685" s="2">
        <f t="shared" si="73"/>
        <v>77.404166666659876</v>
      </c>
    </row>
    <row r="4686" spans="1:5" x14ac:dyDescent="0.25">
      <c r="A4686" t="s">
        <v>5</v>
      </c>
      <c r="B4686" t="s">
        <v>8</v>
      </c>
      <c r="C4686" s="1">
        <v>45967.658333333333</v>
      </c>
      <c r="D4686" s="1">
        <v>46003.89166666667</v>
      </c>
      <c r="E4686" s="2">
        <f t="shared" si="73"/>
        <v>36.233333333337214</v>
      </c>
    </row>
    <row r="4687" spans="1:5" x14ac:dyDescent="0.25">
      <c r="A4687" t="s">
        <v>5</v>
      </c>
      <c r="B4687" t="s">
        <v>8</v>
      </c>
      <c r="C4687" s="1">
        <v>46065.004166666673</v>
      </c>
      <c r="D4687" s="1">
        <v>46099.525000000001</v>
      </c>
      <c r="E4687" s="2">
        <f t="shared" si="73"/>
        <v>34.520833333328483</v>
      </c>
    </row>
    <row r="4688" spans="1:5" x14ac:dyDescent="0.25">
      <c r="A4688" t="s">
        <v>22</v>
      </c>
      <c r="B4688" t="s">
        <v>13</v>
      </c>
      <c r="C4688" s="1">
        <v>46217.987500000003</v>
      </c>
      <c r="D4688" s="1">
        <v>46276.3</v>
      </c>
      <c r="E4688" s="2">
        <f t="shared" si="73"/>
        <v>58.3125</v>
      </c>
    </row>
    <row r="4689" spans="1:5" x14ac:dyDescent="0.25">
      <c r="A4689" t="s">
        <v>34</v>
      </c>
      <c r="B4689" t="s">
        <v>8</v>
      </c>
      <c r="C4689" s="1">
        <v>46068.916666666657</v>
      </c>
      <c r="D4689" s="1">
        <v>46105.416666666657</v>
      </c>
      <c r="E4689" s="2">
        <f t="shared" si="73"/>
        <v>36.5</v>
      </c>
    </row>
    <row r="4690" spans="1:5" x14ac:dyDescent="0.25">
      <c r="A4690" t="s">
        <v>7</v>
      </c>
      <c r="B4690" t="s">
        <v>8</v>
      </c>
      <c r="C4690" s="1">
        <v>45931.208333333343</v>
      </c>
      <c r="D4690" s="1">
        <v>45966.508333333331</v>
      </c>
      <c r="E4690" s="2">
        <f t="shared" si="73"/>
        <v>35.299999999988358</v>
      </c>
    </row>
    <row r="4691" spans="1:5" x14ac:dyDescent="0.25">
      <c r="A4691" t="s">
        <v>9</v>
      </c>
      <c r="B4691" t="s">
        <v>8</v>
      </c>
      <c r="C4691" s="1">
        <v>46057.5</v>
      </c>
      <c r="D4691" s="1">
        <v>46090.029166666667</v>
      </c>
      <c r="E4691" s="2">
        <f t="shared" si="73"/>
        <v>32.529166666667152</v>
      </c>
    </row>
    <row r="4692" spans="1:5" x14ac:dyDescent="0.25">
      <c r="A4692" t="s">
        <v>7</v>
      </c>
      <c r="B4692" t="s">
        <v>11</v>
      </c>
      <c r="C4692" s="1">
        <v>46056.737500000003</v>
      </c>
      <c r="D4692" s="1">
        <v>46133.220833333333</v>
      </c>
      <c r="E4692" s="2">
        <f t="shared" si="73"/>
        <v>76.483333333329938</v>
      </c>
    </row>
    <row r="4693" spans="1:5" x14ac:dyDescent="0.25">
      <c r="A4693" t="s">
        <v>9</v>
      </c>
      <c r="B4693" t="s">
        <v>8</v>
      </c>
      <c r="C4693" s="1">
        <v>45791.5</v>
      </c>
      <c r="D4693" s="1">
        <v>45833.520833333343</v>
      </c>
      <c r="E4693" s="2">
        <f t="shared" si="73"/>
        <v>42.020833333343035</v>
      </c>
    </row>
    <row r="4694" spans="1:5" x14ac:dyDescent="0.25">
      <c r="A4694" t="s">
        <v>34</v>
      </c>
      <c r="B4694" t="s">
        <v>8</v>
      </c>
      <c r="C4694" s="1">
        <v>45886.42083333333</v>
      </c>
      <c r="D4694" s="1">
        <v>45912.191666666673</v>
      </c>
      <c r="E4694" s="2">
        <f t="shared" si="73"/>
        <v>25.770833333343035</v>
      </c>
    </row>
    <row r="4695" spans="1:5" x14ac:dyDescent="0.25">
      <c r="A4695" t="s">
        <v>7</v>
      </c>
      <c r="B4695" t="s">
        <v>8</v>
      </c>
      <c r="C4695" s="1">
        <v>45911.604166666657</v>
      </c>
      <c r="D4695" s="1">
        <v>45948.104166666657</v>
      </c>
      <c r="E4695" s="2">
        <f t="shared" si="73"/>
        <v>36.5</v>
      </c>
    </row>
    <row r="4696" spans="1:5" x14ac:dyDescent="0.25">
      <c r="A4696" t="s">
        <v>7</v>
      </c>
      <c r="B4696" t="s">
        <v>8</v>
      </c>
      <c r="C4696" s="1">
        <v>45882.166666666657</v>
      </c>
      <c r="D4696" s="1">
        <v>45938.662499999999</v>
      </c>
      <c r="E4696" s="2">
        <f t="shared" si="73"/>
        <v>56.495833333341579</v>
      </c>
    </row>
    <row r="4697" spans="1:5" x14ac:dyDescent="0.25">
      <c r="A4697" t="s">
        <v>7</v>
      </c>
      <c r="B4697" t="s">
        <v>8</v>
      </c>
      <c r="C4697" s="1">
        <v>45920.587500000001</v>
      </c>
      <c r="D4697" s="1">
        <v>45965.662499999999</v>
      </c>
      <c r="E4697" s="2">
        <f t="shared" si="73"/>
        <v>45.07499999999709</v>
      </c>
    </row>
    <row r="4698" spans="1:5" x14ac:dyDescent="0.25">
      <c r="A4698" t="s">
        <v>5</v>
      </c>
      <c r="B4698" t="s">
        <v>8</v>
      </c>
      <c r="C4698" s="1">
        <v>45958.999305555553</v>
      </c>
      <c r="D4698" s="1">
        <v>45993.345833333333</v>
      </c>
      <c r="E4698" s="2">
        <f t="shared" si="73"/>
        <v>34.346527777779556</v>
      </c>
    </row>
    <row r="4699" spans="1:5" x14ac:dyDescent="0.25">
      <c r="A4699" t="s">
        <v>5</v>
      </c>
      <c r="B4699" t="s">
        <v>8</v>
      </c>
      <c r="C4699" s="1">
        <v>46078.916666666657</v>
      </c>
      <c r="D4699" s="1">
        <v>46113.395833333343</v>
      </c>
      <c r="E4699" s="2">
        <f t="shared" si="73"/>
        <v>34.479166666686069</v>
      </c>
    </row>
    <row r="4700" spans="1:5" x14ac:dyDescent="0.25">
      <c r="A4700" t="s">
        <v>15</v>
      </c>
      <c r="B4700" t="s">
        <v>6</v>
      </c>
      <c r="C4700" s="1">
        <v>45941.125</v>
      </c>
      <c r="D4700" s="1">
        <v>46008.404166666667</v>
      </c>
      <c r="E4700" s="2">
        <f t="shared" si="73"/>
        <v>67.279166666667152</v>
      </c>
    </row>
    <row r="4701" spans="1:5" x14ac:dyDescent="0.25">
      <c r="A4701" t="s">
        <v>5</v>
      </c>
      <c r="B4701" t="s">
        <v>47</v>
      </c>
      <c r="C4701" s="1">
        <v>46101.51666666667</v>
      </c>
      <c r="D4701" s="1">
        <v>46140.229166666657</v>
      </c>
      <c r="E4701" s="2">
        <f t="shared" si="73"/>
        <v>38.712499999986903</v>
      </c>
    </row>
    <row r="4702" spans="1:5" x14ac:dyDescent="0.25">
      <c r="A4702" t="s">
        <v>9</v>
      </c>
      <c r="B4702" t="s">
        <v>11</v>
      </c>
      <c r="C4702" s="1">
        <v>45931.70416666667</v>
      </c>
      <c r="D4702" s="1">
        <v>45992.908333333333</v>
      </c>
      <c r="E4702" s="2">
        <f t="shared" si="73"/>
        <v>61.204166666662786</v>
      </c>
    </row>
    <row r="4703" spans="1:5" x14ac:dyDescent="0.25">
      <c r="A4703" t="s">
        <v>9</v>
      </c>
      <c r="B4703" t="s">
        <v>8</v>
      </c>
      <c r="C4703" s="1">
        <v>46057.465277777781</v>
      </c>
      <c r="D4703" s="1">
        <v>46090.029166666667</v>
      </c>
      <c r="E4703" s="2">
        <f t="shared" si="73"/>
        <v>32.56388888888614</v>
      </c>
    </row>
    <row r="4704" spans="1:5" x14ac:dyDescent="0.25">
      <c r="A4704" t="s">
        <v>5</v>
      </c>
      <c r="B4704" t="s">
        <v>8</v>
      </c>
      <c r="C4704" s="1">
        <v>46049.5</v>
      </c>
      <c r="D4704" s="1">
        <v>46091.345833333333</v>
      </c>
      <c r="E4704" s="2">
        <f t="shared" si="73"/>
        <v>41.845833333332848</v>
      </c>
    </row>
    <row r="4705" spans="1:5" x14ac:dyDescent="0.25">
      <c r="A4705" t="s">
        <v>7</v>
      </c>
      <c r="B4705" t="s">
        <v>8</v>
      </c>
      <c r="C4705" s="1">
        <v>45843.85</v>
      </c>
      <c r="D4705" s="1">
        <v>45910.25</v>
      </c>
      <c r="E4705" s="2">
        <f t="shared" si="73"/>
        <v>66.400000000001455</v>
      </c>
    </row>
    <row r="4706" spans="1:5" x14ac:dyDescent="0.25">
      <c r="A4706" t="s">
        <v>5</v>
      </c>
      <c r="B4706" t="s">
        <v>8</v>
      </c>
      <c r="C4706" s="1">
        <v>45982.8</v>
      </c>
      <c r="D4706" s="1">
        <v>46017.370833333327</v>
      </c>
      <c r="E4706" s="2">
        <f t="shared" si="73"/>
        <v>34.570833333324117</v>
      </c>
    </row>
    <row r="4707" spans="1:5" x14ac:dyDescent="0.25">
      <c r="A4707" t="s">
        <v>34</v>
      </c>
      <c r="B4707" t="s">
        <v>8</v>
      </c>
      <c r="C4707" s="1">
        <v>45940.29583333333</v>
      </c>
      <c r="D4707" s="1">
        <v>45968.025000000001</v>
      </c>
      <c r="E4707" s="2">
        <f t="shared" si="73"/>
        <v>27.729166666671517</v>
      </c>
    </row>
    <row r="4708" spans="1:5" x14ac:dyDescent="0.25">
      <c r="A4708" t="s">
        <v>9</v>
      </c>
      <c r="B4708" t="s">
        <v>8</v>
      </c>
      <c r="C4708" s="1">
        <v>45902.791666666657</v>
      </c>
      <c r="D4708" s="1">
        <v>45938.662499999999</v>
      </c>
      <c r="E4708" s="2">
        <f t="shared" si="73"/>
        <v>35.870833333341579</v>
      </c>
    </row>
    <row r="4709" spans="1:5" x14ac:dyDescent="0.25">
      <c r="A4709" t="s">
        <v>5</v>
      </c>
      <c r="B4709" t="s">
        <v>8</v>
      </c>
      <c r="C4709" s="1">
        <v>46065.004166666673</v>
      </c>
      <c r="D4709" s="1">
        <v>46099.525000000001</v>
      </c>
      <c r="E4709" s="2">
        <f t="shared" si="73"/>
        <v>34.520833333328483</v>
      </c>
    </row>
    <row r="4710" spans="1:5" x14ac:dyDescent="0.25">
      <c r="A4710" t="s">
        <v>22</v>
      </c>
      <c r="B4710" t="s">
        <v>13</v>
      </c>
      <c r="C4710" s="1">
        <v>46217.987500000003</v>
      </c>
      <c r="D4710" s="1">
        <v>46276.3</v>
      </c>
      <c r="E4710" s="2">
        <f t="shared" si="73"/>
        <v>58.3125</v>
      </c>
    </row>
    <row r="4711" spans="1:5" x14ac:dyDescent="0.25">
      <c r="A4711" t="s">
        <v>7</v>
      </c>
      <c r="B4711" t="s">
        <v>8</v>
      </c>
      <c r="C4711" s="1">
        <v>45940.345833333333</v>
      </c>
      <c r="D4711" s="1">
        <v>45989.166666666657</v>
      </c>
      <c r="E4711" s="2">
        <f t="shared" si="73"/>
        <v>48.820833333324117</v>
      </c>
    </row>
    <row r="4712" spans="1:5" x14ac:dyDescent="0.25">
      <c r="A4712" t="s">
        <v>5</v>
      </c>
      <c r="B4712" t="s">
        <v>8</v>
      </c>
      <c r="C4712" s="1">
        <v>46078.916666666657</v>
      </c>
      <c r="D4712" s="1">
        <v>46113.395833333343</v>
      </c>
      <c r="E4712" s="2">
        <f t="shared" si="73"/>
        <v>34.479166666686069</v>
      </c>
    </row>
    <row r="4713" spans="1:5" x14ac:dyDescent="0.25">
      <c r="A4713" t="s">
        <v>5</v>
      </c>
      <c r="B4713" t="s">
        <v>8</v>
      </c>
      <c r="C4713" s="1">
        <v>46065.004166666673</v>
      </c>
      <c r="D4713" s="1">
        <v>46099.525000000001</v>
      </c>
      <c r="E4713" s="2">
        <f t="shared" si="73"/>
        <v>34.520833333328483</v>
      </c>
    </row>
    <row r="4714" spans="1:5" x14ac:dyDescent="0.25">
      <c r="A4714" t="s">
        <v>15</v>
      </c>
      <c r="B4714" t="s">
        <v>6</v>
      </c>
      <c r="C4714" s="1">
        <v>45941.125</v>
      </c>
      <c r="D4714" s="1">
        <v>46008.404166666667</v>
      </c>
      <c r="E4714" s="2">
        <f t="shared" si="73"/>
        <v>67.279166666667152</v>
      </c>
    </row>
    <row r="4715" spans="1:5" x14ac:dyDescent="0.25">
      <c r="A4715" t="s">
        <v>7</v>
      </c>
      <c r="B4715" t="s">
        <v>8</v>
      </c>
      <c r="C4715" s="1">
        <v>45777.64166666667</v>
      </c>
      <c r="D4715" s="1">
        <v>45818.433333333327</v>
      </c>
      <c r="E4715" s="2">
        <f t="shared" si="73"/>
        <v>40.791666666656965</v>
      </c>
    </row>
    <row r="4716" spans="1:5" x14ac:dyDescent="0.25">
      <c r="A4716" t="s">
        <v>34</v>
      </c>
      <c r="B4716" t="s">
        <v>8</v>
      </c>
      <c r="C4716" s="1">
        <v>45890.334027777782</v>
      </c>
      <c r="D4716" s="1">
        <v>45919.252083333333</v>
      </c>
      <c r="E4716" s="2">
        <f t="shared" si="73"/>
        <v>28.918055555550382</v>
      </c>
    </row>
    <row r="4717" spans="1:5" x14ac:dyDescent="0.25">
      <c r="A4717" t="s">
        <v>5</v>
      </c>
      <c r="B4717" t="s">
        <v>8</v>
      </c>
      <c r="C4717" s="1">
        <v>46065.004166666673</v>
      </c>
      <c r="D4717" s="1">
        <v>46099.525000000001</v>
      </c>
      <c r="E4717" s="2">
        <f t="shared" si="73"/>
        <v>34.520833333328483</v>
      </c>
    </row>
    <row r="4718" spans="1:5" x14ac:dyDescent="0.25">
      <c r="A4718" t="s">
        <v>8</v>
      </c>
      <c r="B4718" t="s">
        <v>7</v>
      </c>
      <c r="C4718" s="1">
        <v>45995.354166666657</v>
      </c>
      <c r="D4718" s="1">
        <v>46041.408333333333</v>
      </c>
      <c r="E4718" s="2">
        <f t="shared" si="73"/>
        <v>46.054166666675883</v>
      </c>
    </row>
    <row r="4719" spans="1:5" x14ac:dyDescent="0.25">
      <c r="A4719" t="s">
        <v>5</v>
      </c>
      <c r="B4719" t="s">
        <v>8</v>
      </c>
      <c r="C4719" s="1">
        <v>45945.658333333333</v>
      </c>
      <c r="D4719" s="1">
        <v>45993.345833333333</v>
      </c>
      <c r="E4719" s="2">
        <f t="shared" si="73"/>
        <v>47.6875</v>
      </c>
    </row>
    <row r="4720" spans="1:5" x14ac:dyDescent="0.25">
      <c r="A4720" t="s">
        <v>7</v>
      </c>
      <c r="B4720" t="s">
        <v>8</v>
      </c>
      <c r="C4720" s="1">
        <v>45834.060416666667</v>
      </c>
      <c r="D4720" s="1">
        <v>45885.783333333333</v>
      </c>
      <c r="E4720" s="2">
        <f t="shared" si="73"/>
        <v>51.722916666665697</v>
      </c>
    </row>
    <row r="4721" spans="1:5" x14ac:dyDescent="0.25">
      <c r="A4721" t="s">
        <v>9</v>
      </c>
      <c r="B4721" t="s">
        <v>8</v>
      </c>
      <c r="C4721" s="1">
        <v>45845.087500000001</v>
      </c>
      <c r="D4721" s="1">
        <v>45910.25</v>
      </c>
      <c r="E4721" s="2">
        <f t="shared" si="73"/>
        <v>65.162499999998545</v>
      </c>
    </row>
    <row r="4722" spans="1:5" x14ac:dyDescent="0.25">
      <c r="A4722" t="s">
        <v>5</v>
      </c>
      <c r="B4722" t="s">
        <v>8</v>
      </c>
      <c r="C4722" s="1">
        <v>45982.8</v>
      </c>
      <c r="D4722" s="1">
        <v>46017.370833333327</v>
      </c>
      <c r="E4722" s="2">
        <f t="shared" si="73"/>
        <v>34.570833333324117</v>
      </c>
    </row>
    <row r="4723" spans="1:5" x14ac:dyDescent="0.25">
      <c r="A4723" t="s">
        <v>5</v>
      </c>
      <c r="B4723" t="s">
        <v>8</v>
      </c>
      <c r="C4723" s="1">
        <v>45995.0625</v>
      </c>
      <c r="D4723" s="1">
        <v>46028.791666666657</v>
      </c>
      <c r="E4723" s="2">
        <f t="shared" si="73"/>
        <v>33.729166666656965</v>
      </c>
    </row>
    <row r="4724" spans="1:5" x14ac:dyDescent="0.25">
      <c r="A4724" t="s">
        <v>5</v>
      </c>
      <c r="B4724" t="s">
        <v>8</v>
      </c>
      <c r="C4724" s="1">
        <v>45995.0625</v>
      </c>
      <c r="D4724" s="1">
        <v>46028.791666666657</v>
      </c>
      <c r="E4724" s="2">
        <f t="shared" si="73"/>
        <v>33.729166666656965</v>
      </c>
    </row>
    <row r="4725" spans="1:5" x14ac:dyDescent="0.25">
      <c r="A4725" t="s">
        <v>7</v>
      </c>
      <c r="B4725" t="s">
        <v>8</v>
      </c>
      <c r="C4725" s="1">
        <v>45843.85</v>
      </c>
      <c r="D4725" s="1">
        <v>45910.25</v>
      </c>
      <c r="E4725" s="2">
        <f t="shared" si="73"/>
        <v>66.400000000001455</v>
      </c>
    </row>
    <row r="4726" spans="1:5" x14ac:dyDescent="0.25">
      <c r="A4726" t="s">
        <v>7</v>
      </c>
      <c r="B4726" t="s">
        <v>11</v>
      </c>
      <c r="C4726" s="1">
        <v>46092.262499999997</v>
      </c>
      <c r="D4726" s="1">
        <v>46168.354166666657</v>
      </c>
      <c r="E4726" s="2">
        <f t="shared" si="73"/>
        <v>76.091666666659876</v>
      </c>
    </row>
    <row r="4727" spans="1:5" x14ac:dyDescent="0.25">
      <c r="A4727" t="s">
        <v>7</v>
      </c>
      <c r="B4727" t="s">
        <v>11</v>
      </c>
      <c r="C4727" s="1">
        <v>45777.64166666667</v>
      </c>
      <c r="D4727" s="1">
        <v>45855</v>
      </c>
      <c r="E4727" s="2">
        <f t="shared" si="73"/>
        <v>77.358333333329938</v>
      </c>
    </row>
    <row r="4728" spans="1:5" x14ac:dyDescent="0.25">
      <c r="A4728" t="s">
        <v>7</v>
      </c>
      <c r="B4728" t="s">
        <v>8</v>
      </c>
      <c r="C4728" s="1">
        <v>45847.879166666673</v>
      </c>
      <c r="D4728" s="1">
        <v>45910.25</v>
      </c>
      <c r="E4728" s="2">
        <f t="shared" si="73"/>
        <v>62.370833333327028</v>
      </c>
    </row>
    <row r="4729" spans="1:5" x14ac:dyDescent="0.25">
      <c r="A4729" t="s">
        <v>5</v>
      </c>
      <c r="B4729" t="s">
        <v>47</v>
      </c>
      <c r="C4729" s="1">
        <v>46049.5</v>
      </c>
      <c r="D4729" s="1">
        <v>46079.145833333343</v>
      </c>
      <c r="E4729" s="2">
        <f t="shared" si="73"/>
        <v>29.645833333343035</v>
      </c>
    </row>
    <row r="4730" spans="1:5" x14ac:dyDescent="0.25">
      <c r="A4730" t="s">
        <v>7</v>
      </c>
      <c r="B4730" t="s">
        <v>8</v>
      </c>
      <c r="C4730" s="1">
        <v>45834.537499999999</v>
      </c>
      <c r="D4730" s="1">
        <v>45885.783333333333</v>
      </c>
      <c r="E4730" s="2">
        <f t="shared" si="73"/>
        <v>51.245833333334303</v>
      </c>
    </row>
    <row r="4731" spans="1:5" x14ac:dyDescent="0.25">
      <c r="A4731" t="s">
        <v>7</v>
      </c>
      <c r="B4731" t="s">
        <v>8</v>
      </c>
      <c r="C4731" s="1">
        <v>45847.439583333333</v>
      </c>
      <c r="D4731" s="1">
        <v>45910.25</v>
      </c>
      <c r="E4731" s="2">
        <f t="shared" si="73"/>
        <v>62.810416666667152</v>
      </c>
    </row>
    <row r="4732" spans="1:5" x14ac:dyDescent="0.25">
      <c r="A4732" t="s">
        <v>7</v>
      </c>
      <c r="B4732" t="s">
        <v>8</v>
      </c>
      <c r="C4732" s="1">
        <v>45911.604166666657</v>
      </c>
      <c r="D4732" s="1">
        <v>45948.104166666657</v>
      </c>
      <c r="E4732" s="2">
        <f t="shared" si="73"/>
        <v>36.5</v>
      </c>
    </row>
    <row r="4733" spans="1:5" x14ac:dyDescent="0.25">
      <c r="A4733" t="s">
        <v>7</v>
      </c>
      <c r="B4733" t="s">
        <v>8</v>
      </c>
      <c r="C4733" s="1">
        <v>45777.625</v>
      </c>
      <c r="D4733" s="1">
        <v>45818.416666666657</v>
      </c>
      <c r="E4733" s="2">
        <f t="shared" si="73"/>
        <v>40.791666666656965</v>
      </c>
    </row>
    <row r="4734" spans="1:5" x14ac:dyDescent="0.25">
      <c r="A4734" t="s">
        <v>7</v>
      </c>
      <c r="B4734" t="s">
        <v>8</v>
      </c>
      <c r="C4734" s="1">
        <v>45940.345833333333</v>
      </c>
      <c r="D4734" s="1">
        <v>45989.166666666657</v>
      </c>
      <c r="E4734" s="2">
        <f t="shared" si="73"/>
        <v>48.820833333324117</v>
      </c>
    </row>
    <row r="4735" spans="1:5" x14ac:dyDescent="0.25">
      <c r="A4735" t="s">
        <v>5</v>
      </c>
      <c r="B4735" t="s">
        <v>8</v>
      </c>
      <c r="C4735" s="1">
        <v>46101.51666666667</v>
      </c>
      <c r="D4735" s="1">
        <v>46146.737500000003</v>
      </c>
      <c r="E4735" s="2">
        <f t="shared" si="73"/>
        <v>45.220833333332848</v>
      </c>
    </row>
    <row r="4736" spans="1:5" x14ac:dyDescent="0.25">
      <c r="A4736" t="s">
        <v>35</v>
      </c>
      <c r="B4736" t="s">
        <v>13</v>
      </c>
      <c r="C4736" s="1">
        <v>46135.091666666667</v>
      </c>
      <c r="D4736" s="1">
        <v>46181.066666666673</v>
      </c>
      <c r="E4736" s="2">
        <f t="shared" si="73"/>
        <v>45.975000000005821</v>
      </c>
    </row>
    <row r="4737" spans="1:5" x14ac:dyDescent="0.25">
      <c r="A4737" t="s">
        <v>22</v>
      </c>
      <c r="B4737" t="s">
        <v>13</v>
      </c>
      <c r="C4737" s="1">
        <v>46203.162499999999</v>
      </c>
      <c r="D4737" s="1">
        <v>46263.520833333343</v>
      </c>
      <c r="E4737" s="2">
        <f t="shared" si="73"/>
        <v>60.35833333334449</v>
      </c>
    </row>
    <row r="4738" spans="1:5" x14ac:dyDescent="0.25">
      <c r="A4738" t="s">
        <v>5</v>
      </c>
      <c r="B4738" t="s">
        <v>6</v>
      </c>
      <c r="C4738" s="1">
        <v>45828.991666666669</v>
      </c>
      <c r="D4738" s="1">
        <v>45885.25</v>
      </c>
      <c r="E4738" s="2">
        <f t="shared" ref="E4738:E4801" si="74">D4738-C4738</f>
        <v>56.258333333331393</v>
      </c>
    </row>
    <row r="4739" spans="1:5" x14ac:dyDescent="0.25">
      <c r="A4739" t="s">
        <v>9</v>
      </c>
      <c r="B4739" t="s">
        <v>8</v>
      </c>
      <c r="C4739" s="1">
        <v>46057.5</v>
      </c>
      <c r="D4739" s="1">
        <v>46090.029166666667</v>
      </c>
      <c r="E4739" s="2">
        <f t="shared" si="74"/>
        <v>32.529166666667152</v>
      </c>
    </row>
    <row r="4740" spans="1:5" x14ac:dyDescent="0.25">
      <c r="A4740" t="s">
        <v>5</v>
      </c>
      <c r="B4740" t="s">
        <v>6</v>
      </c>
      <c r="C4740" s="1">
        <v>45896.554166666669</v>
      </c>
      <c r="D4740" s="1">
        <v>45956.945833333331</v>
      </c>
      <c r="E4740" s="2">
        <f t="shared" si="74"/>
        <v>60.391666666662786</v>
      </c>
    </row>
    <row r="4741" spans="1:5" x14ac:dyDescent="0.25">
      <c r="A4741" t="s">
        <v>27</v>
      </c>
      <c r="B4741" t="s">
        <v>33</v>
      </c>
      <c r="C4741" s="1">
        <v>46171.033333333333</v>
      </c>
      <c r="D4741" s="1">
        <v>46223.433333333327</v>
      </c>
      <c r="E4741" s="2">
        <f t="shared" si="74"/>
        <v>52.399999999994179</v>
      </c>
    </row>
    <row r="4742" spans="1:5" x14ac:dyDescent="0.25">
      <c r="A4742" t="s">
        <v>5</v>
      </c>
      <c r="B4742" t="s">
        <v>6</v>
      </c>
      <c r="C4742" s="1">
        <v>45940.39166666667</v>
      </c>
      <c r="D4742" s="1">
        <v>46012.70416666667</v>
      </c>
      <c r="E4742" s="2">
        <f t="shared" si="74"/>
        <v>72.3125</v>
      </c>
    </row>
    <row r="4743" spans="1:5" x14ac:dyDescent="0.25">
      <c r="A4743" t="s">
        <v>9</v>
      </c>
      <c r="B4743" t="s">
        <v>8</v>
      </c>
      <c r="C4743" s="1">
        <v>45998.087500000001</v>
      </c>
      <c r="D4743" s="1">
        <v>46028.791666666657</v>
      </c>
      <c r="E4743" s="2">
        <f t="shared" si="74"/>
        <v>30.70416666665551</v>
      </c>
    </row>
    <row r="4744" spans="1:5" x14ac:dyDescent="0.25">
      <c r="A4744" t="s">
        <v>5</v>
      </c>
      <c r="B4744" t="s">
        <v>6</v>
      </c>
      <c r="C4744" s="1">
        <v>46078.916666666657</v>
      </c>
      <c r="D4744" s="1">
        <v>46126.554166666669</v>
      </c>
      <c r="E4744" s="2">
        <f t="shared" si="74"/>
        <v>47.637500000011642</v>
      </c>
    </row>
    <row r="4745" spans="1:5" x14ac:dyDescent="0.25">
      <c r="A4745" t="s">
        <v>9</v>
      </c>
      <c r="B4745" t="s">
        <v>11</v>
      </c>
      <c r="C4745" s="1">
        <v>46094.183333333327</v>
      </c>
      <c r="D4745" s="1">
        <v>46154.554166666669</v>
      </c>
      <c r="E4745" s="2">
        <f t="shared" si="74"/>
        <v>60.370833333341579</v>
      </c>
    </row>
    <row r="4746" spans="1:5" x14ac:dyDescent="0.25">
      <c r="A4746" t="s">
        <v>15</v>
      </c>
      <c r="B4746" t="s">
        <v>6</v>
      </c>
      <c r="C4746" s="1">
        <v>45810.583333333343</v>
      </c>
      <c r="D4746" s="1">
        <v>45869.125</v>
      </c>
      <c r="E4746" s="2">
        <f t="shared" si="74"/>
        <v>58.541666666656965</v>
      </c>
    </row>
    <row r="4747" spans="1:5" x14ac:dyDescent="0.25">
      <c r="A4747" t="s">
        <v>15</v>
      </c>
      <c r="B4747" t="s">
        <v>6</v>
      </c>
      <c r="C4747" s="1">
        <v>45963.395833333343</v>
      </c>
      <c r="D4747" s="1">
        <v>46019.366666666669</v>
      </c>
      <c r="E4747" s="2">
        <f t="shared" si="74"/>
        <v>55.970833333325572</v>
      </c>
    </row>
    <row r="4748" spans="1:5" x14ac:dyDescent="0.25">
      <c r="A4748" t="s">
        <v>7</v>
      </c>
      <c r="B4748" t="s">
        <v>8</v>
      </c>
      <c r="C4748" s="1">
        <v>45931.208333333343</v>
      </c>
      <c r="D4748" s="1">
        <v>45966.508333333331</v>
      </c>
      <c r="E4748" s="2">
        <f t="shared" si="74"/>
        <v>35.299999999988358</v>
      </c>
    </row>
    <row r="4749" spans="1:5" x14ac:dyDescent="0.25">
      <c r="A4749" t="s">
        <v>5</v>
      </c>
      <c r="B4749" t="s">
        <v>8</v>
      </c>
      <c r="C4749" s="1">
        <v>45967.658333333333</v>
      </c>
      <c r="D4749" s="1">
        <v>46003.89166666667</v>
      </c>
      <c r="E4749" s="2">
        <f t="shared" si="74"/>
        <v>36.233333333337214</v>
      </c>
    </row>
    <row r="4750" spans="1:5" x14ac:dyDescent="0.25">
      <c r="A4750" t="s">
        <v>9</v>
      </c>
      <c r="B4750" t="s">
        <v>11</v>
      </c>
      <c r="C4750" s="1">
        <v>45829.5</v>
      </c>
      <c r="D4750" s="1">
        <v>45887.554166666669</v>
      </c>
      <c r="E4750" s="2">
        <f t="shared" si="74"/>
        <v>58.054166666668607</v>
      </c>
    </row>
    <row r="4751" spans="1:5" x14ac:dyDescent="0.25">
      <c r="A4751" t="s">
        <v>7</v>
      </c>
      <c r="B4751" t="s">
        <v>8</v>
      </c>
      <c r="C4751" s="1">
        <v>45834.537499999999</v>
      </c>
      <c r="D4751" s="1">
        <v>45885.783333333333</v>
      </c>
      <c r="E4751" s="2">
        <f t="shared" si="74"/>
        <v>51.245833333334303</v>
      </c>
    </row>
    <row r="4752" spans="1:5" x14ac:dyDescent="0.25">
      <c r="A4752" t="s">
        <v>7</v>
      </c>
      <c r="B4752" t="s">
        <v>8</v>
      </c>
      <c r="C4752" s="1">
        <v>45792.854166666657</v>
      </c>
      <c r="D4752" s="1">
        <v>45839.3125</v>
      </c>
      <c r="E4752" s="2">
        <f t="shared" si="74"/>
        <v>46.458333333343035</v>
      </c>
    </row>
    <row r="4753" spans="1:5" x14ac:dyDescent="0.25">
      <c r="A4753" t="s">
        <v>22</v>
      </c>
      <c r="B4753" t="s">
        <v>52</v>
      </c>
      <c r="C4753" s="1">
        <v>46188.895833333343</v>
      </c>
      <c r="D4753" s="1">
        <v>46238.279166666667</v>
      </c>
      <c r="E4753" s="2">
        <f t="shared" si="74"/>
        <v>49.383333333324117</v>
      </c>
    </row>
    <row r="4754" spans="1:5" x14ac:dyDescent="0.25">
      <c r="A4754" t="s">
        <v>7</v>
      </c>
      <c r="B4754" t="s">
        <v>11</v>
      </c>
      <c r="C4754" s="1">
        <v>46022.679166666669</v>
      </c>
      <c r="D4754" s="1">
        <v>46097.9375</v>
      </c>
      <c r="E4754" s="2">
        <f t="shared" si="74"/>
        <v>75.258333333331393</v>
      </c>
    </row>
    <row r="4755" spans="1:5" x14ac:dyDescent="0.25">
      <c r="A4755" t="s">
        <v>7</v>
      </c>
      <c r="B4755" t="s">
        <v>8</v>
      </c>
      <c r="C4755" s="1">
        <v>45903.083333333343</v>
      </c>
      <c r="D4755" s="1">
        <v>45938.662499999999</v>
      </c>
      <c r="E4755" s="2">
        <f t="shared" si="74"/>
        <v>35.57916666665551</v>
      </c>
    </row>
    <row r="4756" spans="1:5" x14ac:dyDescent="0.25">
      <c r="A4756" t="s">
        <v>5</v>
      </c>
      <c r="B4756" t="s">
        <v>8</v>
      </c>
      <c r="C4756" s="1">
        <v>46049.5</v>
      </c>
      <c r="D4756" s="1">
        <v>46091.345833333333</v>
      </c>
      <c r="E4756" s="2">
        <f t="shared" si="74"/>
        <v>41.845833333332848</v>
      </c>
    </row>
    <row r="4757" spans="1:5" x14ac:dyDescent="0.25">
      <c r="A4757" t="s">
        <v>48</v>
      </c>
      <c r="B4757" t="s">
        <v>12</v>
      </c>
      <c r="C4757" s="1">
        <v>46049.85833333333</v>
      </c>
      <c r="D4757" s="1">
        <v>46111.395833333343</v>
      </c>
      <c r="E4757" s="2">
        <f t="shared" si="74"/>
        <v>61.537500000013097</v>
      </c>
    </row>
    <row r="4758" spans="1:5" x14ac:dyDescent="0.25">
      <c r="A4758" t="s">
        <v>34</v>
      </c>
      <c r="B4758" t="s">
        <v>21</v>
      </c>
      <c r="C4758" s="1">
        <v>46043.701388888891</v>
      </c>
      <c r="D4758" s="1">
        <v>46054.917361111111</v>
      </c>
      <c r="E4758" s="2">
        <f t="shared" si="74"/>
        <v>11.215972222220444</v>
      </c>
    </row>
    <row r="4759" spans="1:5" x14ac:dyDescent="0.25">
      <c r="A4759" t="s">
        <v>35</v>
      </c>
      <c r="B4759" t="s">
        <v>13</v>
      </c>
      <c r="C4759" s="1">
        <v>46157.470833333333</v>
      </c>
      <c r="D4759" s="1">
        <v>46198.9375</v>
      </c>
      <c r="E4759" s="2">
        <f t="shared" si="74"/>
        <v>41.466666666667152</v>
      </c>
    </row>
    <row r="4760" spans="1:5" x14ac:dyDescent="0.25">
      <c r="A4760" t="s">
        <v>35</v>
      </c>
      <c r="B4760" t="s">
        <v>13</v>
      </c>
      <c r="C4760" s="1">
        <v>46143</v>
      </c>
      <c r="D4760" s="1">
        <v>46185.354166666657</v>
      </c>
      <c r="E4760" s="2">
        <f t="shared" si="74"/>
        <v>42.354166666656965</v>
      </c>
    </row>
    <row r="4761" spans="1:5" x14ac:dyDescent="0.25">
      <c r="A4761" t="s">
        <v>15</v>
      </c>
      <c r="B4761" t="s">
        <v>6</v>
      </c>
      <c r="C4761" s="1">
        <v>46072.0625</v>
      </c>
      <c r="D4761" s="1">
        <v>46140.525000000001</v>
      </c>
      <c r="E4761" s="2">
        <f t="shared" si="74"/>
        <v>68.462500000001455</v>
      </c>
    </row>
    <row r="4762" spans="1:5" x14ac:dyDescent="0.25">
      <c r="A4762" t="s">
        <v>9</v>
      </c>
      <c r="B4762" t="s">
        <v>8</v>
      </c>
      <c r="C4762" s="1">
        <v>45889.375</v>
      </c>
      <c r="D4762" s="1">
        <v>45938.662499999999</v>
      </c>
      <c r="E4762" s="2">
        <f t="shared" si="74"/>
        <v>49.287499999998545</v>
      </c>
    </row>
    <row r="4763" spans="1:5" x14ac:dyDescent="0.25">
      <c r="A4763" t="s">
        <v>7</v>
      </c>
      <c r="B4763" t="s">
        <v>8</v>
      </c>
      <c r="C4763" s="1">
        <v>45808.775000000001</v>
      </c>
      <c r="D4763" s="1">
        <v>45853.816666666673</v>
      </c>
      <c r="E4763" s="2">
        <f t="shared" si="74"/>
        <v>45.041666666671517</v>
      </c>
    </row>
    <row r="4764" spans="1:5" x14ac:dyDescent="0.25">
      <c r="A4764" t="s">
        <v>5</v>
      </c>
      <c r="B4764" t="s">
        <v>8</v>
      </c>
      <c r="C4764" s="1">
        <v>46035.520833333343</v>
      </c>
      <c r="D4764" s="1">
        <v>46073.45416666667</v>
      </c>
      <c r="E4764" s="2">
        <f t="shared" si="74"/>
        <v>37.933333333327028</v>
      </c>
    </row>
    <row r="4765" spans="1:5" x14ac:dyDescent="0.25">
      <c r="A4765" t="s">
        <v>35</v>
      </c>
      <c r="B4765" t="s">
        <v>13</v>
      </c>
      <c r="C4765" s="1">
        <v>46121.841666666667</v>
      </c>
      <c r="D4765" s="1">
        <v>46162.541666666657</v>
      </c>
      <c r="E4765" s="2">
        <f t="shared" si="74"/>
        <v>40.699999999989814</v>
      </c>
    </row>
    <row r="4766" spans="1:5" x14ac:dyDescent="0.25">
      <c r="A4766" t="s">
        <v>7</v>
      </c>
      <c r="B4766" t="s">
        <v>8</v>
      </c>
      <c r="C4766" s="1">
        <v>45792.854166666657</v>
      </c>
      <c r="D4766" s="1">
        <v>45839.3125</v>
      </c>
      <c r="E4766" s="2">
        <f t="shared" si="74"/>
        <v>46.458333333343035</v>
      </c>
    </row>
    <row r="4767" spans="1:5" x14ac:dyDescent="0.25">
      <c r="A4767" t="s">
        <v>7</v>
      </c>
      <c r="B4767" t="s">
        <v>8</v>
      </c>
      <c r="C4767" s="1">
        <v>45843.85</v>
      </c>
      <c r="D4767" s="1">
        <v>45910.25</v>
      </c>
      <c r="E4767" s="2">
        <f t="shared" si="74"/>
        <v>66.400000000001455</v>
      </c>
    </row>
    <row r="4768" spans="1:5" x14ac:dyDescent="0.25">
      <c r="A4768" t="s">
        <v>7</v>
      </c>
      <c r="B4768" t="s">
        <v>11</v>
      </c>
      <c r="C4768" s="1">
        <v>45871.199999999997</v>
      </c>
      <c r="D4768" s="1">
        <v>45951.404166666667</v>
      </c>
      <c r="E4768" s="2">
        <f t="shared" si="74"/>
        <v>80.204166666670062</v>
      </c>
    </row>
    <row r="4769" spans="1:5" x14ac:dyDescent="0.25">
      <c r="A4769" t="s">
        <v>5</v>
      </c>
      <c r="B4769" t="s">
        <v>8</v>
      </c>
      <c r="C4769" s="1">
        <v>45945.658333333333</v>
      </c>
      <c r="D4769" s="1">
        <v>45993.345833333333</v>
      </c>
      <c r="E4769" s="2">
        <f t="shared" si="74"/>
        <v>47.6875</v>
      </c>
    </row>
    <row r="4770" spans="1:5" x14ac:dyDescent="0.25">
      <c r="A4770" t="s">
        <v>7</v>
      </c>
      <c r="B4770" t="s">
        <v>8</v>
      </c>
      <c r="C4770" s="1">
        <v>46002.212500000001</v>
      </c>
      <c r="D4770" s="1">
        <v>46047.712500000001</v>
      </c>
      <c r="E4770" s="2">
        <f t="shared" si="74"/>
        <v>45.5</v>
      </c>
    </row>
    <row r="4771" spans="1:5" x14ac:dyDescent="0.25">
      <c r="A4771" t="s">
        <v>7</v>
      </c>
      <c r="B4771" t="s">
        <v>8</v>
      </c>
      <c r="C4771" s="1">
        <v>45903.083333333343</v>
      </c>
      <c r="D4771" s="1">
        <v>45938.662499999999</v>
      </c>
      <c r="E4771" s="2">
        <f t="shared" si="74"/>
        <v>35.57916666665551</v>
      </c>
    </row>
    <row r="4772" spans="1:5" x14ac:dyDescent="0.25">
      <c r="A4772" t="s">
        <v>5</v>
      </c>
      <c r="B4772" t="s">
        <v>8</v>
      </c>
      <c r="C4772" s="1">
        <v>46113.60833333333</v>
      </c>
      <c r="D4772" s="1">
        <v>46155.262499999997</v>
      </c>
      <c r="E4772" s="2">
        <f t="shared" si="74"/>
        <v>41.654166666667152</v>
      </c>
    </row>
    <row r="4773" spans="1:5" x14ac:dyDescent="0.25">
      <c r="A4773" t="s">
        <v>15</v>
      </c>
      <c r="B4773" t="s">
        <v>6</v>
      </c>
      <c r="C4773" s="1">
        <v>45894.958333333343</v>
      </c>
      <c r="D4773" s="1">
        <v>45967.804166666669</v>
      </c>
      <c r="E4773" s="2">
        <f t="shared" si="74"/>
        <v>72.845833333325572</v>
      </c>
    </row>
    <row r="4774" spans="1:5" x14ac:dyDescent="0.25">
      <c r="A4774" t="s">
        <v>5</v>
      </c>
      <c r="B4774" t="s">
        <v>8</v>
      </c>
      <c r="C4774" s="1">
        <v>46072.658333333333</v>
      </c>
      <c r="D4774" s="1">
        <v>46107.929166666669</v>
      </c>
      <c r="E4774" s="2">
        <f t="shared" si="74"/>
        <v>35.270833333335759</v>
      </c>
    </row>
    <row r="4775" spans="1:5" x14ac:dyDescent="0.25">
      <c r="A4775" t="s">
        <v>7</v>
      </c>
      <c r="B4775" t="s">
        <v>8</v>
      </c>
      <c r="C4775" s="1">
        <v>45931.208333333343</v>
      </c>
      <c r="D4775" s="1">
        <v>45966.508333333331</v>
      </c>
      <c r="E4775" s="2">
        <f t="shared" si="74"/>
        <v>35.299999999988358</v>
      </c>
    </row>
    <row r="4776" spans="1:5" x14ac:dyDescent="0.25">
      <c r="A4776" t="s">
        <v>22</v>
      </c>
      <c r="B4776" t="s">
        <v>13</v>
      </c>
      <c r="C4776" s="1">
        <v>46211.020833333343</v>
      </c>
      <c r="D4776" s="1">
        <v>46263.520833333343</v>
      </c>
      <c r="E4776" s="2">
        <f t="shared" si="74"/>
        <v>52.5</v>
      </c>
    </row>
    <row r="4777" spans="1:5" x14ac:dyDescent="0.25">
      <c r="A4777" t="s">
        <v>22</v>
      </c>
      <c r="B4777" t="s">
        <v>52</v>
      </c>
      <c r="C4777" s="1">
        <v>46168.120833333327</v>
      </c>
      <c r="D4777" s="1">
        <v>46217.004166666673</v>
      </c>
      <c r="E4777" s="2">
        <f t="shared" si="74"/>
        <v>48.883333333345945</v>
      </c>
    </row>
    <row r="4778" spans="1:5" x14ac:dyDescent="0.25">
      <c r="A4778" t="s">
        <v>5</v>
      </c>
      <c r="B4778" t="s">
        <v>8</v>
      </c>
      <c r="C4778" s="1">
        <v>45945.658333333333</v>
      </c>
      <c r="D4778" s="1">
        <v>45993.345833333333</v>
      </c>
      <c r="E4778" s="2">
        <f t="shared" si="74"/>
        <v>47.6875</v>
      </c>
    </row>
    <row r="4779" spans="1:5" x14ac:dyDescent="0.25">
      <c r="A4779" t="s">
        <v>5</v>
      </c>
      <c r="B4779" t="s">
        <v>8</v>
      </c>
      <c r="C4779" s="1">
        <v>46093.616666666669</v>
      </c>
      <c r="D4779" s="1">
        <v>46141.354166666657</v>
      </c>
      <c r="E4779" s="2">
        <f t="shared" si="74"/>
        <v>47.737499999988358</v>
      </c>
    </row>
    <row r="4780" spans="1:5" x14ac:dyDescent="0.25">
      <c r="A4780" t="s">
        <v>5</v>
      </c>
      <c r="B4780" t="s">
        <v>8</v>
      </c>
      <c r="C4780" s="1">
        <v>46028.258333333331</v>
      </c>
      <c r="D4780" s="1">
        <v>46071.058333333327</v>
      </c>
      <c r="E4780" s="2">
        <f t="shared" si="74"/>
        <v>42.799999999995634</v>
      </c>
    </row>
    <row r="4781" spans="1:5" x14ac:dyDescent="0.25">
      <c r="A4781" t="s">
        <v>5</v>
      </c>
      <c r="B4781" t="s">
        <v>8</v>
      </c>
      <c r="C4781" s="1">
        <v>46028.258333333331</v>
      </c>
      <c r="D4781" s="1">
        <v>46071.058333333327</v>
      </c>
      <c r="E4781" s="2">
        <f t="shared" si="74"/>
        <v>42.799999999995634</v>
      </c>
    </row>
    <row r="4782" spans="1:5" x14ac:dyDescent="0.25">
      <c r="A4782" t="s">
        <v>7</v>
      </c>
      <c r="B4782" t="s">
        <v>11</v>
      </c>
      <c r="C4782" s="1">
        <v>46029.683333333327</v>
      </c>
      <c r="D4782" s="1">
        <v>46097.9375</v>
      </c>
      <c r="E4782" s="2">
        <f t="shared" si="74"/>
        <v>68.254166666672972</v>
      </c>
    </row>
    <row r="4783" spans="1:5" x14ac:dyDescent="0.25">
      <c r="A4783" t="s">
        <v>22</v>
      </c>
      <c r="B4783" t="s">
        <v>52</v>
      </c>
      <c r="C4783" s="1">
        <v>46179.6875</v>
      </c>
      <c r="D4783" s="1">
        <v>46231.833333333343</v>
      </c>
      <c r="E4783" s="2">
        <f t="shared" si="74"/>
        <v>52.145833333343035</v>
      </c>
    </row>
    <row r="4784" spans="1:5" x14ac:dyDescent="0.25">
      <c r="A4784" t="s">
        <v>35</v>
      </c>
      <c r="B4784" t="s">
        <v>13</v>
      </c>
      <c r="C4784" s="1">
        <v>46121.841666666667</v>
      </c>
      <c r="D4784" s="1">
        <v>46162.541666666657</v>
      </c>
      <c r="E4784" s="2">
        <f t="shared" si="74"/>
        <v>40.699999999989814</v>
      </c>
    </row>
    <row r="4785" spans="1:5" x14ac:dyDescent="0.25">
      <c r="A4785" t="s">
        <v>5</v>
      </c>
      <c r="B4785" t="s">
        <v>8</v>
      </c>
      <c r="C4785" s="1">
        <v>46035.520833333343</v>
      </c>
      <c r="D4785" s="1">
        <v>46073.45416666667</v>
      </c>
      <c r="E4785" s="2">
        <f t="shared" si="74"/>
        <v>37.933333333327028</v>
      </c>
    </row>
    <row r="4786" spans="1:5" x14ac:dyDescent="0.25">
      <c r="A4786" t="s">
        <v>7</v>
      </c>
      <c r="B4786" t="s">
        <v>8</v>
      </c>
      <c r="C4786" s="1">
        <v>45891.654166666667</v>
      </c>
      <c r="D4786" s="1">
        <v>45938.662499999999</v>
      </c>
      <c r="E4786" s="2">
        <f t="shared" si="74"/>
        <v>47.008333333331393</v>
      </c>
    </row>
    <row r="4787" spans="1:5" x14ac:dyDescent="0.25">
      <c r="A4787" t="s">
        <v>7</v>
      </c>
      <c r="B4787" t="s">
        <v>8</v>
      </c>
      <c r="C4787" s="1">
        <v>45903.083333333343</v>
      </c>
      <c r="D4787" s="1">
        <v>45938.662499999999</v>
      </c>
      <c r="E4787" s="2">
        <f t="shared" si="74"/>
        <v>35.57916666665551</v>
      </c>
    </row>
    <row r="4788" spans="1:5" x14ac:dyDescent="0.25">
      <c r="A4788" t="s">
        <v>7</v>
      </c>
      <c r="B4788" t="s">
        <v>11</v>
      </c>
      <c r="C4788" s="1">
        <v>46042.912499999999</v>
      </c>
      <c r="D4788" s="1">
        <v>46112.7</v>
      </c>
      <c r="E4788" s="2">
        <f t="shared" si="74"/>
        <v>69.787499999998545</v>
      </c>
    </row>
    <row r="4789" spans="1:5" x14ac:dyDescent="0.25">
      <c r="A4789" t="s">
        <v>5</v>
      </c>
      <c r="B4789" t="s">
        <v>8</v>
      </c>
      <c r="C4789" s="1">
        <v>46072.658333333333</v>
      </c>
      <c r="D4789" s="1">
        <v>46107.929166666669</v>
      </c>
      <c r="E4789" s="2">
        <f t="shared" si="74"/>
        <v>35.270833333335759</v>
      </c>
    </row>
    <row r="4790" spans="1:5" x14ac:dyDescent="0.25">
      <c r="A4790" t="s">
        <v>7</v>
      </c>
      <c r="B4790" t="s">
        <v>11</v>
      </c>
      <c r="C4790" s="1">
        <v>45836.792361111111</v>
      </c>
      <c r="D4790" s="1">
        <v>45909.995833333327</v>
      </c>
      <c r="E4790" s="2">
        <f t="shared" si="74"/>
        <v>73.203472222216078</v>
      </c>
    </row>
    <row r="4791" spans="1:5" x14ac:dyDescent="0.25">
      <c r="A4791" t="s">
        <v>5</v>
      </c>
      <c r="B4791" t="s">
        <v>8</v>
      </c>
      <c r="C4791" s="1">
        <v>46137.216666666667</v>
      </c>
      <c r="D4791" s="1">
        <v>46188.845833333333</v>
      </c>
      <c r="E4791" s="2">
        <f t="shared" si="74"/>
        <v>51.629166666665697</v>
      </c>
    </row>
    <row r="4792" spans="1:5" x14ac:dyDescent="0.25">
      <c r="A4792" t="s">
        <v>5</v>
      </c>
      <c r="B4792" t="s">
        <v>8</v>
      </c>
      <c r="C4792" s="1">
        <v>46101.51666666667</v>
      </c>
      <c r="D4792" s="1">
        <v>46146.737500000003</v>
      </c>
      <c r="E4792" s="2">
        <f t="shared" si="74"/>
        <v>45.220833333332848</v>
      </c>
    </row>
    <row r="4793" spans="1:5" x14ac:dyDescent="0.25">
      <c r="A4793" t="s">
        <v>5</v>
      </c>
      <c r="B4793" t="s">
        <v>8</v>
      </c>
      <c r="C4793" s="1">
        <v>45967.658333333333</v>
      </c>
      <c r="D4793" s="1">
        <v>46003.89166666667</v>
      </c>
      <c r="E4793" s="2">
        <f t="shared" si="74"/>
        <v>36.233333333337214</v>
      </c>
    </row>
    <row r="4794" spans="1:5" x14ac:dyDescent="0.25">
      <c r="A4794" t="s">
        <v>5</v>
      </c>
      <c r="B4794" t="s">
        <v>8</v>
      </c>
      <c r="C4794" s="1">
        <v>45952.57916666667</v>
      </c>
      <c r="D4794" s="1">
        <v>45993.345833333333</v>
      </c>
      <c r="E4794" s="2">
        <f t="shared" si="74"/>
        <v>40.766666666662786</v>
      </c>
    </row>
    <row r="4795" spans="1:5" x14ac:dyDescent="0.25">
      <c r="A4795" t="s">
        <v>5</v>
      </c>
      <c r="B4795" t="s">
        <v>8</v>
      </c>
      <c r="C4795" s="1">
        <v>46093.616666666669</v>
      </c>
      <c r="D4795" s="1">
        <v>46141.354166666657</v>
      </c>
      <c r="E4795" s="2">
        <f t="shared" si="74"/>
        <v>47.737499999988358</v>
      </c>
    </row>
    <row r="4796" spans="1:5" x14ac:dyDescent="0.25">
      <c r="A4796" t="s">
        <v>5</v>
      </c>
      <c r="B4796" t="s">
        <v>8</v>
      </c>
      <c r="C4796" s="1">
        <v>45952.046527777777</v>
      </c>
      <c r="D4796" s="1">
        <v>45993.345833333333</v>
      </c>
      <c r="E4796" s="2">
        <f t="shared" si="74"/>
        <v>41.299305555556202</v>
      </c>
    </row>
    <row r="4797" spans="1:5" x14ac:dyDescent="0.25">
      <c r="A4797" t="s">
        <v>7</v>
      </c>
      <c r="B4797" t="s">
        <v>8</v>
      </c>
      <c r="C4797" s="1">
        <v>45891.699305555558</v>
      </c>
      <c r="D4797" s="1">
        <v>45938.662499999999</v>
      </c>
      <c r="E4797" s="2">
        <f t="shared" si="74"/>
        <v>46.963194444440887</v>
      </c>
    </row>
    <row r="4798" spans="1:5" x14ac:dyDescent="0.25">
      <c r="A4798" t="s">
        <v>5</v>
      </c>
      <c r="B4798" t="s">
        <v>8</v>
      </c>
      <c r="C4798" s="1">
        <v>46061.879166666673</v>
      </c>
      <c r="D4798" s="1">
        <v>46112.529166666667</v>
      </c>
      <c r="E4798" s="2">
        <f t="shared" si="74"/>
        <v>50.649999999994179</v>
      </c>
    </row>
    <row r="4799" spans="1:5" x14ac:dyDescent="0.25">
      <c r="A4799" t="s">
        <v>5</v>
      </c>
      <c r="B4799" t="s">
        <v>8</v>
      </c>
      <c r="C4799" s="1">
        <v>45995.0625</v>
      </c>
      <c r="D4799" s="1">
        <v>46028.791666666657</v>
      </c>
      <c r="E4799" s="2">
        <f t="shared" si="74"/>
        <v>33.729166666656965</v>
      </c>
    </row>
    <row r="4800" spans="1:5" x14ac:dyDescent="0.25">
      <c r="A4800" t="s">
        <v>7</v>
      </c>
      <c r="B4800" t="s">
        <v>8</v>
      </c>
      <c r="C4800" s="1">
        <v>45834.537499999999</v>
      </c>
      <c r="D4800" s="1">
        <v>45885.783333333333</v>
      </c>
      <c r="E4800" s="2">
        <f t="shared" si="74"/>
        <v>51.245833333334303</v>
      </c>
    </row>
    <row r="4801" spans="1:5" x14ac:dyDescent="0.25">
      <c r="A4801" t="s">
        <v>5</v>
      </c>
      <c r="B4801" t="s">
        <v>8</v>
      </c>
      <c r="C4801" s="1">
        <v>45998.14166666667</v>
      </c>
      <c r="D4801" s="1">
        <v>46039.5</v>
      </c>
      <c r="E4801" s="2">
        <f t="shared" si="74"/>
        <v>41.358333333329938</v>
      </c>
    </row>
    <row r="4802" spans="1:5" x14ac:dyDescent="0.25">
      <c r="A4802" t="s">
        <v>5</v>
      </c>
      <c r="B4802" t="s">
        <v>8</v>
      </c>
      <c r="C4802" s="1">
        <v>45982.8</v>
      </c>
      <c r="D4802" s="1">
        <v>46017.370833333327</v>
      </c>
      <c r="E4802" s="2">
        <f t="shared" ref="E4802:E4865" si="75">D4802-C4802</f>
        <v>34.570833333324117</v>
      </c>
    </row>
    <row r="4803" spans="1:5" x14ac:dyDescent="0.25">
      <c r="A4803" t="s">
        <v>5</v>
      </c>
      <c r="B4803" t="s">
        <v>8</v>
      </c>
      <c r="C4803" s="1">
        <v>46115.291666666657</v>
      </c>
      <c r="D4803" s="1">
        <v>46188.845833333333</v>
      </c>
      <c r="E4803" s="2">
        <f t="shared" si="75"/>
        <v>73.554166666675883</v>
      </c>
    </row>
    <row r="4804" spans="1:5" x14ac:dyDescent="0.25">
      <c r="A4804" t="s">
        <v>34</v>
      </c>
      <c r="B4804" t="s">
        <v>8</v>
      </c>
      <c r="C4804" s="1">
        <v>45912.212500000001</v>
      </c>
      <c r="D4804" s="1">
        <v>45940.095833333333</v>
      </c>
      <c r="E4804" s="2">
        <f t="shared" si="75"/>
        <v>27.883333333331393</v>
      </c>
    </row>
    <row r="4805" spans="1:5" x14ac:dyDescent="0.25">
      <c r="A4805" t="s">
        <v>34</v>
      </c>
      <c r="B4805" t="s">
        <v>8</v>
      </c>
      <c r="C4805" s="1">
        <v>45850.99722222222</v>
      </c>
      <c r="D4805" s="1">
        <v>45886.074999999997</v>
      </c>
      <c r="E4805" s="2">
        <f t="shared" si="75"/>
        <v>35.077777777776646</v>
      </c>
    </row>
    <row r="4806" spans="1:5" x14ac:dyDescent="0.25">
      <c r="A4806" t="s">
        <v>7</v>
      </c>
      <c r="B4806" t="s">
        <v>8</v>
      </c>
      <c r="C4806" s="1">
        <v>45792.875</v>
      </c>
      <c r="D4806" s="1">
        <v>45839.333333333343</v>
      </c>
      <c r="E4806" s="2">
        <f t="shared" si="75"/>
        <v>46.458333333343035</v>
      </c>
    </row>
    <row r="4807" spans="1:5" x14ac:dyDescent="0.25">
      <c r="A4807" t="s">
        <v>9</v>
      </c>
      <c r="B4807" t="s">
        <v>11</v>
      </c>
      <c r="C4807" s="1">
        <v>46026.004166666673</v>
      </c>
      <c r="D4807" s="1">
        <v>46126.425000000003</v>
      </c>
      <c r="E4807" s="2">
        <f t="shared" si="75"/>
        <v>100.42083333332994</v>
      </c>
    </row>
    <row r="4808" spans="1:5" x14ac:dyDescent="0.25">
      <c r="A4808" t="s">
        <v>15</v>
      </c>
      <c r="B4808" t="s">
        <v>6</v>
      </c>
      <c r="C4808" s="1">
        <v>45838.17083333333</v>
      </c>
      <c r="D4808" s="1">
        <v>45902.633333333331</v>
      </c>
      <c r="E4808" s="2">
        <f t="shared" si="75"/>
        <v>64.462500000001455</v>
      </c>
    </row>
    <row r="4809" spans="1:5" x14ac:dyDescent="0.25">
      <c r="A4809" t="s">
        <v>7</v>
      </c>
      <c r="B4809" t="s">
        <v>8</v>
      </c>
      <c r="C4809" s="1">
        <v>45834.537499999999</v>
      </c>
      <c r="D4809" s="1">
        <v>45885.783333333333</v>
      </c>
      <c r="E4809" s="2">
        <f t="shared" si="75"/>
        <v>51.245833333334303</v>
      </c>
    </row>
    <row r="4810" spans="1:5" x14ac:dyDescent="0.25">
      <c r="A4810" t="s">
        <v>22</v>
      </c>
      <c r="B4810" t="s">
        <v>52</v>
      </c>
      <c r="C4810" s="1">
        <v>46168.120833333327</v>
      </c>
      <c r="D4810" s="1">
        <v>46217.004166666673</v>
      </c>
      <c r="E4810" s="2">
        <f t="shared" si="75"/>
        <v>48.883333333345945</v>
      </c>
    </row>
    <row r="4811" spans="1:5" x14ac:dyDescent="0.25">
      <c r="A4811" t="s">
        <v>22</v>
      </c>
      <c r="B4811" t="s">
        <v>13</v>
      </c>
      <c r="C4811" s="1">
        <v>46209.154166666667</v>
      </c>
      <c r="D4811" s="1">
        <v>46263.520833333343</v>
      </c>
      <c r="E4811" s="2">
        <f t="shared" si="75"/>
        <v>54.366666666675883</v>
      </c>
    </row>
    <row r="4812" spans="1:5" x14ac:dyDescent="0.25">
      <c r="A4812" t="s">
        <v>5</v>
      </c>
      <c r="B4812" t="s">
        <v>8</v>
      </c>
      <c r="C4812" s="1">
        <v>46093.625</v>
      </c>
      <c r="D4812" s="1">
        <v>46141.354166666657</v>
      </c>
      <c r="E4812" s="2">
        <f t="shared" si="75"/>
        <v>47.729166666656965</v>
      </c>
    </row>
    <row r="4813" spans="1:5" x14ac:dyDescent="0.25">
      <c r="A4813" t="s">
        <v>5</v>
      </c>
      <c r="B4813" t="s">
        <v>8</v>
      </c>
      <c r="C4813" s="1">
        <v>45982.8</v>
      </c>
      <c r="D4813" s="1">
        <v>46017.370833333327</v>
      </c>
      <c r="E4813" s="2">
        <f t="shared" si="75"/>
        <v>34.570833333324117</v>
      </c>
    </row>
    <row r="4814" spans="1:5" x14ac:dyDescent="0.25">
      <c r="A4814" t="s">
        <v>7</v>
      </c>
      <c r="B4814" t="s">
        <v>8</v>
      </c>
      <c r="C4814" s="1">
        <v>46002.212500000001</v>
      </c>
      <c r="D4814" s="1">
        <v>46047.712500000001</v>
      </c>
      <c r="E4814" s="2">
        <f t="shared" si="75"/>
        <v>45.5</v>
      </c>
    </row>
    <row r="4815" spans="1:5" x14ac:dyDescent="0.25">
      <c r="A4815" t="s">
        <v>5</v>
      </c>
      <c r="B4815" t="s">
        <v>8</v>
      </c>
      <c r="C4815" s="1">
        <v>46101.51666666667</v>
      </c>
      <c r="D4815" s="1">
        <v>46146.737500000003</v>
      </c>
      <c r="E4815" s="2">
        <f t="shared" si="75"/>
        <v>45.220833333332848</v>
      </c>
    </row>
    <row r="4816" spans="1:5" x14ac:dyDescent="0.25">
      <c r="A4816" t="s">
        <v>15</v>
      </c>
      <c r="B4816" t="s">
        <v>13</v>
      </c>
      <c r="C4816" s="1">
        <v>46113.662499999999</v>
      </c>
      <c r="D4816" s="1">
        <v>46159.270833333343</v>
      </c>
      <c r="E4816" s="2">
        <f t="shared" si="75"/>
        <v>45.60833333334449</v>
      </c>
    </row>
    <row r="4817" spans="1:5" x14ac:dyDescent="0.25">
      <c r="A4817" t="s">
        <v>5</v>
      </c>
      <c r="B4817" t="s">
        <v>8</v>
      </c>
      <c r="C4817" s="1">
        <v>46115.291666666657</v>
      </c>
      <c r="D4817" s="1">
        <v>46188.845833333333</v>
      </c>
      <c r="E4817" s="2">
        <f t="shared" si="75"/>
        <v>73.554166666675883</v>
      </c>
    </row>
    <row r="4818" spans="1:5" x14ac:dyDescent="0.25">
      <c r="A4818" t="s">
        <v>7</v>
      </c>
      <c r="B4818" t="s">
        <v>11</v>
      </c>
      <c r="C4818" s="1">
        <v>45981.033333333333</v>
      </c>
      <c r="D4818" s="1">
        <v>46070.337500000001</v>
      </c>
      <c r="E4818" s="2">
        <f t="shared" si="75"/>
        <v>89.304166666668607</v>
      </c>
    </row>
    <row r="4819" spans="1:5" x14ac:dyDescent="0.25">
      <c r="A4819" t="s">
        <v>22</v>
      </c>
      <c r="B4819" t="s">
        <v>13</v>
      </c>
      <c r="C4819" s="1">
        <v>46217.987500000003</v>
      </c>
      <c r="D4819" s="1">
        <v>46276.3</v>
      </c>
      <c r="E4819" s="2">
        <f t="shared" si="75"/>
        <v>58.3125</v>
      </c>
    </row>
    <row r="4820" spans="1:5" x14ac:dyDescent="0.25">
      <c r="A4820" t="s">
        <v>22</v>
      </c>
      <c r="B4820" t="s">
        <v>13</v>
      </c>
      <c r="C4820" s="1">
        <v>46209.154166666667</v>
      </c>
      <c r="D4820" s="1">
        <v>46263.520833333343</v>
      </c>
      <c r="E4820" s="2">
        <f t="shared" si="75"/>
        <v>54.366666666675883</v>
      </c>
    </row>
    <row r="4821" spans="1:5" x14ac:dyDescent="0.25">
      <c r="A4821" t="s">
        <v>7</v>
      </c>
      <c r="B4821" t="s">
        <v>8</v>
      </c>
      <c r="C4821" s="1">
        <v>45843.85</v>
      </c>
      <c r="D4821" s="1">
        <v>45910.25</v>
      </c>
      <c r="E4821" s="2">
        <f t="shared" si="75"/>
        <v>66.400000000001455</v>
      </c>
    </row>
    <row r="4822" spans="1:5" x14ac:dyDescent="0.25">
      <c r="A4822" t="s">
        <v>7</v>
      </c>
      <c r="B4822" t="s">
        <v>8</v>
      </c>
      <c r="C4822" s="1">
        <v>45843.85</v>
      </c>
      <c r="D4822" s="1">
        <v>45910.25</v>
      </c>
      <c r="E4822" s="2">
        <f t="shared" si="75"/>
        <v>66.400000000001455</v>
      </c>
    </row>
    <row r="4823" spans="1:5" x14ac:dyDescent="0.25">
      <c r="A4823" t="s">
        <v>34</v>
      </c>
      <c r="B4823" t="s">
        <v>8</v>
      </c>
      <c r="C4823" s="1">
        <v>46062.625</v>
      </c>
      <c r="D4823" s="1">
        <v>46093.5</v>
      </c>
      <c r="E4823" s="2">
        <f t="shared" si="75"/>
        <v>30.875</v>
      </c>
    </row>
    <row r="4824" spans="1:5" x14ac:dyDescent="0.25">
      <c r="A4824" t="s">
        <v>7</v>
      </c>
      <c r="B4824" t="s">
        <v>8</v>
      </c>
      <c r="C4824" s="1">
        <v>45940.345833333333</v>
      </c>
      <c r="D4824" s="1">
        <v>45989.166666666657</v>
      </c>
      <c r="E4824" s="2">
        <f t="shared" si="75"/>
        <v>48.820833333324117</v>
      </c>
    </row>
    <row r="4825" spans="1:5" x14ac:dyDescent="0.25">
      <c r="A4825" t="s">
        <v>7</v>
      </c>
      <c r="B4825" t="s">
        <v>8</v>
      </c>
      <c r="C4825" s="1">
        <v>45843.85</v>
      </c>
      <c r="D4825" s="1">
        <v>45910.25</v>
      </c>
      <c r="E4825" s="2">
        <f t="shared" si="75"/>
        <v>66.400000000001455</v>
      </c>
    </row>
    <row r="4826" spans="1:5" x14ac:dyDescent="0.25">
      <c r="A4826" t="s">
        <v>7</v>
      </c>
      <c r="B4826" t="s">
        <v>8</v>
      </c>
      <c r="C4826" s="1">
        <v>45822.8</v>
      </c>
      <c r="D4826" s="1">
        <v>45875.612500000003</v>
      </c>
      <c r="E4826" s="2">
        <f t="shared" si="75"/>
        <v>52.8125</v>
      </c>
    </row>
    <row r="4827" spans="1:5" x14ac:dyDescent="0.25">
      <c r="A4827" t="s">
        <v>5</v>
      </c>
      <c r="B4827" t="s">
        <v>8</v>
      </c>
      <c r="C4827" s="1">
        <v>46113.60833333333</v>
      </c>
      <c r="D4827" s="1">
        <v>46155.262499999997</v>
      </c>
      <c r="E4827" s="2">
        <f t="shared" si="75"/>
        <v>41.654166666667152</v>
      </c>
    </row>
    <row r="4828" spans="1:5" x14ac:dyDescent="0.25">
      <c r="A4828" t="s">
        <v>22</v>
      </c>
      <c r="B4828" t="s">
        <v>13</v>
      </c>
      <c r="C4828" s="1">
        <v>46209.154166666667</v>
      </c>
      <c r="D4828" s="1">
        <v>46263.520833333343</v>
      </c>
      <c r="E4828" s="2">
        <f t="shared" si="75"/>
        <v>54.366666666675883</v>
      </c>
    </row>
    <row r="4829" spans="1:5" x14ac:dyDescent="0.25">
      <c r="A4829" t="s">
        <v>7</v>
      </c>
      <c r="B4829" t="s">
        <v>8</v>
      </c>
      <c r="C4829" s="1">
        <v>45800.645833333343</v>
      </c>
      <c r="D4829" s="1">
        <v>45839.333333333343</v>
      </c>
      <c r="E4829" s="2">
        <f t="shared" si="75"/>
        <v>38.6875</v>
      </c>
    </row>
    <row r="4830" spans="1:5" x14ac:dyDescent="0.25">
      <c r="A4830" t="s">
        <v>7</v>
      </c>
      <c r="B4830" t="s">
        <v>8</v>
      </c>
      <c r="C4830" s="1">
        <v>45834.537499999999</v>
      </c>
      <c r="D4830" s="1">
        <v>45885.783333333333</v>
      </c>
      <c r="E4830" s="2">
        <f t="shared" si="75"/>
        <v>51.245833333334303</v>
      </c>
    </row>
    <row r="4831" spans="1:5" x14ac:dyDescent="0.25">
      <c r="A4831" t="s">
        <v>5</v>
      </c>
      <c r="B4831" t="s">
        <v>8</v>
      </c>
      <c r="C4831" s="1">
        <v>46049.5</v>
      </c>
      <c r="D4831" s="1">
        <v>46091.345833333333</v>
      </c>
      <c r="E4831" s="2">
        <f t="shared" si="75"/>
        <v>41.845833333332848</v>
      </c>
    </row>
    <row r="4832" spans="1:5" x14ac:dyDescent="0.25">
      <c r="A4832" t="s">
        <v>11</v>
      </c>
      <c r="B4832" t="s">
        <v>21</v>
      </c>
      <c r="C4832" s="1">
        <v>46137.077939814822</v>
      </c>
      <c r="D4832" s="1">
        <v>46148.493055555547</v>
      </c>
      <c r="E4832" s="2">
        <f t="shared" si="75"/>
        <v>11.415115740725014</v>
      </c>
    </row>
    <row r="4833" spans="1:5" x14ac:dyDescent="0.25">
      <c r="A4833" t="s">
        <v>11</v>
      </c>
      <c r="B4833" t="s">
        <v>21</v>
      </c>
      <c r="C4833" s="1">
        <v>46137.077939814822</v>
      </c>
      <c r="D4833" s="1">
        <v>46148.493055555547</v>
      </c>
      <c r="E4833" s="2">
        <f t="shared" si="75"/>
        <v>11.415115740725014</v>
      </c>
    </row>
    <row r="4834" spans="1:5" x14ac:dyDescent="0.25">
      <c r="A4834" t="s">
        <v>10</v>
      </c>
      <c r="B4834" t="s">
        <v>11</v>
      </c>
      <c r="C4834" s="1">
        <v>45884.25</v>
      </c>
      <c r="D4834" s="1">
        <v>45918.07916666667</v>
      </c>
      <c r="E4834" s="2">
        <f t="shared" si="75"/>
        <v>33.829166666670062</v>
      </c>
    </row>
    <row r="4835" spans="1:5" x14ac:dyDescent="0.25">
      <c r="A4835" t="s">
        <v>19</v>
      </c>
      <c r="B4835" t="s">
        <v>8</v>
      </c>
      <c r="C4835" s="1">
        <v>46200.736250000002</v>
      </c>
      <c r="D4835" s="1">
        <v>46229.818055555559</v>
      </c>
      <c r="E4835" s="2">
        <f t="shared" si="75"/>
        <v>29.081805555557366</v>
      </c>
    </row>
    <row r="4836" spans="1:5" x14ac:dyDescent="0.25">
      <c r="A4836" t="s">
        <v>35</v>
      </c>
      <c r="B4836" t="s">
        <v>19</v>
      </c>
      <c r="C4836" s="1">
        <v>45887.762499999997</v>
      </c>
      <c r="D4836" s="1">
        <v>45925.678472222222</v>
      </c>
      <c r="E4836" s="2">
        <f t="shared" si="75"/>
        <v>37.915972222224809</v>
      </c>
    </row>
    <row r="4837" spans="1:5" x14ac:dyDescent="0.25">
      <c r="A4837" t="s">
        <v>35</v>
      </c>
      <c r="B4837" t="s">
        <v>19</v>
      </c>
      <c r="C4837" s="1">
        <v>45887.762499999997</v>
      </c>
      <c r="D4837" s="1">
        <v>45925.678472222222</v>
      </c>
      <c r="E4837" s="2">
        <f t="shared" si="75"/>
        <v>37.915972222224809</v>
      </c>
    </row>
    <row r="4838" spans="1:5" x14ac:dyDescent="0.25">
      <c r="A4838" t="s">
        <v>35</v>
      </c>
      <c r="B4838" t="s">
        <v>19</v>
      </c>
      <c r="C4838" s="1">
        <v>45919.958333333343</v>
      </c>
      <c r="D4838" s="1">
        <v>45961.691666666673</v>
      </c>
      <c r="E4838" s="2">
        <f t="shared" si="75"/>
        <v>41.733333333329938</v>
      </c>
    </row>
    <row r="4839" spans="1:5" x14ac:dyDescent="0.25">
      <c r="A4839" t="s">
        <v>42</v>
      </c>
      <c r="B4839" t="s">
        <v>19</v>
      </c>
      <c r="C4839" s="1">
        <v>45898.708819444437</v>
      </c>
      <c r="D4839" s="1">
        <v>45938.542361111111</v>
      </c>
      <c r="E4839" s="2">
        <f t="shared" si="75"/>
        <v>39.833541666674137</v>
      </c>
    </row>
    <row r="4840" spans="1:5" x14ac:dyDescent="0.25">
      <c r="A4840" t="s">
        <v>10</v>
      </c>
      <c r="B4840" t="s">
        <v>11</v>
      </c>
      <c r="C4840" s="1">
        <v>45891.133333333331</v>
      </c>
      <c r="D4840" s="1">
        <v>45924.945833333331</v>
      </c>
      <c r="E4840" s="2">
        <f t="shared" si="75"/>
        <v>33.8125</v>
      </c>
    </row>
    <row r="4841" spans="1:5" x14ac:dyDescent="0.25">
      <c r="A4841" t="s">
        <v>15</v>
      </c>
      <c r="B4841" t="s">
        <v>13</v>
      </c>
      <c r="C4841" s="1">
        <v>46030.845138888893</v>
      </c>
      <c r="D4841" s="1">
        <v>46077.734027777777</v>
      </c>
      <c r="E4841" s="2">
        <f t="shared" si="75"/>
        <v>46.88888888888323</v>
      </c>
    </row>
    <row r="4842" spans="1:5" x14ac:dyDescent="0.25">
      <c r="A4842" t="s">
        <v>11</v>
      </c>
      <c r="B4842" t="s">
        <v>64</v>
      </c>
      <c r="C4842" s="1">
        <v>45809.324999999997</v>
      </c>
      <c r="D4842" s="1">
        <v>45823.629166666673</v>
      </c>
      <c r="E4842" s="2">
        <f t="shared" si="75"/>
        <v>14.304166666675883</v>
      </c>
    </row>
    <row r="4843" spans="1:5" x14ac:dyDescent="0.25">
      <c r="A4843" t="s">
        <v>8</v>
      </c>
      <c r="B4843" t="s">
        <v>6</v>
      </c>
      <c r="C4843" s="1">
        <v>45979.114583333343</v>
      </c>
      <c r="D4843" s="1">
        <v>46046.510416666657</v>
      </c>
      <c r="E4843" s="2">
        <f t="shared" si="75"/>
        <v>67.395833333313931</v>
      </c>
    </row>
    <row r="4844" spans="1:5" x14ac:dyDescent="0.25">
      <c r="A4844" t="s">
        <v>41</v>
      </c>
      <c r="B4844" t="s">
        <v>8</v>
      </c>
      <c r="C4844" s="1">
        <v>46201.175694444442</v>
      </c>
      <c r="D4844" s="1">
        <v>46237.043749999997</v>
      </c>
      <c r="E4844" s="2">
        <f t="shared" si="75"/>
        <v>35.868055555554747</v>
      </c>
    </row>
    <row r="4845" spans="1:5" x14ac:dyDescent="0.25">
      <c r="A4845" t="s">
        <v>23</v>
      </c>
      <c r="B4845" t="s">
        <v>30</v>
      </c>
      <c r="C4845" s="1">
        <v>45908.715277777781</v>
      </c>
      <c r="D4845" s="1">
        <v>45947.677083333343</v>
      </c>
      <c r="E4845" s="2">
        <f t="shared" si="75"/>
        <v>38.961805555562023</v>
      </c>
    </row>
    <row r="4846" spans="1:5" x14ac:dyDescent="0.25">
      <c r="A4846" t="s">
        <v>23</v>
      </c>
      <c r="B4846" t="s">
        <v>12</v>
      </c>
      <c r="C4846" s="1">
        <v>46097.924305555563</v>
      </c>
      <c r="D4846" s="1">
        <v>46111.496527777781</v>
      </c>
      <c r="E4846" s="2">
        <f t="shared" si="75"/>
        <v>13.572222222217533</v>
      </c>
    </row>
    <row r="4847" spans="1:5" x14ac:dyDescent="0.25">
      <c r="A4847" t="s">
        <v>22</v>
      </c>
      <c r="B4847" t="s">
        <v>14</v>
      </c>
      <c r="C4847" s="1">
        <v>46141.989583333343</v>
      </c>
      <c r="D4847" s="1">
        <v>46198.788888888892</v>
      </c>
      <c r="E4847" s="2">
        <f t="shared" si="75"/>
        <v>56.799305555548926</v>
      </c>
    </row>
    <row r="4848" spans="1:5" x14ac:dyDescent="0.25">
      <c r="A4848" t="s">
        <v>5</v>
      </c>
      <c r="B4848" t="s">
        <v>43</v>
      </c>
      <c r="C4848" s="1">
        <v>46141.753472222219</v>
      </c>
      <c r="D4848" s="1">
        <v>46186.017361111109</v>
      </c>
      <c r="E4848" s="2">
        <f t="shared" si="75"/>
        <v>44.263888888890506</v>
      </c>
    </row>
    <row r="4849" spans="1:5" x14ac:dyDescent="0.25">
      <c r="A4849" t="s">
        <v>28</v>
      </c>
      <c r="B4849" t="s">
        <v>12</v>
      </c>
      <c r="C4849" s="1">
        <v>46138.647222222222</v>
      </c>
      <c r="D4849" s="1">
        <v>46142.201388888891</v>
      </c>
      <c r="E4849" s="2">
        <f t="shared" si="75"/>
        <v>3.5541666666686069</v>
      </c>
    </row>
    <row r="4850" spans="1:5" x14ac:dyDescent="0.25">
      <c r="A4850" t="s">
        <v>22</v>
      </c>
      <c r="B4850" t="s">
        <v>36</v>
      </c>
      <c r="C4850" s="1">
        <v>46051.090277777781</v>
      </c>
      <c r="D4850" s="1">
        <v>46102.793749999997</v>
      </c>
      <c r="E4850" s="2">
        <f t="shared" si="75"/>
        <v>51.703472222216078</v>
      </c>
    </row>
    <row r="4851" spans="1:5" x14ac:dyDescent="0.25">
      <c r="A4851" t="s">
        <v>5</v>
      </c>
      <c r="B4851" t="s">
        <v>8</v>
      </c>
      <c r="C4851" s="1">
        <v>46236.188888888893</v>
      </c>
      <c r="D4851" s="1">
        <v>46278.113888888889</v>
      </c>
      <c r="E4851" s="2">
        <f t="shared" si="75"/>
        <v>41.924999999995634</v>
      </c>
    </row>
    <row r="4852" spans="1:5" x14ac:dyDescent="0.25">
      <c r="A4852" t="s">
        <v>22</v>
      </c>
      <c r="B4852" t="s">
        <v>14</v>
      </c>
      <c r="C4852" s="1">
        <v>45689.680555555547</v>
      </c>
      <c r="D4852" s="1">
        <v>45749.805555555547</v>
      </c>
      <c r="E4852" s="2">
        <f t="shared" si="75"/>
        <v>60.125</v>
      </c>
    </row>
    <row r="4853" spans="1:5" x14ac:dyDescent="0.25">
      <c r="A4853" t="s">
        <v>12</v>
      </c>
      <c r="B4853" t="s">
        <v>8</v>
      </c>
      <c r="C4853" s="1">
        <v>46213.254861111112</v>
      </c>
      <c r="D4853" s="1">
        <v>46268.117361111108</v>
      </c>
      <c r="E4853" s="2">
        <f t="shared" si="75"/>
        <v>54.862499999995634</v>
      </c>
    </row>
    <row r="4854" spans="1:5" x14ac:dyDescent="0.25">
      <c r="A4854" t="s">
        <v>28</v>
      </c>
      <c r="B4854" t="s">
        <v>30</v>
      </c>
      <c r="C4854" s="1">
        <v>45812.419444444437</v>
      </c>
      <c r="D4854" s="1">
        <v>45858.3125</v>
      </c>
      <c r="E4854" s="2">
        <f t="shared" si="75"/>
        <v>45.893055555563478</v>
      </c>
    </row>
    <row r="4855" spans="1:5" x14ac:dyDescent="0.25">
      <c r="A4855" t="s">
        <v>5</v>
      </c>
      <c r="B4855" t="s">
        <v>43</v>
      </c>
      <c r="C4855" s="1">
        <v>45867.104861111111</v>
      </c>
      <c r="D4855" s="1">
        <v>45911.326388888891</v>
      </c>
      <c r="E4855" s="2">
        <f t="shared" si="75"/>
        <v>44.221527777779556</v>
      </c>
    </row>
    <row r="4856" spans="1:5" x14ac:dyDescent="0.25">
      <c r="A4856" t="s">
        <v>41</v>
      </c>
      <c r="B4856" t="s">
        <v>43</v>
      </c>
      <c r="C4856" s="1">
        <v>46083.074305555558</v>
      </c>
      <c r="D4856" s="1">
        <v>46121.409722222219</v>
      </c>
      <c r="E4856" s="2">
        <f t="shared" si="75"/>
        <v>38.335416666661331</v>
      </c>
    </row>
    <row r="4857" spans="1:5" x14ac:dyDescent="0.25">
      <c r="A4857" t="s">
        <v>15</v>
      </c>
      <c r="B4857" t="s">
        <v>18</v>
      </c>
      <c r="C4857" s="1">
        <v>46041.055555555547</v>
      </c>
      <c r="D4857" s="1">
        <v>46091.170138888891</v>
      </c>
      <c r="E4857" s="2">
        <f t="shared" si="75"/>
        <v>50.114583333343035</v>
      </c>
    </row>
    <row r="4858" spans="1:5" x14ac:dyDescent="0.25">
      <c r="A4858" t="s">
        <v>15</v>
      </c>
      <c r="B4858" t="s">
        <v>18</v>
      </c>
      <c r="C4858" s="1">
        <v>46012.566666666673</v>
      </c>
      <c r="D4858" s="1">
        <v>46067.065972222219</v>
      </c>
      <c r="E4858" s="2">
        <f t="shared" si="75"/>
        <v>54.499305555546016</v>
      </c>
    </row>
    <row r="4859" spans="1:5" x14ac:dyDescent="0.25">
      <c r="A4859" t="s">
        <v>22</v>
      </c>
      <c r="B4859" t="s">
        <v>14</v>
      </c>
      <c r="C4859" s="1">
        <v>45672.211805555547</v>
      </c>
      <c r="D4859" s="1">
        <v>45742.000694444447</v>
      </c>
      <c r="E4859" s="2">
        <f t="shared" si="75"/>
        <v>69.788888888899237</v>
      </c>
    </row>
    <row r="4860" spans="1:5" x14ac:dyDescent="0.25">
      <c r="A4860" t="s">
        <v>28</v>
      </c>
      <c r="B4860" t="s">
        <v>30</v>
      </c>
      <c r="C4860" s="1">
        <v>45840.704861111109</v>
      </c>
      <c r="D4860" s="1">
        <v>45898.408333333333</v>
      </c>
      <c r="E4860" s="2">
        <f t="shared" si="75"/>
        <v>57.703472222223354</v>
      </c>
    </row>
    <row r="4861" spans="1:5" x14ac:dyDescent="0.25">
      <c r="A4861" t="s">
        <v>23</v>
      </c>
      <c r="B4861" t="s">
        <v>30</v>
      </c>
      <c r="C4861" s="1">
        <v>45897.603472222218</v>
      </c>
      <c r="D4861" s="1">
        <v>45940.215277777781</v>
      </c>
      <c r="E4861" s="2">
        <f t="shared" si="75"/>
        <v>42.611805555563478</v>
      </c>
    </row>
    <row r="4862" spans="1:5" x14ac:dyDescent="0.25">
      <c r="A4862" t="s">
        <v>22</v>
      </c>
      <c r="B4862" t="s">
        <v>51</v>
      </c>
      <c r="C4862" s="1">
        <v>45708.375</v>
      </c>
      <c r="D4862" s="1">
        <v>45784.277777777781</v>
      </c>
      <c r="E4862" s="2">
        <f t="shared" si="75"/>
        <v>75.902777777781012</v>
      </c>
    </row>
    <row r="4863" spans="1:5" x14ac:dyDescent="0.25">
      <c r="A4863" t="s">
        <v>41</v>
      </c>
      <c r="B4863" t="s">
        <v>8</v>
      </c>
      <c r="C4863" s="1">
        <v>46217.678472222222</v>
      </c>
      <c r="D4863" s="1">
        <v>46267.742361111108</v>
      </c>
      <c r="E4863" s="2">
        <f t="shared" si="75"/>
        <v>50.06388888888614</v>
      </c>
    </row>
    <row r="4864" spans="1:5" x14ac:dyDescent="0.25">
      <c r="A4864" t="s">
        <v>5</v>
      </c>
      <c r="B4864" t="s">
        <v>8</v>
      </c>
      <c r="C4864" s="1">
        <v>46236.188888888893</v>
      </c>
      <c r="D4864" s="1">
        <v>46278.113888888889</v>
      </c>
      <c r="E4864" s="2">
        <f t="shared" si="75"/>
        <v>41.924999999995634</v>
      </c>
    </row>
    <row r="4865" spans="1:5" x14ac:dyDescent="0.25">
      <c r="A4865" t="s">
        <v>23</v>
      </c>
      <c r="B4865" t="s">
        <v>12</v>
      </c>
      <c r="C4865" s="1">
        <v>46130.055555555547</v>
      </c>
      <c r="D4865" s="1">
        <v>46140.782638888893</v>
      </c>
      <c r="E4865" s="2">
        <f t="shared" si="75"/>
        <v>10.727083333345945</v>
      </c>
    </row>
    <row r="4866" spans="1:5" x14ac:dyDescent="0.25">
      <c r="A4866" t="s">
        <v>22</v>
      </c>
      <c r="B4866" t="s">
        <v>14</v>
      </c>
      <c r="C4866" s="1">
        <v>45702.159722222219</v>
      </c>
      <c r="D4866" s="1">
        <v>45756.791666666657</v>
      </c>
      <c r="E4866" s="2">
        <f t="shared" ref="E4866:E4929" si="76">D4866-C4866</f>
        <v>54.631944444437977</v>
      </c>
    </row>
    <row r="4867" spans="1:5" x14ac:dyDescent="0.25">
      <c r="A4867" t="s">
        <v>23</v>
      </c>
      <c r="B4867" t="s">
        <v>12</v>
      </c>
      <c r="C4867" s="1">
        <v>45981.856944444437</v>
      </c>
      <c r="D4867" s="1">
        <v>45994.013888888891</v>
      </c>
      <c r="E4867" s="2">
        <f t="shared" si="76"/>
        <v>12.156944444453984</v>
      </c>
    </row>
    <row r="4868" spans="1:5" x14ac:dyDescent="0.25">
      <c r="A4868" t="s">
        <v>41</v>
      </c>
      <c r="B4868" t="s">
        <v>8</v>
      </c>
      <c r="C4868" s="1">
        <v>46201.175694444442</v>
      </c>
      <c r="D4868" s="1">
        <v>46237.043749999997</v>
      </c>
      <c r="E4868" s="2">
        <f t="shared" si="76"/>
        <v>35.868055555554747</v>
      </c>
    </row>
    <row r="4869" spans="1:5" x14ac:dyDescent="0.25">
      <c r="A4869" t="s">
        <v>22</v>
      </c>
      <c r="B4869" t="s">
        <v>14</v>
      </c>
      <c r="C4869" s="1">
        <v>45702.159722222219</v>
      </c>
      <c r="D4869" s="1">
        <v>45756.791666666657</v>
      </c>
      <c r="E4869" s="2">
        <f t="shared" si="76"/>
        <v>54.631944444437977</v>
      </c>
    </row>
    <row r="4870" spans="1:5" x14ac:dyDescent="0.25">
      <c r="A4870" t="s">
        <v>22</v>
      </c>
      <c r="B4870" t="s">
        <v>14</v>
      </c>
      <c r="C4870" s="1">
        <v>45723.222222222219</v>
      </c>
      <c r="D4870" s="1">
        <v>45781.121527777781</v>
      </c>
      <c r="E4870" s="2">
        <f t="shared" si="76"/>
        <v>57.899305555562023</v>
      </c>
    </row>
    <row r="4871" spans="1:5" x14ac:dyDescent="0.25">
      <c r="A4871" t="s">
        <v>15</v>
      </c>
      <c r="B4871" t="s">
        <v>16</v>
      </c>
      <c r="C4871" s="1">
        <v>46237.079861111109</v>
      </c>
      <c r="D4871" s="1">
        <v>46260.729166666657</v>
      </c>
      <c r="E4871" s="2">
        <f t="shared" si="76"/>
        <v>23.649305555547471</v>
      </c>
    </row>
    <row r="4872" spans="1:5" x14ac:dyDescent="0.25">
      <c r="A4872" t="s">
        <v>15</v>
      </c>
      <c r="B4872" t="s">
        <v>16</v>
      </c>
      <c r="C4872" s="1">
        <v>46224.649305555547</v>
      </c>
      <c r="D4872" s="1">
        <v>46246.352083333331</v>
      </c>
      <c r="E4872" s="2">
        <f t="shared" si="76"/>
        <v>21.702777777783922</v>
      </c>
    </row>
    <row r="4873" spans="1:5" x14ac:dyDescent="0.25">
      <c r="A4873" t="s">
        <v>15</v>
      </c>
      <c r="B4873" t="s">
        <v>8</v>
      </c>
      <c r="C4873" s="1">
        <v>46199.115972222222</v>
      </c>
      <c r="D4873" s="1">
        <v>46237.043749999997</v>
      </c>
      <c r="E4873" s="2">
        <f t="shared" si="76"/>
        <v>37.927777777775191</v>
      </c>
    </row>
    <row r="4874" spans="1:5" x14ac:dyDescent="0.25">
      <c r="A4874" t="s">
        <v>15</v>
      </c>
      <c r="B4874" t="s">
        <v>16</v>
      </c>
      <c r="C4874" s="1">
        <v>46239.307638888888</v>
      </c>
      <c r="D4874" s="1">
        <v>46266.073611111111</v>
      </c>
      <c r="E4874" s="2">
        <f t="shared" si="76"/>
        <v>26.765972222223354</v>
      </c>
    </row>
    <row r="4875" spans="1:5" x14ac:dyDescent="0.25">
      <c r="A4875" t="s">
        <v>15</v>
      </c>
      <c r="B4875" t="s">
        <v>16</v>
      </c>
      <c r="C4875" s="1">
        <v>46224.649305555547</v>
      </c>
      <c r="D4875" s="1">
        <v>46246.352083333331</v>
      </c>
      <c r="E4875" s="2">
        <f t="shared" si="76"/>
        <v>21.702777777783922</v>
      </c>
    </row>
    <row r="4876" spans="1:5" x14ac:dyDescent="0.25">
      <c r="A4876" t="s">
        <v>15</v>
      </c>
      <c r="B4876" t="s">
        <v>16</v>
      </c>
      <c r="C4876" s="1">
        <v>46190.519444444442</v>
      </c>
      <c r="D4876" s="1">
        <v>46207.991666666669</v>
      </c>
      <c r="E4876" s="2">
        <f t="shared" si="76"/>
        <v>17.472222222226264</v>
      </c>
    </row>
    <row r="4877" spans="1:5" x14ac:dyDescent="0.25">
      <c r="A4877" t="s">
        <v>15</v>
      </c>
      <c r="B4877" t="s">
        <v>43</v>
      </c>
      <c r="C4877" s="1">
        <v>46218.63958333333</v>
      </c>
      <c r="D4877" s="1">
        <v>46262.838888888888</v>
      </c>
      <c r="E4877" s="2">
        <f t="shared" si="76"/>
        <v>44.199305555557657</v>
      </c>
    </row>
    <row r="4878" spans="1:5" x14ac:dyDescent="0.25">
      <c r="A4878" t="s">
        <v>28</v>
      </c>
      <c r="B4878" t="s">
        <v>12</v>
      </c>
      <c r="C4878" s="1">
        <v>46207.415972222218</v>
      </c>
      <c r="D4878" s="1">
        <v>46216.870833333327</v>
      </c>
      <c r="E4878" s="2">
        <f t="shared" si="76"/>
        <v>9.4548611111094942</v>
      </c>
    </row>
    <row r="4879" spans="1:5" x14ac:dyDescent="0.25">
      <c r="A4879" t="s">
        <v>22</v>
      </c>
      <c r="B4879" t="s">
        <v>19</v>
      </c>
      <c r="C4879" s="1">
        <v>46042.63453703704</v>
      </c>
      <c r="D4879" s="1">
        <v>46120.852083333331</v>
      </c>
      <c r="E4879" s="2">
        <f t="shared" si="76"/>
        <v>78.217546296291403</v>
      </c>
    </row>
    <row r="4880" spans="1:5" x14ac:dyDescent="0.25">
      <c r="A4880" t="s">
        <v>5</v>
      </c>
      <c r="B4880" t="s">
        <v>43</v>
      </c>
      <c r="C4880" s="1">
        <v>45916.790972222218</v>
      </c>
      <c r="D4880" s="1">
        <v>45976.215277777781</v>
      </c>
      <c r="E4880" s="2">
        <f t="shared" si="76"/>
        <v>59.424305555563478</v>
      </c>
    </row>
    <row r="4881" spans="1:5" x14ac:dyDescent="0.25">
      <c r="A4881" t="s">
        <v>41</v>
      </c>
      <c r="B4881" t="s">
        <v>8</v>
      </c>
      <c r="C4881" s="1">
        <v>46187.908333333333</v>
      </c>
      <c r="D4881" s="1">
        <v>46225.5</v>
      </c>
      <c r="E4881" s="2">
        <f t="shared" si="76"/>
        <v>37.591666666667152</v>
      </c>
    </row>
    <row r="4882" spans="1:5" x14ac:dyDescent="0.25">
      <c r="A4882" t="s">
        <v>5</v>
      </c>
      <c r="B4882" t="s">
        <v>8</v>
      </c>
      <c r="C4882" s="1">
        <v>46236.188888888893</v>
      </c>
      <c r="D4882" s="1">
        <v>46278.113888888889</v>
      </c>
      <c r="E4882" s="2">
        <f t="shared" si="76"/>
        <v>41.924999999995634</v>
      </c>
    </row>
    <row r="4883" spans="1:5" x14ac:dyDescent="0.25">
      <c r="A4883" t="s">
        <v>23</v>
      </c>
      <c r="B4883" t="s">
        <v>8</v>
      </c>
      <c r="C4883" s="1">
        <v>46199.434027777781</v>
      </c>
      <c r="D4883" s="1">
        <v>46237.043749999997</v>
      </c>
      <c r="E4883" s="2">
        <f t="shared" si="76"/>
        <v>37.609722222216078</v>
      </c>
    </row>
    <row r="4884" spans="1:5" x14ac:dyDescent="0.25">
      <c r="A4884" t="s">
        <v>41</v>
      </c>
      <c r="B4884" t="s">
        <v>43</v>
      </c>
      <c r="C4884" s="1">
        <v>46187.908333333333</v>
      </c>
      <c r="D4884" s="1">
        <v>46242.82916666667</v>
      </c>
      <c r="E4884" s="2">
        <f t="shared" si="76"/>
        <v>54.920833333337214</v>
      </c>
    </row>
    <row r="4885" spans="1:5" x14ac:dyDescent="0.25">
      <c r="A4885" t="s">
        <v>41</v>
      </c>
      <c r="B4885" t="s">
        <v>8</v>
      </c>
      <c r="C4885" s="1">
        <v>46226.589583333327</v>
      </c>
      <c r="D4885" s="1">
        <v>46267.742361111108</v>
      </c>
      <c r="E4885" s="2">
        <f t="shared" si="76"/>
        <v>41.152777777781012</v>
      </c>
    </row>
    <row r="4886" spans="1:5" x14ac:dyDescent="0.25">
      <c r="A4886" t="s">
        <v>41</v>
      </c>
      <c r="B4886" t="s">
        <v>8</v>
      </c>
      <c r="C4886" s="1">
        <v>46147.527777777781</v>
      </c>
      <c r="D4886" s="1">
        <v>46184.934027777781</v>
      </c>
      <c r="E4886" s="2">
        <f t="shared" si="76"/>
        <v>37.40625</v>
      </c>
    </row>
    <row r="4887" spans="1:5" x14ac:dyDescent="0.25">
      <c r="A4887" t="s">
        <v>15</v>
      </c>
      <c r="B4887" t="s">
        <v>18</v>
      </c>
      <c r="C4887" s="1">
        <v>45994.518055555563</v>
      </c>
      <c r="D4887" s="1">
        <v>46044.635416666657</v>
      </c>
      <c r="E4887" s="2">
        <f t="shared" si="76"/>
        <v>50.117361111093487</v>
      </c>
    </row>
    <row r="4888" spans="1:5" x14ac:dyDescent="0.25">
      <c r="A4888" t="s">
        <v>22</v>
      </c>
      <c r="B4888" t="s">
        <v>14</v>
      </c>
      <c r="C4888" s="1">
        <v>45689.680555555547</v>
      </c>
      <c r="D4888" s="1">
        <v>45749.838888888888</v>
      </c>
      <c r="E4888" s="2">
        <f t="shared" si="76"/>
        <v>60.158333333340124</v>
      </c>
    </row>
    <row r="4889" spans="1:5" x14ac:dyDescent="0.25">
      <c r="A4889" t="s">
        <v>41</v>
      </c>
      <c r="B4889" t="s">
        <v>43</v>
      </c>
      <c r="C4889" s="1">
        <v>46073.913194444453</v>
      </c>
      <c r="D4889" s="1">
        <v>46112.871527777781</v>
      </c>
      <c r="E4889" s="2">
        <f t="shared" si="76"/>
        <v>38.958333333328483</v>
      </c>
    </row>
    <row r="4890" spans="1:5" x14ac:dyDescent="0.25">
      <c r="A4890" t="s">
        <v>5</v>
      </c>
      <c r="B4890" t="s">
        <v>8</v>
      </c>
      <c r="C4890" s="1">
        <v>46243.275000000001</v>
      </c>
      <c r="D4890" s="1">
        <v>46282.215277777781</v>
      </c>
      <c r="E4890" s="2">
        <f t="shared" si="76"/>
        <v>38.940277777779556</v>
      </c>
    </row>
    <row r="4891" spans="1:5" x14ac:dyDescent="0.25">
      <c r="A4891" t="s">
        <v>41</v>
      </c>
      <c r="B4891" t="s">
        <v>8</v>
      </c>
      <c r="C4891" s="1">
        <v>46201.175694444442</v>
      </c>
      <c r="D4891" s="1">
        <v>46237.043749999997</v>
      </c>
      <c r="E4891" s="2">
        <f t="shared" si="76"/>
        <v>35.868055555554747</v>
      </c>
    </row>
    <row r="4892" spans="1:5" x14ac:dyDescent="0.25">
      <c r="A4892" t="s">
        <v>28</v>
      </c>
      <c r="B4892" t="s">
        <v>30</v>
      </c>
      <c r="C4892" s="1">
        <v>45785.703472222223</v>
      </c>
      <c r="D4892" s="1">
        <v>45827.952777777777</v>
      </c>
      <c r="E4892" s="2">
        <f t="shared" si="76"/>
        <v>42.249305555553292</v>
      </c>
    </row>
    <row r="4893" spans="1:5" x14ac:dyDescent="0.25">
      <c r="A4893" t="s">
        <v>22</v>
      </c>
      <c r="B4893" t="s">
        <v>14</v>
      </c>
      <c r="C4893" s="1">
        <v>46016.715277777781</v>
      </c>
      <c r="D4893" s="1">
        <v>46122.670138888891</v>
      </c>
      <c r="E4893" s="2">
        <f t="shared" si="76"/>
        <v>105.95486111110949</v>
      </c>
    </row>
    <row r="4894" spans="1:5" x14ac:dyDescent="0.25">
      <c r="A4894" t="s">
        <v>41</v>
      </c>
      <c r="B4894" t="s">
        <v>8</v>
      </c>
      <c r="C4894" s="1">
        <v>46226.589583333327</v>
      </c>
      <c r="D4894" s="1">
        <v>46267.742361111108</v>
      </c>
      <c r="E4894" s="2">
        <f t="shared" si="76"/>
        <v>41.152777777781012</v>
      </c>
    </row>
    <row r="4895" spans="1:5" x14ac:dyDescent="0.25">
      <c r="A4895" t="s">
        <v>23</v>
      </c>
      <c r="B4895" t="s">
        <v>30</v>
      </c>
      <c r="C4895" s="1">
        <v>45897.603472222218</v>
      </c>
      <c r="D4895" s="1">
        <v>45940.215277777781</v>
      </c>
      <c r="E4895" s="2">
        <f t="shared" si="76"/>
        <v>42.611805555563478</v>
      </c>
    </row>
    <row r="4896" spans="1:5" x14ac:dyDescent="0.25">
      <c r="A4896" t="s">
        <v>41</v>
      </c>
      <c r="B4896" t="s">
        <v>8</v>
      </c>
      <c r="C4896" s="1">
        <v>46187.908333333333</v>
      </c>
      <c r="D4896" s="1">
        <v>46225.791666666657</v>
      </c>
      <c r="E4896" s="2">
        <f t="shared" si="76"/>
        <v>37.883333333324117</v>
      </c>
    </row>
    <row r="4897" spans="1:5" x14ac:dyDescent="0.25">
      <c r="A4897" t="s">
        <v>12</v>
      </c>
      <c r="B4897" t="s">
        <v>14</v>
      </c>
      <c r="C4897" s="1">
        <v>46167.911805555559</v>
      </c>
      <c r="D4897" s="1">
        <v>46246.288194444453</v>
      </c>
      <c r="E4897" s="2">
        <f t="shared" si="76"/>
        <v>78.376388888893416</v>
      </c>
    </row>
    <row r="4898" spans="1:5" x14ac:dyDescent="0.25">
      <c r="A4898" t="s">
        <v>28</v>
      </c>
      <c r="B4898" t="s">
        <v>30</v>
      </c>
      <c r="C4898" s="1">
        <v>45895.525694444441</v>
      </c>
      <c r="D4898" s="1">
        <v>45947.677083333343</v>
      </c>
      <c r="E4898" s="2">
        <f t="shared" si="76"/>
        <v>52.151388888902147</v>
      </c>
    </row>
    <row r="4899" spans="1:5" x14ac:dyDescent="0.25">
      <c r="A4899" t="s">
        <v>15</v>
      </c>
      <c r="B4899" t="s">
        <v>18</v>
      </c>
      <c r="C4899" s="1">
        <v>45974.59375</v>
      </c>
      <c r="D4899" s="1">
        <v>46019.857638888891</v>
      </c>
      <c r="E4899" s="2">
        <f t="shared" si="76"/>
        <v>45.263888888890506</v>
      </c>
    </row>
    <row r="4900" spans="1:5" x14ac:dyDescent="0.25">
      <c r="A4900" t="s">
        <v>41</v>
      </c>
      <c r="B4900" t="s">
        <v>8</v>
      </c>
      <c r="C4900" s="1">
        <v>46209.07708333333</v>
      </c>
      <c r="D4900" s="1">
        <v>46249.788194444453</v>
      </c>
      <c r="E4900" s="2">
        <f t="shared" si="76"/>
        <v>40.711111111122591</v>
      </c>
    </row>
    <row r="4901" spans="1:5" x14ac:dyDescent="0.25">
      <c r="A4901" t="s">
        <v>15</v>
      </c>
      <c r="B4901" t="s">
        <v>18</v>
      </c>
      <c r="C4901" s="1">
        <v>45941.147222222222</v>
      </c>
      <c r="D4901" s="1">
        <v>45990.397222222222</v>
      </c>
      <c r="E4901" s="2">
        <f t="shared" si="76"/>
        <v>49.25</v>
      </c>
    </row>
    <row r="4902" spans="1:5" x14ac:dyDescent="0.25">
      <c r="A4902" t="s">
        <v>9</v>
      </c>
      <c r="B4902" t="s">
        <v>8</v>
      </c>
      <c r="C4902" s="1">
        <v>46231.36041666667</v>
      </c>
      <c r="D4902" s="1">
        <v>46278.113888888889</v>
      </c>
      <c r="E4902" s="2">
        <f t="shared" si="76"/>
        <v>46.753472222218988</v>
      </c>
    </row>
    <row r="4903" spans="1:5" x14ac:dyDescent="0.25">
      <c r="A4903" t="s">
        <v>41</v>
      </c>
      <c r="B4903" t="s">
        <v>43</v>
      </c>
      <c r="C4903" s="1">
        <v>46165.728472222218</v>
      </c>
      <c r="D4903" s="1">
        <v>46206.791666666657</v>
      </c>
      <c r="E4903" s="2">
        <f t="shared" si="76"/>
        <v>41.063194444439432</v>
      </c>
    </row>
    <row r="4904" spans="1:5" x14ac:dyDescent="0.25">
      <c r="A4904" t="s">
        <v>8</v>
      </c>
      <c r="B4904" t="s">
        <v>27</v>
      </c>
      <c r="C4904" s="1">
        <v>46123.931944444441</v>
      </c>
      <c r="D4904" s="1">
        <v>46171.361111111109</v>
      </c>
      <c r="E4904" s="2">
        <f t="shared" si="76"/>
        <v>47.429166666668607</v>
      </c>
    </row>
    <row r="4905" spans="1:5" x14ac:dyDescent="0.25">
      <c r="A4905" t="s">
        <v>12</v>
      </c>
      <c r="B4905" t="s">
        <v>13</v>
      </c>
      <c r="C4905" s="1">
        <v>46228.707638888889</v>
      </c>
      <c r="D4905" s="1">
        <v>46279.725694444453</v>
      </c>
      <c r="E4905" s="2">
        <f t="shared" si="76"/>
        <v>51.018055555563478</v>
      </c>
    </row>
    <row r="4906" spans="1:5" x14ac:dyDescent="0.25">
      <c r="A4906" t="s">
        <v>41</v>
      </c>
      <c r="B4906" t="s">
        <v>8</v>
      </c>
      <c r="C4906" s="1">
        <v>46147.527777777781</v>
      </c>
      <c r="D4906" s="1">
        <v>46184.934027777781</v>
      </c>
      <c r="E4906" s="2">
        <f t="shared" si="76"/>
        <v>37.40625</v>
      </c>
    </row>
    <row r="4907" spans="1:5" x14ac:dyDescent="0.25">
      <c r="A4907" t="s">
        <v>41</v>
      </c>
      <c r="B4907" t="s">
        <v>8</v>
      </c>
      <c r="C4907" s="1">
        <v>46187.908333333333</v>
      </c>
      <c r="D4907" s="1">
        <v>46225.5</v>
      </c>
      <c r="E4907" s="2">
        <f t="shared" si="76"/>
        <v>37.591666666667152</v>
      </c>
    </row>
    <row r="4908" spans="1:5" x14ac:dyDescent="0.25">
      <c r="A4908" t="s">
        <v>41</v>
      </c>
      <c r="B4908" t="s">
        <v>8</v>
      </c>
      <c r="C4908" s="1">
        <v>46209.07708333333</v>
      </c>
      <c r="D4908" s="1">
        <v>46249.788194444453</v>
      </c>
      <c r="E4908" s="2">
        <f t="shared" si="76"/>
        <v>40.711111111122591</v>
      </c>
    </row>
    <row r="4909" spans="1:5" x14ac:dyDescent="0.25">
      <c r="A4909" t="s">
        <v>22</v>
      </c>
      <c r="B4909" t="s">
        <v>36</v>
      </c>
      <c r="C4909" s="1">
        <v>45686.458333333343</v>
      </c>
      <c r="D4909" s="1">
        <v>45742.284722222219</v>
      </c>
      <c r="E4909" s="2">
        <f t="shared" si="76"/>
        <v>55.826388888875954</v>
      </c>
    </row>
    <row r="4910" spans="1:5" x14ac:dyDescent="0.25">
      <c r="A4910" t="s">
        <v>22</v>
      </c>
      <c r="B4910" t="s">
        <v>14</v>
      </c>
      <c r="C4910" s="1">
        <v>46072.159722222219</v>
      </c>
      <c r="D4910" s="1">
        <v>46169.621527777781</v>
      </c>
      <c r="E4910" s="2">
        <f t="shared" si="76"/>
        <v>97.461805555562023</v>
      </c>
    </row>
    <row r="4911" spans="1:5" x14ac:dyDescent="0.25">
      <c r="A4911" t="s">
        <v>8</v>
      </c>
      <c r="B4911" t="s">
        <v>27</v>
      </c>
      <c r="C4911" s="1">
        <v>45953.440972222219</v>
      </c>
      <c r="D4911" s="1">
        <v>45995.965277777781</v>
      </c>
      <c r="E4911" s="2">
        <f t="shared" si="76"/>
        <v>42.524305555562023</v>
      </c>
    </row>
    <row r="4912" spans="1:5" x14ac:dyDescent="0.25">
      <c r="A4912" t="s">
        <v>15</v>
      </c>
      <c r="B4912" t="s">
        <v>18</v>
      </c>
      <c r="C4912" s="1">
        <v>45883.15625</v>
      </c>
      <c r="D4912" s="1">
        <v>45945.475694444453</v>
      </c>
      <c r="E4912" s="2">
        <f t="shared" si="76"/>
        <v>62.319444444452529</v>
      </c>
    </row>
    <row r="4913" spans="1:5" x14ac:dyDescent="0.25">
      <c r="A4913" t="s">
        <v>41</v>
      </c>
      <c r="B4913" t="s">
        <v>43</v>
      </c>
      <c r="C4913" s="1">
        <v>46063.607638888891</v>
      </c>
      <c r="D4913" s="1">
        <v>46107.029166666667</v>
      </c>
      <c r="E4913" s="2">
        <f t="shared" si="76"/>
        <v>43.421527777776646</v>
      </c>
    </row>
    <row r="4914" spans="1:5" x14ac:dyDescent="0.25">
      <c r="A4914" t="s">
        <v>22</v>
      </c>
      <c r="B4914" t="s">
        <v>14</v>
      </c>
      <c r="C4914" s="1">
        <v>46135.149305555547</v>
      </c>
      <c r="D4914" s="1">
        <v>46186.052777777782</v>
      </c>
      <c r="E4914" s="2">
        <f t="shared" si="76"/>
        <v>50.903472222234996</v>
      </c>
    </row>
    <row r="4915" spans="1:5" x14ac:dyDescent="0.25">
      <c r="A4915" t="s">
        <v>22</v>
      </c>
      <c r="B4915" t="s">
        <v>19</v>
      </c>
      <c r="C4915" s="1">
        <v>45987.756944444453</v>
      </c>
      <c r="D4915" s="1">
        <v>46059.034722222219</v>
      </c>
      <c r="E4915" s="2">
        <f t="shared" si="76"/>
        <v>71.27777777776646</v>
      </c>
    </row>
    <row r="4916" spans="1:5" x14ac:dyDescent="0.25">
      <c r="A4916" t="s">
        <v>5</v>
      </c>
      <c r="B4916" t="s">
        <v>55</v>
      </c>
      <c r="C4916" s="1">
        <v>45826.536111111112</v>
      </c>
      <c r="D4916" s="1">
        <v>45873.351388888892</v>
      </c>
      <c r="E4916" s="2">
        <f t="shared" si="76"/>
        <v>46.815277777779556</v>
      </c>
    </row>
    <row r="4917" spans="1:5" x14ac:dyDescent="0.25">
      <c r="A4917" t="s">
        <v>41</v>
      </c>
      <c r="B4917" t="s">
        <v>8</v>
      </c>
      <c r="C4917" s="1">
        <v>46209.07708333333</v>
      </c>
      <c r="D4917" s="1">
        <v>46249.788194444453</v>
      </c>
      <c r="E4917" s="2">
        <f t="shared" si="76"/>
        <v>40.711111111122591</v>
      </c>
    </row>
    <row r="4918" spans="1:5" x14ac:dyDescent="0.25">
      <c r="A4918" t="s">
        <v>22</v>
      </c>
      <c r="B4918" t="s">
        <v>51</v>
      </c>
      <c r="C4918" s="1">
        <v>45695.604166666657</v>
      </c>
      <c r="D4918" s="1">
        <v>45780.277777777781</v>
      </c>
      <c r="E4918" s="2">
        <f t="shared" si="76"/>
        <v>84.673611111124046</v>
      </c>
    </row>
    <row r="4919" spans="1:5" x14ac:dyDescent="0.25">
      <c r="A4919" t="s">
        <v>5</v>
      </c>
      <c r="B4919" t="s">
        <v>8</v>
      </c>
      <c r="C4919" s="1">
        <v>46243.275000000001</v>
      </c>
      <c r="D4919" s="1">
        <v>46282.215277777781</v>
      </c>
      <c r="E4919" s="2">
        <f t="shared" si="76"/>
        <v>38.940277777779556</v>
      </c>
    </row>
    <row r="4920" spans="1:5" x14ac:dyDescent="0.25">
      <c r="A4920" t="s">
        <v>41</v>
      </c>
      <c r="B4920" t="s">
        <v>8</v>
      </c>
      <c r="C4920" s="1">
        <v>46163.695138888892</v>
      </c>
      <c r="D4920" s="1">
        <v>46203.938194444447</v>
      </c>
      <c r="E4920" s="2">
        <f t="shared" si="76"/>
        <v>40.243055555554747</v>
      </c>
    </row>
    <row r="4921" spans="1:5" x14ac:dyDescent="0.25">
      <c r="A4921" t="s">
        <v>41</v>
      </c>
      <c r="B4921" t="s">
        <v>8</v>
      </c>
      <c r="C4921" s="1">
        <v>46201.175694444442</v>
      </c>
      <c r="D4921" s="1">
        <v>46237.043749999997</v>
      </c>
      <c r="E4921" s="2">
        <f t="shared" si="76"/>
        <v>35.868055555554747</v>
      </c>
    </row>
    <row r="4922" spans="1:5" x14ac:dyDescent="0.25">
      <c r="A4922" t="s">
        <v>9</v>
      </c>
      <c r="B4922" t="s">
        <v>8</v>
      </c>
      <c r="C4922" s="1">
        <v>46149.941666666673</v>
      </c>
      <c r="D4922" s="1">
        <v>46203.938194444447</v>
      </c>
      <c r="E4922" s="2">
        <f t="shared" si="76"/>
        <v>53.996527777773736</v>
      </c>
    </row>
    <row r="4923" spans="1:5" x14ac:dyDescent="0.25">
      <c r="A4923" t="s">
        <v>41</v>
      </c>
      <c r="B4923" t="s">
        <v>8</v>
      </c>
      <c r="C4923" s="1">
        <v>46147.527777777781</v>
      </c>
      <c r="D4923" s="1">
        <v>46184.934027777781</v>
      </c>
      <c r="E4923" s="2">
        <f t="shared" si="76"/>
        <v>37.40625</v>
      </c>
    </row>
    <row r="4924" spans="1:5" x14ac:dyDescent="0.25">
      <c r="A4924" t="s">
        <v>41</v>
      </c>
      <c r="B4924" t="s">
        <v>8</v>
      </c>
      <c r="C4924" s="1">
        <v>46193.822916666657</v>
      </c>
      <c r="D4924" s="1">
        <v>46233.649305555547</v>
      </c>
      <c r="E4924" s="2">
        <f t="shared" si="76"/>
        <v>39.826388888890506</v>
      </c>
    </row>
    <row r="4925" spans="1:5" x14ac:dyDescent="0.25">
      <c r="A4925" t="s">
        <v>41</v>
      </c>
      <c r="B4925" t="s">
        <v>8</v>
      </c>
      <c r="C4925" s="1">
        <v>46165.728472222218</v>
      </c>
      <c r="D4925" s="1">
        <v>46212.701388888891</v>
      </c>
      <c r="E4925" s="2">
        <f t="shared" si="76"/>
        <v>46.972916666672972</v>
      </c>
    </row>
    <row r="4926" spans="1:5" x14ac:dyDescent="0.25">
      <c r="A4926" t="s">
        <v>41</v>
      </c>
      <c r="B4926" t="s">
        <v>43</v>
      </c>
      <c r="C4926" s="1">
        <v>46053.157638888893</v>
      </c>
      <c r="D4926" s="1">
        <v>46099.823611111111</v>
      </c>
      <c r="E4926" s="2">
        <f t="shared" si="76"/>
        <v>46.665972222217533</v>
      </c>
    </row>
    <row r="4927" spans="1:5" x14ac:dyDescent="0.25">
      <c r="A4927" t="s">
        <v>15</v>
      </c>
      <c r="B4927" t="s">
        <v>18</v>
      </c>
      <c r="C4927" s="1">
        <v>45994.518055555563</v>
      </c>
      <c r="D4927" s="1">
        <v>46044.635416666657</v>
      </c>
      <c r="E4927" s="2">
        <f t="shared" si="76"/>
        <v>50.117361111093487</v>
      </c>
    </row>
    <row r="4928" spans="1:5" x14ac:dyDescent="0.25">
      <c r="A4928" t="s">
        <v>22</v>
      </c>
      <c r="B4928" t="s">
        <v>36</v>
      </c>
      <c r="C4928" s="1">
        <v>46045.680555555547</v>
      </c>
      <c r="D4928" s="1">
        <v>46102.793749999997</v>
      </c>
      <c r="E4928" s="2">
        <f t="shared" si="76"/>
        <v>57.113194444449618</v>
      </c>
    </row>
    <row r="4929" spans="1:5" x14ac:dyDescent="0.25">
      <c r="A4929" t="s">
        <v>41</v>
      </c>
      <c r="B4929" t="s">
        <v>8</v>
      </c>
      <c r="C4929" s="1">
        <v>46193.822916666657</v>
      </c>
      <c r="D4929" s="1">
        <v>46233.649305555547</v>
      </c>
      <c r="E4929" s="2">
        <f t="shared" si="76"/>
        <v>39.826388888890506</v>
      </c>
    </row>
    <row r="4930" spans="1:5" x14ac:dyDescent="0.25">
      <c r="A4930" t="s">
        <v>41</v>
      </c>
      <c r="B4930" t="s">
        <v>8</v>
      </c>
      <c r="C4930" s="1">
        <v>46209.07708333333</v>
      </c>
      <c r="D4930" s="1">
        <v>46249.788194444453</v>
      </c>
      <c r="E4930" s="2">
        <f t="shared" ref="E4930:E4993" si="77">D4930-C4930</f>
        <v>40.711111111122591</v>
      </c>
    </row>
    <row r="4931" spans="1:5" x14ac:dyDescent="0.25">
      <c r="A4931" t="s">
        <v>22</v>
      </c>
      <c r="B4931" t="s">
        <v>14</v>
      </c>
      <c r="C4931" s="1">
        <v>45689.680555555547</v>
      </c>
      <c r="D4931" s="1">
        <v>45749.838888888888</v>
      </c>
      <c r="E4931" s="2">
        <f t="shared" si="77"/>
        <v>60.158333333340124</v>
      </c>
    </row>
    <row r="4932" spans="1:5" x14ac:dyDescent="0.25">
      <c r="A4932" t="s">
        <v>5</v>
      </c>
      <c r="B4932" t="s">
        <v>8</v>
      </c>
      <c r="C4932" s="1">
        <v>46243.275000000001</v>
      </c>
      <c r="D4932" s="1">
        <v>46282.215277777781</v>
      </c>
      <c r="E4932" s="2">
        <f t="shared" si="77"/>
        <v>38.940277777779556</v>
      </c>
    </row>
    <row r="4933" spans="1:5" x14ac:dyDescent="0.25">
      <c r="A4933" t="s">
        <v>28</v>
      </c>
      <c r="B4933" t="s">
        <v>30</v>
      </c>
      <c r="C4933" s="1">
        <v>45802.411805555559</v>
      </c>
      <c r="D4933" s="1">
        <v>45849.940972222219</v>
      </c>
      <c r="E4933" s="2">
        <f t="shared" si="77"/>
        <v>47.529166666659876</v>
      </c>
    </row>
    <row r="4934" spans="1:5" x14ac:dyDescent="0.25">
      <c r="A4934" t="s">
        <v>5</v>
      </c>
      <c r="B4934" t="s">
        <v>43</v>
      </c>
      <c r="C4934" s="1">
        <v>45857.737500000003</v>
      </c>
      <c r="D4934" s="1">
        <v>45900.984027777777</v>
      </c>
      <c r="E4934" s="2">
        <f t="shared" si="77"/>
        <v>43.246527777773736</v>
      </c>
    </row>
    <row r="4935" spans="1:5" x14ac:dyDescent="0.25">
      <c r="A4935" t="s">
        <v>23</v>
      </c>
      <c r="B4935" t="s">
        <v>30</v>
      </c>
      <c r="C4935" s="1">
        <v>45917.227083333331</v>
      </c>
      <c r="D4935" s="1">
        <v>45962.040972222218</v>
      </c>
      <c r="E4935" s="2">
        <f t="shared" si="77"/>
        <v>44.81388888888614</v>
      </c>
    </row>
    <row r="4936" spans="1:5" x14ac:dyDescent="0.25">
      <c r="A4936" t="s">
        <v>5</v>
      </c>
      <c r="B4936" t="s">
        <v>8</v>
      </c>
      <c r="C4936" s="1">
        <v>46236.188888888893</v>
      </c>
      <c r="D4936" s="1">
        <v>46278.113888888889</v>
      </c>
      <c r="E4936" s="2">
        <f t="shared" si="77"/>
        <v>41.924999999995634</v>
      </c>
    </row>
    <row r="4937" spans="1:5" x14ac:dyDescent="0.25">
      <c r="A4937" t="s">
        <v>22</v>
      </c>
      <c r="B4937" t="s">
        <v>51</v>
      </c>
      <c r="C4937" s="1">
        <v>45695.59375</v>
      </c>
      <c r="D4937" s="1">
        <v>45780.277777777781</v>
      </c>
      <c r="E4937" s="2">
        <f t="shared" si="77"/>
        <v>84.684027777781012</v>
      </c>
    </row>
    <row r="4938" spans="1:5" x14ac:dyDescent="0.25">
      <c r="A4938" t="s">
        <v>9</v>
      </c>
      <c r="B4938" t="s">
        <v>8</v>
      </c>
      <c r="C4938" s="1">
        <v>46213.137499999997</v>
      </c>
      <c r="D4938" s="1">
        <v>46267.742361111108</v>
      </c>
      <c r="E4938" s="2">
        <f t="shared" si="77"/>
        <v>54.604861111110949</v>
      </c>
    </row>
    <row r="4939" spans="1:5" x14ac:dyDescent="0.25">
      <c r="A4939" t="s">
        <v>12</v>
      </c>
      <c r="B4939" t="s">
        <v>13</v>
      </c>
      <c r="C4939" s="1">
        <v>46202.208333333343</v>
      </c>
      <c r="D4939" s="1">
        <v>46260.53125</v>
      </c>
      <c r="E4939" s="2">
        <f t="shared" si="77"/>
        <v>58.322916666656965</v>
      </c>
    </row>
    <row r="4940" spans="1:5" x14ac:dyDescent="0.25">
      <c r="A4940" t="s">
        <v>22</v>
      </c>
      <c r="B4940" t="s">
        <v>51</v>
      </c>
      <c r="C4940" s="1">
        <v>45687.583333333343</v>
      </c>
      <c r="D4940" s="1">
        <v>45759.482638888891</v>
      </c>
      <c r="E4940" s="2">
        <f t="shared" si="77"/>
        <v>71.899305555547471</v>
      </c>
    </row>
    <row r="4941" spans="1:5" x14ac:dyDescent="0.25">
      <c r="A4941" t="s">
        <v>15</v>
      </c>
      <c r="B4941" t="s">
        <v>18</v>
      </c>
      <c r="C4941" s="1">
        <v>45997.586805555547</v>
      </c>
      <c r="D4941" s="1">
        <v>46058.051388888889</v>
      </c>
      <c r="E4941" s="2">
        <f t="shared" si="77"/>
        <v>60.464583333341579</v>
      </c>
    </row>
    <row r="4942" spans="1:5" x14ac:dyDescent="0.25">
      <c r="A4942" t="s">
        <v>22</v>
      </c>
      <c r="B4942" t="s">
        <v>14</v>
      </c>
      <c r="C4942" s="1">
        <v>46118.861111111109</v>
      </c>
      <c r="D4942" s="1">
        <v>46190.75277777778</v>
      </c>
      <c r="E4942" s="2">
        <f t="shared" si="77"/>
        <v>71.891666666670062</v>
      </c>
    </row>
    <row r="4943" spans="1:5" x14ac:dyDescent="0.25">
      <c r="A4943" t="s">
        <v>22</v>
      </c>
      <c r="B4943" t="s">
        <v>14</v>
      </c>
      <c r="C4943" s="1">
        <v>46102.902777777781</v>
      </c>
      <c r="D4943" s="1">
        <v>46180.767361111109</v>
      </c>
      <c r="E4943" s="2">
        <f t="shared" si="77"/>
        <v>77.864583333328483</v>
      </c>
    </row>
    <row r="4944" spans="1:5" x14ac:dyDescent="0.25">
      <c r="A4944" t="s">
        <v>41</v>
      </c>
      <c r="B4944" t="s">
        <v>8</v>
      </c>
      <c r="C4944" s="1">
        <v>46201.175694444442</v>
      </c>
      <c r="D4944" s="1">
        <v>46237.043749999997</v>
      </c>
      <c r="E4944" s="2">
        <f t="shared" si="77"/>
        <v>35.868055555554747</v>
      </c>
    </row>
    <row r="4945" spans="1:5" x14ac:dyDescent="0.25">
      <c r="A4945" t="s">
        <v>41</v>
      </c>
      <c r="B4945" t="s">
        <v>8</v>
      </c>
      <c r="C4945" s="1">
        <v>46187.908333333333</v>
      </c>
      <c r="D4945" s="1">
        <v>46225.5</v>
      </c>
      <c r="E4945" s="2">
        <f t="shared" si="77"/>
        <v>37.591666666667152</v>
      </c>
    </row>
    <row r="4946" spans="1:5" x14ac:dyDescent="0.25">
      <c r="A4946" t="s">
        <v>5</v>
      </c>
      <c r="B4946" t="s">
        <v>55</v>
      </c>
      <c r="C4946" s="1">
        <v>45814.116666666669</v>
      </c>
      <c r="D4946" s="1">
        <v>45873.351388888892</v>
      </c>
      <c r="E4946" s="2">
        <f t="shared" si="77"/>
        <v>59.234722222223354</v>
      </c>
    </row>
    <row r="4947" spans="1:5" x14ac:dyDescent="0.25">
      <c r="A4947" t="s">
        <v>41</v>
      </c>
      <c r="B4947" t="s">
        <v>8</v>
      </c>
      <c r="C4947" s="1">
        <v>46209.07708333333</v>
      </c>
      <c r="D4947" s="1">
        <v>46249.788194444453</v>
      </c>
      <c r="E4947" s="2">
        <f t="shared" si="77"/>
        <v>40.711111111122591</v>
      </c>
    </row>
    <row r="4948" spans="1:5" x14ac:dyDescent="0.25">
      <c r="A4948" t="s">
        <v>41</v>
      </c>
      <c r="B4948" t="s">
        <v>8</v>
      </c>
      <c r="C4948" s="1">
        <v>46147.527777777781</v>
      </c>
      <c r="D4948" s="1">
        <v>46184.934027777781</v>
      </c>
      <c r="E4948" s="2">
        <f t="shared" si="77"/>
        <v>37.40625</v>
      </c>
    </row>
    <row r="4949" spans="1:5" x14ac:dyDescent="0.25">
      <c r="A4949" t="s">
        <v>9</v>
      </c>
      <c r="B4949" t="s">
        <v>8</v>
      </c>
      <c r="C4949" s="1">
        <v>46213.137499999997</v>
      </c>
      <c r="D4949" s="1">
        <v>46258.759722222218</v>
      </c>
      <c r="E4949" s="2">
        <f t="shared" si="77"/>
        <v>45.622222222220444</v>
      </c>
    </row>
    <row r="4950" spans="1:5" x14ac:dyDescent="0.25">
      <c r="A4950" t="s">
        <v>22</v>
      </c>
      <c r="B4950" t="s">
        <v>14</v>
      </c>
      <c r="C4950" s="1">
        <v>46135.149305555547</v>
      </c>
      <c r="D4950" s="1">
        <v>46186.052777777782</v>
      </c>
      <c r="E4950" s="2">
        <f t="shared" si="77"/>
        <v>50.903472222234996</v>
      </c>
    </row>
    <row r="4951" spans="1:5" x14ac:dyDescent="0.25">
      <c r="A4951" t="s">
        <v>41</v>
      </c>
      <c r="B4951" t="s">
        <v>8</v>
      </c>
      <c r="C4951" s="1">
        <v>46193.822916666657</v>
      </c>
      <c r="D4951" s="1">
        <v>46233.649305555547</v>
      </c>
      <c r="E4951" s="2">
        <f t="shared" si="77"/>
        <v>39.826388888890506</v>
      </c>
    </row>
    <row r="4952" spans="1:5" x14ac:dyDescent="0.25">
      <c r="A4952" t="s">
        <v>28</v>
      </c>
      <c r="B4952" t="s">
        <v>30</v>
      </c>
      <c r="C4952" s="1">
        <v>45902.727083333331</v>
      </c>
      <c r="D4952" s="1">
        <v>45962.040972222218</v>
      </c>
      <c r="E4952" s="2">
        <f t="shared" si="77"/>
        <v>59.31388888888614</v>
      </c>
    </row>
    <row r="4953" spans="1:5" x14ac:dyDescent="0.25">
      <c r="A4953" t="s">
        <v>42</v>
      </c>
      <c r="B4953" t="s">
        <v>8</v>
      </c>
      <c r="C4953" s="1">
        <v>46184.899305555547</v>
      </c>
      <c r="D4953" s="1">
        <v>46225.791666666657</v>
      </c>
      <c r="E4953" s="2">
        <f t="shared" si="77"/>
        <v>40.892361111109494</v>
      </c>
    </row>
    <row r="4954" spans="1:5" x14ac:dyDescent="0.25">
      <c r="A4954" t="s">
        <v>22</v>
      </c>
      <c r="B4954" t="s">
        <v>19</v>
      </c>
      <c r="C4954" s="1">
        <v>46203.163194444453</v>
      </c>
      <c r="D4954" s="1">
        <v>46279.8125</v>
      </c>
      <c r="E4954" s="2">
        <f t="shared" si="77"/>
        <v>76.649305555547471</v>
      </c>
    </row>
    <row r="4955" spans="1:5" x14ac:dyDescent="0.25">
      <c r="A4955" t="s">
        <v>15</v>
      </c>
      <c r="B4955" t="s">
        <v>16</v>
      </c>
      <c r="C4955" s="1">
        <v>46210.104166666657</v>
      </c>
      <c r="D4955" s="1">
        <v>46230.572916666657</v>
      </c>
      <c r="E4955" s="2">
        <f t="shared" si="77"/>
        <v>20.46875</v>
      </c>
    </row>
    <row r="4956" spans="1:5" x14ac:dyDescent="0.25">
      <c r="A4956" t="s">
        <v>22</v>
      </c>
      <c r="B4956" t="s">
        <v>19</v>
      </c>
      <c r="C4956" s="1">
        <v>46209.194444444453</v>
      </c>
      <c r="D4956" s="1">
        <v>46277.578472222223</v>
      </c>
      <c r="E4956" s="2">
        <f t="shared" si="77"/>
        <v>68.384027777770825</v>
      </c>
    </row>
    <row r="4957" spans="1:5" x14ac:dyDescent="0.25">
      <c r="A4957" t="s">
        <v>42</v>
      </c>
      <c r="B4957" t="s">
        <v>8</v>
      </c>
      <c r="C4957" s="1">
        <v>46229.473611111112</v>
      </c>
      <c r="D4957" s="1">
        <v>46268.117361111108</v>
      </c>
      <c r="E4957" s="2">
        <f t="shared" si="77"/>
        <v>38.643749999995634</v>
      </c>
    </row>
    <row r="4958" spans="1:5" x14ac:dyDescent="0.25">
      <c r="A4958" t="s">
        <v>28</v>
      </c>
      <c r="B4958" t="s">
        <v>8</v>
      </c>
      <c r="C4958" s="1">
        <v>46182.675000000003</v>
      </c>
      <c r="D4958" s="1">
        <v>46225.791666666657</v>
      </c>
      <c r="E4958" s="2">
        <f t="shared" si="77"/>
        <v>43.116666666654055</v>
      </c>
    </row>
    <row r="4959" spans="1:5" x14ac:dyDescent="0.25">
      <c r="A4959" t="s">
        <v>12</v>
      </c>
      <c r="B4959" t="s">
        <v>8</v>
      </c>
      <c r="C4959" s="1">
        <v>46195.611805555563</v>
      </c>
      <c r="D4959" s="1">
        <v>46237.043749999997</v>
      </c>
      <c r="E4959" s="2">
        <f t="shared" si="77"/>
        <v>41.431944444433611</v>
      </c>
    </row>
    <row r="4960" spans="1:5" x14ac:dyDescent="0.25">
      <c r="A4960" t="s">
        <v>12</v>
      </c>
      <c r="B4960" t="s">
        <v>13</v>
      </c>
      <c r="C4960" s="1">
        <v>46222.615972222222</v>
      </c>
      <c r="D4960" s="1">
        <v>46272.236805555563</v>
      </c>
      <c r="E4960" s="2">
        <f t="shared" si="77"/>
        <v>49.620833333341579</v>
      </c>
    </row>
    <row r="4961" spans="1:5" x14ac:dyDescent="0.25">
      <c r="A4961" t="s">
        <v>12</v>
      </c>
      <c r="B4961" t="s">
        <v>8</v>
      </c>
      <c r="C4961" s="1">
        <v>46154.467361111107</v>
      </c>
      <c r="D4961" s="1">
        <v>46235.826388888891</v>
      </c>
      <c r="E4961" s="2">
        <f t="shared" si="77"/>
        <v>81.359027777783922</v>
      </c>
    </row>
    <row r="4962" spans="1:5" x14ac:dyDescent="0.25">
      <c r="A4962" t="s">
        <v>41</v>
      </c>
      <c r="B4962" t="s">
        <v>43</v>
      </c>
      <c r="C4962" s="1">
        <v>46034.618750000001</v>
      </c>
      <c r="D4962" s="1">
        <v>46078.927083333343</v>
      </c>
      <c r="E4962" s="2">
        <f t="shared" si="77"/>
        <v>44.308333333341579</v>
      </c>
    </row>
    <row r="4963" spans="1:5" x14ac:dyDescent="0.25">
      <c r="A4963" t="s">
        <v>28</v>
      </c>
      <c r="B4963" t="s">
        <v>8</v>
      </c>
      <c r="C4963" s="1">
        <v>46213.77847222222</v>
      </c>
      <c r="D4963" s="1">
        <v>46258.759722222218</v>
      </c>
      <c r="E4963" s="2">
        <f t="shared" si="77"/>
        <v>44.98124999999709</v>
      </c>
    </row>
    <row r="4964" spans="1:5" x14ac:dyDescent="0.25">
      <c r="A4964" t="s">
        <v>41</v>
      </c>
      <c r="B4964" t="s">
        <v>8</v>
      </c>
      <c r="C4964" s="1">
        <v>46226.589583333327</v>
      </c>
      <c r="D4964" s="1">
        <v>46267.742361111108</v>
      </c>
      <c r="E4964" s="2">
        <f t="shared" si="77"/>
        <v>41.152777777781012</v>
      </c>
    </row>
    <row r="4965" spans="1:5" x14ac:dyDescent="0.25">
      <c r="A4965" t="s">
        <v>9</v>
      </c>
      <c r="B4965" t="s">
        <v>8</v>
      </c>
      <c r="C4965" s="1">
        <v>46220.255555555559</v>
      </c>
      <c r="D4965" s="1">
        <v>46267.742361111108</v>
      </c>
      <c r="E4965" s="2">
        <f t="shared" si="77"/>
        <v>47.486805555548926</v>
      </c>
    </row>
    <row r="4966" spans="1:5" x14ac:dyDescent="0.25">
      <c r="A4966" t="s">
        <v>41</v>
      </c>
      <c r="B4966" t="s">
        <v>8</v>
      </c>
      <c r="C4966" s="1">
        <v>46187.908333333333</v>
      </c>
      <c r="D4966" s="1">
        <v>46225.791666666657</v>
      </c>
      <c r="E4966" s="2">
        <f t="shared" si="77"/>
        <v>37.883333333324117</v>
      </c>
    </row>
    <row r="4967" spans="1:5" x14ac:dyDescent="0.25">
      <c r="A4967" t="s">
        <v>41</v>
      </c>
      <c r="B4967" t="s">
        <v>11</v>
      </c>
      <c r="C4967" s="1">
        <v>46147.180555555547</v>
      </c>
      <c r="D4967" s="1">
        <v>46222.313888888893</v>
      </c>
      <c r="E4967" s="2">
        <f t="shared" si="77"/>
        <v>75.133333333345945</v>
      </c>
    </row>
    <row r="4968" spans="1:5" x14ac:dyDescent="0.25">
      <c r="A4968" t="s">
        <v>41</v>
      </c>
      <c r="B4968" t="s">
        <v>8</v>
      </c>
      <c r="C4968" s="1">
        <v>46187.908333333333</v>
      </c>
      <c r="D4968" s="1">
        <v>46225.819444444453</v>
      </c>
      <c r="E4968" s="2">
        <f t="shared" si="77"/>
        <v>37.911111111119681</v>
      </c>
    </row>
    <row r="4969" spans="1:5" x14ac:dyDescent="0.25">
      <c r="A4969" t="s">
        <v>41</v>
      </c>
      <c r="B4969" t="s">
        <v>8</v>
      </c>
      <c r="C4969" s="1">
        <v>46201.175694444442</v>
      </c>
      <c r="D4969" s="1">
        <v>46237.043749999997</v>
      </c>
      <c r="E4969" s="2">
        <f t="shared" si="77"/>
        <v>35.868055555554747</v>
      </c>
    </row>
    <row r="4970" spans="1:5" x14ac:dyDescent="0.25">
      <c r="A4970" t="s">
        <v>28</v>
      </c>
      <c r="B4970" t="s">
        <v>12</v>
      </c>
      <c r="C4970" s="1">
        <v>45908.299305555563</v>
      </c>
      <c r="D4970" s="1">
        <v>45914.25</v>
      </c>
      <c r="E4970" s="2">
        <f t="shared" si="77"/>
        <v>5.9506944444365217</v>
      </c>
    </row>
    <row r="4971" spans="1:5" x14ac:dyDescent="0.25">
      <c r="A4971" t="s">
        <v>41</v>
      </c>
      <c r="B4971" t="s">
        <v>8</v>
      </c>
      <c r="C4971" s="1">
        <v>46226.589583333327</v>
      </c>
      <c r="D4971" s="1">
        <v>46267.742361111108</v>
      </c>
      <c r="E4971" s="2">
        <f t="shared" si="77"/>
        <v>41.152777777781012</v>
      </c>
    </row>
    <row r="4972" spans="1:5" x14ac:dyDescent="0.25">
      <c r="A4972" t="s">
        <v>41</v>
      </c>
      <c r="B4972" t="s">
        <v>8</v>
      </c>
      <c r="C4972" s="1">
        <v>46201.175694444442</v>
      </c>
      <c r="D4972" s="1">
        <v>46237.043749999997</v>
      </c>
      <c r="E4972" s="2">
        <f t="shared" si="77"/>
        <v>35.868055555554747</v>
      </c>
    </row>
    <row r="4973" spans="1:5" x14ac:dyDescent="0.25">
      <c r="A4973" t="s">
        <v>41</v>
      </c>
      <c r="B4973" t="s">
        <v>8</v>
      </c>
      <c r="C4973" s="1">
        <v>46209.07708333333</v>
      </c>
      <c r="D4973" s="1">
        <v>46249.788194444453</v>
      </c>
      <c r="E4973" s="2">
        <f t="shared" si="77"/>
        <v>40.711111111122591</v>
      </c>
    </row>
    <row r="4974" spans="1:5" x14ac:dyDescent="0.25">
      <c r="A4974" t="s">
        <v>41</v>
      </c>
      <c r="B4974" t="s">
        <v>8</v>
      </c>
      <c r="C4974" s="1">
        <v>46147.527777777781</v>
      </c>
      <c r="D4974" s="1">
        <v>46184.934027777781</v>
      </c>
      <c r="E4974" s="2">
        <f t="shared" si="77"/>
        <v>37.40625</v>
      </c>
    </row>
    <row r="4975" spans="1:5" x14ac:dyDescent="0.25">
      <c r="A4975" t="s">
        <v>41</v>
      </c>
      <c r="B4975" t="s">
        <v>8</v>
      </c>
      <c r="C4975" s="1">
        <v>46193.822916666657</v>
      </c>
      <c r="D4975" s="1">
        <v>46233.649305555547</v>
      </c>
      <c r="E4975" s="2">
        <f t="shared" si="77"/>
        <v>39.826388888890506</v>
      </c>
    </row>
    <row r="4976" spans="1:5" x14ac:dyDescent="0.25">
      <c r="A4976" t="s">
        <v>9</v>
      </c>
      <c r="B4976" t="s">
        <v>8</v>
      </c>
      <c r="C4976" s="1">
        <v>46205.600694444453</v>
      </c>
      <c r="D4976" s="1">
        <v>46258.759722222218</v>
      </c>
      <c r="E4976" s="2">
        <f t="shared" si="77"/>
        <v>53.159027777765004</v>
      </c>
    </row>
    <row r="4977" spans="1:5" x14ac:dyDescent="0.25">
      <c r="A4977" t="s">
        <v>41</v>
      </c>
      <c r="B4977" t="s">
        <v>8</v>
      </c>
      <c r="C4977" s="1">
        <v>46201.175694444442</v>
      </c>
      <c r="D4977" s="1">
        <v>46237.043749999997</v>
      </c>
      <c r="E4977" s="2">
        <f t="shared" si="77"/>
        <v>35.868055555554747</v>
      </c>
    </row>
    <row r="4978" spans="1:5" x14ac:dyDescent="0.25">
      <c r="A4978" t="s">
        <v>41</v>
      </c>
      <c r="B4978" t="s">
        <v>8</v>
      </c>
      <c r="C4978" s="1">
        <v>46187.908333333333</v>
      </c>
      <c r="D4978" s="1">
        <v>46225.5</v>
      </c>
      <c r="E4978" s="2">
        <f t="shared" si="77"/>
        <v>37.591666666667152</v>
      </c>
    </row>
    <row r="4979" spans="1:5" x14ac:dyDescent="0.25">
      <c r="A4979" t="s">
        <v>41</v>
      </c>
      <c r="B4979" t="s">
        <v>8</v>
      </c>
      <c r="C4979" s="1">
        <v>46165.728472222218</v>
      </c>
      <c r="D4979" s="1">
        <v>46203.938194444447</v>
      </c>
      <c r="E4979" s="2">
        <f t="shared" si="77"/>
        <v>38.209722222229175</v>
      </c>
    </row>
    <row r="4980" spans="1:5" x14ac:dyDescent="0.25">
      <c r="A4980" t="s">
        <v>22</v>
      </c>
      <c r="B4980" t="s">
        <v>14</v>
      </c>
      <c r="C4980" s="1">
        <v>46090.711805555547</v>
      </c>
      <c r="D4980" s="1">
        <v>46145.268750000003</v>
      </c>
      <c r="E4980" s="2">
        <f t="shared" si="77"/>
        <v>54.556944444455439</v>
      </c>
    </row>
    <row r="4981" spans="1:5" x14ac:dyDescent="0.25">
      <c r="A4981" t="s">
        <v>41</v>
      </c>
      <c r="B4981" t="s">
        <v>8</v>
      </c>
      <c r="C4981" s="1">
        <v>46209.07708333333</v>
      </c>
      <c r="D4981" s="1">
        <v>46249.788194444453</v>
      </c>
      <c r="E4981" s="2">
        <f t="shared" si="77"/>
        <v>40.711111111122591</v>
      </c>
    </row>
    <row r="4982" spans="1:5" x14ac:dyDescent="0.25">
      <c r="A4982" t="s">
        <v>5</v>
      </c>
      <c r="B4982" t="s">
        <v>8</v>
      </c>
      <c r="C4982" s="1">
        <v>46236.188888888893</v>
      </c>
      <c r="D4982" s="1">
        <v>46278.113888888889</v>
      </c>
      <c r="E4982" s="2">
        <f t="shared" si="77"/>
        <v>41.924999999995634</v>
      </c>
    </row>
    <row r="4983" spans="1:5" x14ac:dyDescent="0.25">
      <c r="A4983" t="s">
        <v>15</v>
      </c>
      <c r="B4983" t="s">
        <v>18</v>
      </c>
      <c r="C4983" s="1">
        <v>45943.574305555558</v>
      </c>
      <c r="D4983" s="1">
        <v>45995</v>
      </c>
      <c r="E4983" s="2">
        <f t="shared" si="77"/>
        <v>51.425694444442343</v>
      </c>
    </row>
    <row r="4984" spans="1:5" x14ac:dyDescent="0.25">
      <c r="A4984" t="s">
        <v>22</v>
      </c>
      <c r="B4984" t="s">
        <v>14</v>
      </c>
      <c r="C4984" s="1">
        <v>45723.222222222219</v>
      </c>
      <c r="D4984" s="1">
        <v>45781.121527777781</v>
      </c>
      <c r="E4984" s="2">
        <f t="shared" si="77"/>
        <v>57.899305555562023</v>
      </c>
    </row>
    <row r="4985" spans="1:5" x14ac:dyDescent="0.25">
      <c r="A4985" t="s">
        <v>41</v>
      </c>
      <c r="B4985" t="s">
        <v>8</v>
      </c>
      <c r="C4985" s="1">
        <v>46187.908333333333</v>
      </c>
      <c r="D4985" s="1">
        <v>46225.791666666657</v>
      </c>
      <c r="E4985" s="2">
        <f t="shared" si="77"/>
        <v>37.883333333324117</v>
      </c>
    </row>
    <row r="4986" spans="1:5" x14ac:dyDescent="0.25">
      <c r="A4986" t="s">
        <v>16</v>
      </c>
      <c r="B4986" t="s">
        <v>11</v>
      </c>
      <c r="C4986" s="1">
        <v>46161.20208333333</v>
      </c>
      <c r="D4986" s="1">
        <v>46229.322916666657</v>
      </c>
      <c r="E4986" s="2">
        <f t="shared" si="77"/>
        <v>68.120833333327028</v>
      </c>
    </row>
    <row r="4987" spans="1:5" x14ac:dyDescent="0.25">
      <c r="A4987" t="s">
        <v>16</v>
      </c>
      <c r="B4987" t="s">
        <v>11</v>
      </c>
      <c r="C4987" s="1">
        <v>46161.20208333333</v>
      </c>
      <c r="D4987" s="1">
        <v>46229.322916666657</v>
      </c>
      <c r="E4987" s="2">
        <f t="shared" si="77"/>
        <v>68.120833333327028</v>
      </c>
    </row>
    <row r="4988" spans="1:5" x14ac:dyDescent="0.25">
      <c r="A4988" t="s">
        <v>22</v>
      </c>
      <c r="B4988" t="s">
        <v>14</v>
      </c>
      <c r="C4988" s="1">
        <v>45672.211805555547</v>
      </c>
      <c r="D4988" s="1">
        <v>45742.000694444447</v>
      </c>
      <c r="E4988" s="2">
        <f t="shared" si="77"/>
        <v>69.788888888899237</v>
      </c>
    </row>
    <row r="4989" spans="1:5" x14ac:dyDescent="0.25">
      <c r="A4989" t="s">
        <v>41</v>
      </c>
      <c r="B4989" t="s">
        <v>8</v>
      </c>
      <c r="C4989" s="1">
        <v>46201.175694444442</v>
      </c>
      <c r="D4989" s="1">
        <v>46237.043749999997</v>
      </c>
      <c r="E4989" s="2">
        <f t="shared" si="77"/>
        <v>35.868055555554747</v>
      </c>
    </row>
    <row r="4990" spans="1:5" x14ac:dyDescent="0.25">
      <c r="A4990" t="s">
        <v>41</v>
      </c>
      <c r="B4990" t="s">
        <v>8</v>
      </c>
      <c r="C4990" s="1">
        <v>46193.822916666657</v>
      </c>
      <c r="D4990" s="1">
        <v>46233.649305555547</v>
      </c>
      <c r="E4990" s="2">
        <f t="shared" si="77"/>
        <v>39.826388888890506</v>
      </c>
    </row>
    <row r="4991" spans="1:5" x14ac:dyDescent="0.25">
      <c r="A4991" t="s">
        <v>22</v>
      </c>
      <c r="B4991" t="s">
        <v>14</v>
      </c>
      <c r="C4991" s="1">
        <v>45981.125</v>
      </c>
      <c r="D4991" s="1">
        <v>46036.029166666667</v>
      </c>
      <c r="E4991" s="2">
        <f t="shared" si="77"/>
        <v>54.904166666667152</v>
      </c>
    </row>
    <row r="4992" spans="1:5" x14ac:dyDescent="0.25">
      <c r="A4992" t="s">
        <v>8</v>
      </c>
      <c r="B4992" t="s">
        <v>27</v>
      </c>
      <c r="C4992" s="1">
        <v>46123.931944444441</v>
      </c>
      <c r="D4992" s="1">
        <v>46171.361111111109</v>
      </c>
      <c r="E4992" s="2">
        <f t="shared" si="77"/>
        <v>47.429166666668607</v>
      </c>
    </row>
    <row r="4993" spans="1:5" x14ac:dyDescent="0.25">
      <c r="A4993" t="s">
        <v>22</v>
      </c>
      <c r="B4993" t="s">
        <v>36</v>
      </c>
      <c r="C4993" s="1">
        <v>45673.458333333343</v>
      </c>
      <c r="D4993" s="1">
        <v>45735.02847222222</v>
      </c>
      <c r="E4993" s="2">
        <f t="shared" si="77"/>
        <v>61.570138888877409</v>
      </c>
    </row>
    <row r="4994" spans="1:5" x14ac:dyDescent="0.25">
      <c r="A4994" t="s">
        <v>41</v>
      </c>
      <c r="B4994" t="s">
        <v>8</v>
      </c>
      <c r="C4994" s="1">
        <v>46163.695138888892</v>
      </c>
      <c r="D4994" s="1">
        <v>46203.938194444447</v>
      </c>
      <c r="E4994" s="2">
        <f t="shared" ref="E4994:E5057" si="78">D4994-C4994</f>
        <v>40.243055555554747</v>
      </c>
    </row>
    <row r="4995" spans="1:5" x14ac:dyDescent="0.25">
      <c r="A4995" t="s">
        <v>9</v>
      </c>
      <c r="B4995" t="s">
        <v>8</v>
      </c>
      <c r="C4995" s="1">
        <v>46184.402083333327</v>
      </c>
      <c r="D4995" s="1">
        <v>46233.649305555547</v>
      </c>
      <c r="E4995" s="2">
        <f t="shared" si="78"/>
        <v>49.247222222220444</v>
      </c>
    </row>
    <row r="4996" spans="1:5" x14ac:dyDescent="0.25">
      <c r="A4996" t="s">
        <v>15</v>
      </c>
      <c r="B4996" t="s">
        <v>18</v>
      </c>
      <c r="C4996" s="1">
        <v>45994.518055555563</v>
      </c>
      <c r="D4996" s="1">
        <v>46044.635416666657</v>
      </c>
      <c r="E4996" s="2">
        <f t="shared" si="78"/>
        <v>50.117361111093487</v>
      </c>
    </row>
    <row r="4997" spans="1:5" x14ac:dyDescent="0.25">
      <c r="A4997" t="s">
        <v>8</v>
      </c>
      <c r="B4997" t="s">
        <v>6</v>
      </c>
      <c r="C4997" s="1">
        <v>45979.114583333343</v>
      </c>
      <c r="D4997" s="1">
        <v>46046.510416666657</v>
      </c>
      <c r="E4997" s="2">
        <f t="shared" si="78"/>
        <v>67.395833333313931</v>
      </c>
    </row>
    <row r="4998" spans="1:5" x14ac:dyDescent="0.25">
      <c r="A4998" t="s">
        <v>16</v>
      </c>
      <c r="B4998" t="s">
        <v>11</v>
      </c>
      <c r="C4998" s="1">
        <v>46161.20208333333</v>
      </c>
      <c r="D4998" s="1">
        <v>46229.322916666657</v>
      </c>
      <c r="E4998" s="2">
        <f t="shared" si="78"/>
        <v>68.120833333327028</v>
      </c>
    </row>
    <row r="4999" spans="1:5" x14ac:dyDescent="0.25">
      <c r="A4999" t="s">
        <v>41</v>
      </c>
      <c r="B4999" t="s">
        <v>8</v>
      </c>
      <c r="C4999" s="1">
        <v>46193.822916666657</v>
      </c>
      <c r="D4999" s="1">
        <v>46233.649305555547</v>
      </c>
      <c r="E4999" s="2">
        <f t="shared" si="78"/>
        <v>39.826388888890506</v>
      </c>
    </row>
    <row r="5000" spans="1:5" x14ac:dyDescent="0.25">
      <c r="A5000" t="s">
        <v>22</v>
      </c>
      <c r="B5000" t="s">
        <v>36</v>
      </c>
      <c r="C5000" s="1">
        <v>45686.458333333343</v>
      </c>
      <c r="D5000" s="1">
        <v>45742.390972222223</v>
      </c>
      <c r="E5000" s="2">
        <f t="shared" si="78"/>
        <v>55.932638888880319</v>
      </c>
    </row>
    <row r="5001" spans="1:5" x14ac:dyDescent="0.25">
      <c r="A5001" t="s">
        <v>41</v>
      </c>
      <c r="B5001" t="s">
        <v>8</v>
      </c>
      <c r="C5001" s="1">
        <v>46193.822916666657</v>
      </c>
      <c r="D5001" s="1">
        <v>46233.649305555547</v>
      </c>
      <c r="E5001" s="2">
        <f t="shared" si="78"/>
        <v>39.826388888890506</v>
      </c>
    </row>
    <row r="5002" spans="1:5" x14ac:dyDescent="0.25">
      <c r="A5002" t="s">
        <v>5</v>
      </c>
      <c r="B5002" t="s">
        <v>8</v>
      </c>
      <c r="C5002" s="1">
        <v>46243.275000000001</v>
      </c>
      <c r="D5002" s="1">
        <v>46282.215277777781</v>
      </c>
      <c r="E5002" s="2">
        <f t="shared" si="78"/>
        <v>38.940277777779556</v>
      </c>
    </row>
    <row r="5003" spans="1:5" x14ac:dyDescent="0.25">
      <c r="A5003" t="s">
        <v>28</v>
      </c>
      <c r="B5003" t="s">
        <v>30</v>
      </c>
      <c r="C5003" s="1">
        <v>45881.743055555547</v>
      </c>
      <c r="D5003" s="1">
        <v>45940.215277777781</v>
      </c>
      <c r="E5003" s="2">
        <f t="shared" si="78"/>
        <v>58.47222222223354</v>
      </c>
    </row>
    <row r="5004" spans="1:5" x14ac:dyDescent="0.25">
      <c r="A5004" t="s">
        <v>22</v>
      </c>
      <c r="B5004" t="s">
        <v>14</v>
      </c>
      <c r="C5004" s="1">
        <v>46141.989583333343</v>
      </c>
      <c r="D5004" s="1">
        <v>46198.788888888892</v>
      </c>
      <c r="E5004" s="2">
        <f t="shared" si="78"/>
        <v>56.799305555548926</v>
      </c>
    </row>
    <row r="5005" spans="1:5" x14ac:dyDescent="0.25">
      <c r="A5005" t="s">
        <v>22</v>
      </c>
      <c r="B5005" t="s">
        <v>51</v>
      </c>
      <c r="C5005" s="1">
        <v>45687.416666666657</v>
      </c>
      <c r="D5005" s="1">
        <v>45759.482638888891</v>
      </c>
      <c r="E5005" s="2">
        <f t="shared" si="78"/>
        <v>72.06597222223354</v>
      </c>
    </row>
    <row r="5006" spans="1:5" x14ac:dyDescent="0.25">
      <c r="A5006" t="s">
        <v>41</v>
      </c>
      <c r="B5006" t="s">
        <v>8</v>
      </c>
      <c r="C5006" s="1">
        <v>46193.822916666657</v>
      </c>
      <c r="D5006" s="1">
        <v>46233.649305555547</v>
      </c>
      <c r="E5006" s="2">
        <f t="shared" si="78"/>
        <v>39.826388888890506</v>
      </c>
    </row>
    <row r="5007" spans="1:5" x14ac:dyDescent="0.25">
      <c r="A5007" t="s">
        <v>8</v>
      </c>
      <c r="B5007" t="s">
        <v>27</v>
      </c>
      <c r="C5007" s="1">
        <v>45953.440972222219</v>
      </c>
      <c r="D5007" s="1">
        <v>45995.965277777781</v>
      </c>
      <c r="E5007" s="2">
        <f t="shared" si="78"/>
        <v>42.524305555562023</v>
      </c>
    </row>
    <row r="5008" spans="1:5" x14ac:dyDescent="0.25">
      <c r="A5008" t="s">
        <v>41</v>
      </c>
      <c r="B5008" t="s">
        <v>8</v>
      </c>
      <c r="C5008" s="1">
        <v>46201.175694444442</v>
      </c>
      <c r="D5008" s="1">
        <v>46237.043749999997</v>
      </c>
      <c r="E5008" s="2">
        <f t="shared" si="78"/>
        <v>35.868055555554747</v>
      </c>
    </row>
    <row r="5009" spans="1:5" x14ac:dyDescent="0.25">
      <c r="A5009" t="s">
        <v>5</v>
      </c>
      <c r="B5009" t="s">
        <v>8</v>
      </c>
      <c r="C5009" s="1">
        <v>46243.275000000001</v>
      </c>
      <c r="D5009" s="1">
        <v>46282.215277777781</v>
      </c>
      <c r="E5009" s="2">
        <f t="shared" si="78"/>
        <v>38.940277777779556</v>
      </c>
    </row>
    <row r="5010" spans="1:5" x14ac:dyDescent="0.25">
      <c r="A5010" t="s">
        <v>41</v>
      </c>
      <c r="B5010" t="s">
        <v>8</v>
      </c>
      <c r="C5010" s="1">
        <v>46187.908333333333</v>
      </c>
      <c r="D5010" s="1">
        <v>46225.5</v>
      </c>
      <c r="E5010" s="2">
        <f t="shared" si="78"/>
        <v>37.591666666667152</v>
      </c>
    </row>
    <row r="5011" spans="1:5" x14ac:dyDescent="0.25">
      <c r="A5011" t="s">
        <v>41</v>
      </c>
      <c r="B5011" t="s">
        <v>8</v>
      </c>
      <c r="C5011" s="1">
        <v>46163.695138888892</v>
      </c>
      <c r="D5011" s="1">
        <v>46203.938194444447</v>
      </c>
      <c r="E5011" s="2">
        <f t="shared" si="78"/>
        <v>40.243055555554747</v>
      </c>
    </row>
    <row r="5012" spans="1:5" x14ac:dyDescent="0.25">
      <c r="A5012" t="s">
        <v>41</v>
      </c>
      <c r="B5012" t="s">
        <v>8</v>
      </c>
      <c r="C5012" s="1">
        <v>46201.175694444442</v>
      </c>
      <c r="D5012" s="1">
        <v>46237.043749999997</v>
      </c>
      <c r="E5012" s="2">
        <f t="shared" si="78"/>
        <v>35.868055555554747</v>
      </c>
    </row>
    <row r="5013" spans="1:5" x14ac:dyDescent="0.25">
      <c r="A5013" t="s">
        <v>41</v>
      </c>
      <c r="B5013" t="s">
        <v>8</v>
      </c>
      <c r="C5013" s="1">
        <v>46187.908333333333</v>
      </c>
      <c r="D5013" s="1">
        <v>46225.5</v>
      </c>
      <c r="E5013" s="2">
        <f t="shared" si="78"/>
        <v>37.591666666667152</v>
      </c>
    </row>
    <row r="5014" spans="1:5" x14ac:dyDescent="0.25">
      <c r="A5014" t="s">
        <v>8</v>
      </c>
      <c r="B5014" t="s">
        <v>6</v>
      </c>
      <c r="C5014" s="1">
        <v>45979.114583333343</v>
      </c>
      <c r="D5014" s="1">
        <v>46046.510416666657</v>
      </c>
      <c r="E5014" s="2">
        <f t="shared" si="78"/>
        <v>67.395833333313931</v>
      </c>
    </row>
    <row r="5015" spans="1:5" x14ac:dyDescent="0.25">
      <c r="A5015" t="s">
        <v>22</v>
      </c>
      <c r="B5015" t="s">
        <v>14</v>
      </c>
      <c r="C5015" s="1">
        <v>46027.677083333343</v>
      </c>
      <c r="D5015" s="1">
        <v>46088.996527777781</v>
      </c>
      <c r="E5015" s="2">
        <f t="shared" si="78"/>
        <v>61.319444444437977</v>
      </c>
    </row>
    <row r="5016" spans="1:5" x14ac:dyDescent="0.25">
      <c r="A5016" t="s">
        <v>8</v>
      </c>
      <c r="B5016" t="s">
        <v>6</v>
      </c>
      <c r="C5016" s="1">
        <v>46127.822916666657</v>
      </c>
      <c r="D5016" s="1">
        <v>46174.149305555547</v>
      </c>
      <c r="E5016" s="2">
        <f t="shared" si="78"/>
        <v>46.326388888890506</v>
      </c>
    </row>
    <row r="5017" spans="1:5" x14ac:dyDescent="0.25">
      <c r="A5017" t="s">
        <v>8</v>
      </c>
      <c r="B5017" t="s">
        <v>6</v>
      </c>
      <c r="C5017" s="1">
        <v>46127.822916666657</v>
      </c>
      <c r="D5017" s="1">
        <v>46174.149305555547</v>
      </c>
      <c r="E5017" s="2">
        <f t="shared" si="78"/>
        <v>46.326388888890506</v>
      </c>
    </row>
    <row r="5018" spans="1:5" x14ac:dyDescent="0.25">
      <c r="A5018" t="s">
        <v>41</v>
      </c>
      <c r="B5018" t="s">
        <v>8</v>
      </c>
      <c r="C5018" s="1">
        <v>46187.908333333333</v>
      </c>
      <c r="D5018" s="1">
        <v>46225.791666666657</v>
      </c>
      <c r="E5018" s="2">
        <f t="shared" si="78"/>
        <v>37.883333333324117</v>
      </c>
    </row>
    <row r="5019" spans="1:5" x14ac:dyDescent="0.25">
      <c r="A5019" t="s">
        <v>41</v>
      </c>
      <c r="B5019" t="s">
        <v>8</v>
      </c>
      <c r="C5019" s="1">
        <v>46226.589583333327</v>
      </c>
      <c r="D5019" s="1">
        <v>46267.742361111108</v>
      </c>
      <c r="E5019" s="2">
        <f t="shared" si="78"/>
        <v>41.152777777781012</v>
      </c>
    </row>
    <row r="5020" spans="1:5" x14ac:dyDescent="0.25">
      <c r="A5020" t="s">
        <v>8</v>
      </c>
      <c r="B5020" t="s">
        <v>6</v>
      </c>
      <c r="C5020" s="1">
        <v>46127.822916666657</v>
      </c>
      <c r="D5020" s="1">
        <v>46174.149305555547</v>
      </c>
      <c r="E5020" s="2">
        <f t="shared" si="78"/>
        <v>46.326388888890506</v>
      </c>
    </row>
    <row r="5021" spans="1:5" x14ac:dyDescent="0.25">
      <c r="A5021" t="s">
        <v>9</v>
      </c>
      <c r="B5021" t="s">
        <v>8</v>
      </c>
      <c r="C5021" s="1">
        <v>46196.296527777777</v>
      </c>
      <c r="D5021" s="1">
        <v>46237.043749999997</v>
      </c>
      <c r="E5021" s="2">
        <f t="shared" si="78"/>
        <v>40.747222222220444</v>
      </c>
    </row>
    <row r="5022" spans="1:5" x14ac:dyDescent="0.25">
      <c r="A5022" t="s">
        <v>42</v>
      </c>
      <c r="B5022" t="s">
        <v>18</v>
      </c>
      <c r="C5022" s="1">
        <v>46130.666666666657</v>
      </c>
      <c r="D5022" s="1">
        <v>46179.385416666657</v>
      </c>
      <c r="E5022" s="2">
        <f t="shared" si="78"/>
        <v>48.71875</v>
      </c>
    </row>
    <row r="5023" spans="1:5" x14ac:dyDescent="0.25">
      <c r="A5023" t="s">
        <v>41</v>
      </c>
      <c r="B5023" t="s">
        <v>8</v>
      </c>
      <c r="C5023" s="1">
        <v>46187.908333333333</v>
      </c>
      <c r="D5023" s="1">
        <v>46225.791666666657</v>
      </c>
      <c r="E5023" s="2">
        <f t="shared" si="78"/>
        <v>37.883333333324117</v>
      </c>
    </row>
    <row r="5024" spans="1:5" x14ac:dyDescent="0.25">
      <c r="A5024" t="s">
        <v>8</v>
      </c>
      <c r="B5024" t="s">
        <v>6</v>
      </c>
      <c r="C5024" s="1">
        <v>46135.436111111107</v>
      </c>
      <c r="D5024" s="1">
        <v>46214.6875</v>
      </c>
      <c r="E5024" s="2">
        <f t="shared" si="78"/>
        <v>79.251388888893416</v>
      </c>
    </row>
    <row r="5025" spans="1:5" x14ac:dyDescent="0.25">
      <c r="A5025" t="s">
        <v>41</v>
      </c>
      <c r="B5025" t="s">
        <v>8</v>
      </c>
      <c r="C5025" s="1">
        <v>46226.589583333327</v>
      </c>
      <c r="D5025" s="1">
        <v>46267.742361111108</v>
      </c>
      <c r="E5025" s="2">
        <f t="shared" si="78"/>
        <v>41.152777777781012</v>
      </c>
    </row>
    <row r="5026" spans="1:5" x14ac:dyDescent="0.25">
      <c r="A5026" t="s">
        <v>22</v>
      </c>
      <c r="B5026" t="s">
        <v>14</v>
      </c>
      <c r="C5026" s="1">
        <v>46141.989583333343</v>
      </c>
      <c r="D5026" s="1">
        <v>46198.788888888892</v>
      </c>
      <c r="E5026" s="2">
        <f t="shared" si="78"/>
        <v>56.799305555548926</v>
      </c>
    </row>
    <row r="5027" spans="1:5" x14ac:dyDescent="0.25">
      <c r="A5027" t="s">
        <v>8</v>
      </c>
      <c r="B5027" t="s">
        <v>6</v>
      </c>
      <c r="C5027" s="1">
        <v>46127.822916666657</v>
      </c>
      <c r="D5027" s="1">
        <v>46174.149305555547</v>
      </c>
      <c r="E5027" s="2">
        <f t="shared" si="78"/>
        <v>46.326388888890506</v>
      </c>
    </row>
    <row r="5028" spans="1:5" x14ac:dyDescent="0.25">
      <c r="A5028" t="s">
        <v>41</v>
      </c>
      <c r="B5028" t="s">
        <v>8</v>
      </c>
      <c r="C5028" s="1">
        <v>46187.908333333333</v>
      </c>
      <c r="D5028" s="1">
        <v>46225.5</v>
      </c>
      <c r="E5028" s="2">
        <f t="shared" si="78"/>
        <v>37.591666666667152</v>
      </c>
    </row>
    <row r="5029" spans="1:5" x14ac:dyDescent="0.25">
      <c r="A5029" t="s">
        <v>41</v>
      </c>
      <c r="B5029" t="s">
        <v>8</v>
      </c>
      <c r="C5029" s="1">
        <v>46217.678472222222</v>
      </c>
      <c r="D5029" s="1">
        <v>46267.742361111108</v>
      </c>
      <c r="E5029" s="2">
        <f t="shared" si="78"/>
        <v>50.06388888888614</v>
      </c>
    </row>
    <row r="5030" spans="1:5" x14ac:dyDescent="0.25">
      <c r="A5030" t="s">
        <v>8</v>
      </c>
      <c r="B5030" t="s">
        <v>6</v>
      </c>
      <c r="C5030" s="1">
        <v>45979.114583333343</v>
      </c>
      <c r="D5030" s="1">
        <v>46046.510416666657</v>
      </c>
      <c r="E5030" s="2">
        <f t="shared" si="78"/>
        <v>67.395833333313931</v>
      </c>
    </row>
    <row r="5031" spans="1:5" x14ac:dyDescent="0.25">
      <c r="A5031" t="s">
        <v>8</v>
      </c>
      <c r="B5031" t="s">
        <v>6</v>
      </c>
      <c r="C5031" s="1">
        <v>45979.114583333343</v>
      </c>
      <c r="D5031" s="1">
        <v>46046.510416666657</v>
      </c>
      <c r="E5031" s="2">
        <f t="shared" si="78"/>
        <v>67.395833333313931</v>
      </c>
    </row>
    <row r="5032" spans="1:5" x14ac:dyDescent="0.25">
      <c r="A5032" t="s">
        <v>5</v>
      </c>
      <c r="B5032" t="s">
        <v>8</v>
      </c>
      <c r="C5032" s="1">
        <v>46243.275000000001</v>
      </c>
      <c r="D5032" s="1">
        <v>46282.215277777781</v>
      </c>
      <c r="E5032" s="2">
        <f t="shared" si="78"/>
        <v>38.940277777779556</v>
      </c>
    </row>
    <row r="5033" spans="1:5" x14ac:dyDescent="0.25">
      <c r="A5033" t="s">
        <v>41</v>
      </c>
      <c r="B5033" t="s">
        <v>8</v>
      </c>
      <c r="C5033" s="1">
        <v>46201.175694444442</v>
      </c>
      <c r="D5033" s="1">
        <v>46237.043749999997</v>
      </c>
      <c r="E5033" s="2">
        <f t="shared" si="78"/>
        <v>35.868055555554747</v>
      </c>
    </row>
    <row r="5034" spans="1:5" x14ac:dyDescent="0.25">
      <c r="A5034" t="s">
        <v>41</v>
      </c>
      <c r="B5034" t="s">
        <v>8</v>
      </c>
      <c r="C5034" s="1">
        <v>46187.908333333333</v>
      </c>
      <c r="D5034" s="1">
        <v>46225.5</v>
      </c>
      <c r="E5034" s="2">
        <f t="shared" si="78"/>
        <v>37.591666666667152</v>
      </c>
    </row>
    <row r="5035" spans="1:5" x14ac:dyDescent="0.25">
      <c r="A5035" t="s">
        <v>9</v>
      </c>
      <c r="B5035" t="s">
        <v>8</v>
      </c>
      <c r="C5035" s="1">
        <v>46205.600694444453</v>
      </c>
      <c r="D5035" s="1">
        <v>46258.759722222218</v>
      </c>
      <c r="E5035" s="2">
        <f t="shared" si="78"/>
        <v>53.159027777765004</v>
      </c>
    </row>
    <row r="5036" spans="1:5" x14ac:dyDescent="0.25">
      <c r="A5036" t="s">
        <v>8</v>
      </c>
      <c r="B5036" t="s">
        <v>6</v>
      </c>
      <c r="C5036" s="1">
        <v>46127.822916666657</v>
      </c>
      <c r="D5036" s="1">
        <v>46174.149305555547</v>
      </c>
      <c r="E5036" s="2">
        <f t="shared" si="78"/>
        <v>46.326388888890506</v>
      </c>
    </row>
    <row r="5037" spans="1:5" x14ac:dyDescent="0.25">
      <c r="A5037" t="s">
        <v>41</v>
      </c>
      <c r="B5037" t="s">
        <v>8</v>
      </c>
      <c r="C5037" s="1">
        <v>46187.908333333333</v>
      </c>
      <c r="D5037" s="1">
        <v>46225.791666666657</v>
      </c>
      <c r="E5037" s="2">
        <f t="shared" si="78"/>
        <v>37.883333333324117</v>
      </c>
    </row>
    <row r="5038" spans="1:5" x14ac:dyDescent="0.25">
      <c r="A5038" t="s">
        <v>23</v>
      </c>
      <c r="B5038" t="s">
        <v>8</v>
      </c>
      <c r="C5038" s="1">
        <v>46109.312152777777</v>
      </c>
      <c r="D5038" s="1">
        <v>46159.218865740739</v>
      </c>
      <c r="E5038" s="2">
        <f t="shared" si="78"/>
        <v>49.906712962962047</v>
      </c>
    </row>
    <row r="5039" spans="1:5" x14ac:dyDescent="0.25">
      <c r="A5039" t="s">
        <v>23</v>
      </c>
      <c r="B5039" t="s">
        <v>8</v>
      </c>
      <c r="C5039" s="1">
        <v>46009.072592592587</v>
      </c>
      <c r="D5039" s="1">
        <v>46054.365370370368</v>
      </c>
      <c r="E5039" s="2">
        <f t="shared" si="78"/>
        <v>45.292777777780429</v>
      </c>
    </row>
    <row r="5040" spans="1:5" x14ac:dyDescent="0.25">
      <c r="A5040" t="s">
        <v>23</v>
      </c>
      <c r="B5040" t="s">
        <v>8</v>
      </c>
      <c r="C5040" s="1">
        <v>46209.279166666667</v>
      </c>
      <c r="D5040" s="1">
        <v>46283.770196759258</v>
      </c>
      <c r="E5040" s="2">
        <f t="shared" si="78"/>
        <v>74.491030092591245</v>
      </c>
    </row>
    <row r="5041" spans="1:5" x14ac:dyDescent="0.25">
      <c r="A5041" t="s">
        <v>23</v>
      </c>
      <c r="B5041" t="s">
        <v>8</v>
      </c>
      <c r="C5041" s="1">
        <v>46044.898344907408</v>
      </c>
      <c r="D5041" s="1">
        <v>46103.262673611112</v>
      </c>
      <c r="E5041" s="2">
        <f t="shared" si="78"/>
        <v>58.364328703704814</v>
      </c>
    </row>
    <row r="5042" spans="1:5" x14ac:dyDescent="0.25">
      <c r="A5042" t="s">
        <v>23</v>
      </c>
      <c r="B5042" t="s">
        <v>8</v>
      </c>
      <c r="C5042" s="1">
        <v>46097.465671296297</v>
      </c>
      <c r="D5042" s="1">
        <v>46144.890138888892</v>
      </c>
      <c r="E5042" s="2">
        <f t="shared" si="78"/>
        <v>47.424467592594738</v>
      </c>
    </row>
    <row r="5043" spans="1:5" x14ac:dyDescent="0.25">
      <c r="A5043" t="s">
        <v>23</v>
      </c>
      <c r="B5043" t="s">
        <v>8</v>
      </c>
      <c r="C5043" s="1">
        <v>46100.794386574067</v>
      </c>
      <c r="D5043" s="1">
        <v>46159.218865740739</v>
      </c>
      <c r="E5043" s="2">
        <f t="shared" si="78"/>
        <v>58.424479166671517</v>
      </c>
    </row>
    <row r="5044" spans="1:5" x14ac:dyDescent="0.25">
      <c r="A5044" t="s">
        <v>23</v>
      </c>
      <c r="B5044" t="s">
        <v>8</v>
      </c>
      <c r="C5044" s="1">
        <v>46128.68105324074</v>
      </c>
      <c r="D5044" s="1">
        <v>46175.795439814807</v>
      </c>
      <c r="E5044" s="2">
        <f t="shared" si="78"/>
        <v>47.114386574066884</v>
      </c>
    </row>
    <row r="5045" spans="1:5" x14ac:dyDescent="0.25">
      <c r="A5045" t="s">
        <v>23</v>
      </c>
      <c r="B5045" t="s">
        <v>8</v>
      </c>
      <c r="C5045" s="1">
        <v>46141.750567129631</v>
      </c>
      <c r="D5045" s="1">
        <v>46194.346909722219</v>
      </c>
      <c r="E5045" s="2">
        <f t="shared" si="78"/>
        <v>52.596342592587462</v>
      </c>
    </row>
    <row r="5046" spans="1:5" x14ac:dyDescent="0.25">
      <c r="A5046" t="s">
        <v>23</v>
      </c>
      <c r="B5046" t="s">
        <v>8</v>
      </c>
      <c r="C5046" s="1">
        <v>46018.544224537043</v>
      </c>
      <c r="D5046" s="1">
        <v>46067.650706018518</v>
      </c>
      <c r="E5046" s="2">
        <f t="shared" si="78"/>
        <v>49.106481481474475</v>
      </c>
    </row>
    <row r="5047" spans="1:5" x14ac:dyDescent="0.25">
      <c r="A5047" t="s">
        <v>8</v>
      </c>
      <c r="B5047" t="s">
        <v>44</v>
      </c>
      <c r="C5047" s="1">
        <v>45785.23541666667</v>
      </c>
      <c r="D5047" s="1">
        <v>45820.917361111111</v>
      </c>
      <c r="E5047" s="2">
        <f t="shared" si="78"/>
        <v>35.681944444440887</v>
      </c>
    </row>
    <row r="5048" spans="1:5" x14ac:dyDescent="0.25">
      <c r="A5048" t="s">
        <v>23</v>
      </c>
      <c r="B5048" t="s">
        <v>8</v>
      </c>
      <c r="C5048" s="1">
        <v>46063.756238425929</v>
      </c>
      <c r="D5048" s="1">
        <v>46124.391215277778</v>
      </c>
      <c r="E5048" s="2">
        <f t="shared" si="78"/>
        <v>60.634976851848478</v>
      </c>
    </row>
    <row r="5049" spans="1:5" x14ac:dyDescent="0.25">
      <c r="A5049" t="s">
        <v>23</v>
      </c>
      <c r="B5049" t="s">
        <v>8</v>
      </c>
      <c r="C5049" s="1">
        <v>46028.629259259258</v>
      </c>
      <c r="D5049" s="1">
        <v>46074.836921296293</v>
      </c>
      <c r="E5049" s="2">
        <f t="shared" si="78"/>
        <v>46.207662037035334</v>
      </c>
    </row>
    <row r="5050" spans="1:5" x14ac:dyDescent="0.25">
      <c r="A5050" t="s">
        <v>23</v>
      </c>
      <c r="B5050" t="s">
        <v>8</v>
      </c>
      <c r="C5050" s="1">
        <v>46065.314398148148</v>
      </c>
      <c r="D5050" s="1">
        <v>46117.104444444441</v>
      </c>
      <c r="E5050" s="2">
        <f t="shared" si="78"/>
        <v>51.79004629629344</v>
      </c>
    </row>
    <row r="5051" spans="1:5" x14ac:dyDescent="0.25">
      <c r="A5051" t="s">
        <v>23</v>
      </c>
      <c r="B5051" t="s">
        <v>8</v>
      </c>
      <c r="C5051" s="1">
        <v>46112.116678240738</v>
      </c>
      <c r="D5051" s="1">
        <v>46159.218865740739</v>
      </c>
      <c r="E5051" s="2">
        <f t="shared" si="78"/>
        <v>47.102187500000582</v>
      </c>
    </row>
    <row r="5052" spans="1:5" x14ac:dyDescent="0.25">
      <c r="A5052" t="s">
        <v>23</v>
      </c>
      <c r="B5052" t="s">
        <v>8</v>
      </c>
      <c r="C5052" s="1">
        <v>46148.294548611113</v>
      </c>
      <c r="D5052" s="1">
        <v>46201.199803240743</v>
      </c>
      <c r="E5052" s="2">
        <f t="shared" si="78"/>
        <v>52.905254629629781</v>
      </c>
    </row>
    <row r="5053" spans="1:5" x14ac:dyDescent="0.25">
      <c r="A5053" t="s">
        <v>15</v>
      </c>
      <c r="B5053" t="s">
        <v>18</v>
      </c>
      <c r="C5053" s="1">
        <v>45699.895833333343</v>
      </c>
      <c r="D5053" s="1">
        <v>45747.246527777781</v>
      </c>
      <c r="E5053" s="2">
        <f t="shared" si="78"/>
        <v>47.350694444437977</v>
      </c>
    </row>
    <row r="5054" spans="1:5" x14ac:dyDescent="0.25">
      <c r="A5054" t="s">
        <v>17</v>
      </c>
      <c r="B5054" t="s">
        <v>18</v>
      </c>
      <c r="C5054" s="1">
        <v>45694.875</v>
      </c>
      <c r="D5054" s="1">
        <v>45759.888194444437</v>
      </c>
      <c r="E5054" s="2">
        <f t="shared" si="78"/>
        <v>65.013194444436522</v>
      </c>
    </row>
    <row r="5055" spans="1:5" x14ac:dyDescent="0.25">
      <c r="A5055" t="s">
        <v>8</v>
      </c>
      <c r="B5055" t="s">
        <v>18</v>
      </c>
      <c r="C5055" s="1">
        <v>46135.317361111112</v>
      </c>
      <c r="D5055" s="1">
        <v>46183.138194444437</v>
      </c>
      <c r="E5055" s="2">
        <f t="shared" si="78"/>
        <v>47.820833333324117</v>
      </c>
    </row>
    <row r="5056" spans="1:5" x14ac:dyDescent="0.25">
      <c r="A5056" t="s">
        <v>15</v>
      </c>
      <c r="B5056" t="s">
        <v>18</v>
      </c>
      <c r="C5056" s="1">
        <v>45822.618750000001</v>
      </c>
      <c r="D5056" s="1">
        <v>45865.319444444453</v>
      </c>
      <c r="E5056" s="2">
        <f t="shared" si="78"/>
        <v>42.700694444451074</v>
      </c>
    </row>
    <row r="5057" spans="1:5" x14ac:dyDescent="0.25">
      <c r="A5057" t="s">
        <v>10</v>
      </c>
      <c r="B5057" t="s">
        <v>11</v>
      </c>
      <c r="C5057" s="1">
        <v>45753.804166666669</v>
      </c>
      <c r="D5057" s="1">
        <v>45783.9</v>
      </c>
      <c r="E5057" s="2">
        <f t="shared" si="78"/>
        <v>30.095833333332848</v>
      </c>
    </row>
    <row r="5058" spans="1:5" x14ac:dyDescent="0.25">
      <c r="A5058" t="s">
        <v>15</v>
      </c>
      <c r="B5058" t="s">
        <v>38</v>
      </c>
      <c r="C5058" s="1">
        <v>45990.175000000003</v>
      </c>
      <c r="D5058" s="1">
        <v>46036.376388888893</v>
      </c>
      <c r="E5058" s="2">
        <f t="shared" ref="E5058:E5121" si="79">D5058-C5058</f>
        <v>46.201388888890506</v>
      </c>
    </row>
    <row r="5059" spans="1:5" x14ac:dyDescent="0.25">
      <c r="A5059" t="s">
        <v>5</v>
      </c>
      <c r="B5059" t="s">
        <v>8</v>
      </c>
      <c r="C5059" s="1">
        <v>45995.0625</v>
      </c>
      <c r="D5059" s="1">
        <v>46028.791666666657</v>
      </c>
      <c r="E5059" s="2">
        <f t="shared" si="79"/>
        <v>33.729166666656965</v>
      </c>
    </row>
    <row r="5060" spans="1:5" x14ac:dyDescent="0.25">
      <c r="A5060" t="s">
        <v>8</v>
      </c>
      <c r="B5060" t="s">
        <v>13</v>
      </c>
      <c r="C5060" s="1">
        <v>45793.695833333331</v>
      </c>
      <c r="D5060" s="1">
        <v>45825.745300925933</v>
      </c>
      <c r="E5060" s="2">
        <f t="shared" si="79"/>
        <v>32.049467592602014</v>
      </c>
    </row>
    <row r="5061" spans="1:5" x14ac:dyDescent="0.25">
      <c r="A5061" t="s">
        <v>11</v>
      </c>
      <c r="B5061" t="s">
        <v>21</v>
      </c>
      <c r="C5061" s="1">
        <v>45906.244097222218</v>
      </c>
      <c r="D5061" s="1">
        <v>45916.45</v>
      </c>
      <c r="E5061" s="2">
        <f t="shared" si="79"/>
        <v>10.205902777779556</v>
      </c>
    </row>
    <row r="5062" spans="1:5" x14ac:dyDescent="0.25">
      <c r="A5062" t="s">
        <v>46</v>
      </c>
      <c r="B5062" t="s">
        <v>11</v>
      </c>
      <c r="C5062" s="1">
        <v>45941.797222222223</v>
      </c>
      <c r="D5062" s="1">
        <v>45952.598761574067</v>
      </c>
      <c r="E5062" s="2">
        <f t="shared" si="79"/>
        <v>10.80153935184353</v>
      </c>
    </row>
    <row r="5063" spans="1:5" x14ac:dyDescent="0.25">
      <c r="A5063" t="s">
        <v>12</v>
      </c>
      <c r="B5063" t="s">
        <v>13</v>
      </c>
      <c r="C5063" s="1">
        <v>45740.831944444442</v>
      </c>
      <c r="D5063" s="1">
        <v>45785.365972222222</v>
      </c>
      <c r="E5063" s="2">
        <f t="shared" si="79"/>
        <v>44.534027777779556</v>
      </c>
    </row>
    <row r="5064" spans="1:5" x14ac:dyDescent="0.25">
      <c r="A5064" t="s">
        <v>7</v>
      </c>
      <c r="B5064" t="s">
        <v>8</v>
      </c>
      <c r="C5064" s="1">
        <v>45903.083333333343</v>
      </c>
      <c r="D5064" s="1">
        <v>45938.662499999999</v>
      </c>
      <c r="E5064" s="2">
        <f t="shared" si="79"/>
        <v>35.57916666665551</v>
      </c>
    </row>
    <row r="5065" spans="1:5" x14ac:dyDescent="0.25">
      <c r="A5065" t="s">
        <v>15</v>
      </c>
      <c r="B5065" t="s">
        <v>38</v>
      </c>
      <c r="C5065" s="1">
        <v>46192.579826388886</v>
      </c>
      <c r="D5065" s="1">
        <v>46246.558333333327</v>
      </c>
      <c r="E5065" s="2">
        <f t="shared" si="79"/>
        <v>53.978506944440596</v>
      </c>
    </row>
    <row r="5066" spans="1:5" x14ac:dyDescent="0.25">
      <c r="A5066" t="s">
        <v>12</v>
      </c>
      <c r="B5066" t="s">
        <v>13</v>
      </c>
      <c r="C5066" s="1">
        <v>46125.046527777777</v>
      </c>
      <c r="D5066" s="1">
        <v>46168.666666666657</v>
      </c>
      <c r="E5066" s="2">
        <f t="shared" si="79"/>
        <v>43.620138888880319</v>
      </c>
    </row>
    <row r="5067" spans="1:5" x14ac:dyDescent="0.25">
      <c r="A5067" t="s">
        <v>7</v>
      </c>
      <c r="B5067" t="s">
        <v>20</v>
      </c>
      <c r="C5067" s="1">
        <v>45957.228472222218</v>
      </c>
      <c r="D5067" s="1">
        <v>46003.355555555558</v>
      </c>
      <c r="E5067" s="2">
        <f t="shared" si="79"/>
        <v>46.127083333340124</v>
      </c>
    </row>
    <row r="5068" spans="1:5" x14ac:dyDescent="0.25">
      <c r="A5068" t="s">
        <v>16</v>
      </c>
      <c r="B5068" t="s">
        <v>6</v>
      </c>
      <c r="C5068" s="1">
        <v>45757.408333333333</v>
      </c>
      <c r="D5068" s="1">
        <v>45815.533333333333</v>
      </c>
      <c r="E5068" s="2">
        <f t="shared" si="79"/>
        <v>58.125</v>
      </c>
    </row>
    <row r="5069" spans="1:5" x14ac:dyDescent="0.25">
      <c r="A5069" t="s">
        <v>27</v>
      </c>
      <c r="B5069" t="s">
        <v>8</v>
      </c>
      <c r="C5069" s="1">
        <v>46072.583333333343</v>
      </c>
      <c r="D5069" s="1">
        <v>46117.375</v>
      </c>
      <c r="E5069" s="2">
        <f t="shared" si="79"/>
        <v>44.791666666656965</v>
      </c>
    </row>
    <row r="5070" spans="1:5" x14ac:dyDescent="0.25">
      <c r="A5070" t="s">
        <v>12</v>
      </c>
      <c r="B5070" t="s">
        <v>8</v>
      </c>
      <c r="C5070" s="1">
        <v>46203.840277777781</v>
      </c>
      <c r="D5070" s="1">
        <v>46268.117361111108</v>
      </c>
      <c r="E5070" s="2">
        <f t="shared" si="79"/>
        <v>64.277083333327028</v>
      </c>
    </row>
    <row r="5071" spans="1:5" x14ac:dyDescent="0.25">
      <c r="A5071" t="s">
        <v>41</v>
      </c>
      <c r="B5071" t="s">
        <v>43</v>
      </c>
      <c r="C5071" s="1">
        <v>46163.695138888892</v>
      </c>
      <c r="D5071" s="1">
        <v>46206.791666666657</v>
      </c>
      <c r="E5071" s="2">
        <f t="shared" si="79"/>
        <v>43.096527777765004</v>
      </c>
    </row>
    <row r="5072" spans="1:5" x14ac:dyDescent="0.25">
      <c r="A5072" t="s">
        <v>12</v>
      </c>
      <c r="B5072" t="s">
        <v>13</v>
      </c>
      <c r="C5072" s="1">
        <v>45957.333333333343</v>
      </c>
      <c r="D5072" s="1">
        <v>46004.25</v>
      </c>
      <c r="E5072" s="2">
        <f t="shared" si="79"/>
        <v>46.916666666656965</v>
      </c>
    </row>
    <row r="5073" spans="1:5" x14ac:dyDescent="0.25">
      <c r="A5073" t="s">
        <v>42</v>
      </c>
      <c r="B5073" t="s">
        <v>63</v>
      </c>
      <c r="C5073" s="1">
        <v>45953.716666666667</v>
      </c>
      <c r="D5073" s="1">
        <v>45993.333333333343</v>
      </c>
      <c r="E5073" s="2">
        <f t="shared" si="79"/>
        <v>39.616666666675883</v>
      </c>
    </row>
    <row r="5074" spans="1:5" x14ac:dyDescent="0.25">
      <c r="A5074" t="s">
        <v>27</v>
      </c>
      <c r="B5074" t="s">
        <v>8</v>
      </c>
      <c r="C5074" s="1">
        <v>45921.987500000003</v>
      </c>
      <c r="D5074" s="1">
        <v>45963.489583333343</v>
      </c>
      <c r="E5074" s="2">
        <f t="shared" si="79"/>
        <v>41.502083333340124</v>
      </c>
    </row>
    <row r="5075" spans="1:5" x14ac:dyDescent="0.25">
      <c r="A5075" t="s">
        <v>15</v>
      </c>
      <c r="B5075" t="s">
        <v>8</v>
      </c>
      <c r="C5075" s="1">
        <v>45734.426388888889</v>
      </c>
      <c r="D5075" s="1">
        <v>45777</v>
      </c>
      <c r="E5075" s="2">
        <f t="shared" si="79"/>
        <v>42.573611111110949</v>
      </c>
    </row>
    <row r="5076" spans="1:5" x14ac:dyDescent="0.25">
      <c r="A5076" t="s">
        <v>11</v>
      </c>
      <c r="B5076" t="s">
        <v>7</v>
      </c>
      <c r="C5076" s="1">
        <v>45851.537499999999</v>
      </c>
      <c r="D5076" s="1">
        <v>45939.32916666667</v>
      </c>
      <c r="E5076" s="2">
        <f t="shared" si="79"/>
        <v>87.791666666671517</v>
      </c>
    </row>
    <row r="5077" spans="1:5" x14ac:dyDescent="0.25">
      <c r="A5077" t="s">
        <v>12</v>
      </c>
      <c r="B5077" t="s">
        <v>18</v>
      </c>
      <c r="C5077" s="1">
        <v>45746.544444444437</v>
      </c>
      <c r="D5077" s="1">
        <v>45800.666666666657</v>
      </c>
      <c r="E5077" s="2">
        <f t="shared" si="79"/>
        <v>54.122222222220444</v>
      </c>
    </row>
    <row r="5078" spans="1:5" x14ac:dyDescent="0.25">
      <c r="A5078" t="s">
        <v>6</v>
      </c>
      <c r="B5078" t="s">
        <v>8</v>
      </c>
      <c r="C5078" s="1">
        <v>45755.96875</v>
      </c>
      <c r="D5078" s="1">
        <v>45799.242361111108</v>
      </c>
      <c r="E5078" s="2">
        <f t="shared" si="79"/>
        <v>43.273611111108039</v>
      </c>
    </row>
    <row r="5079" spans="1:5" x14ac:dyDescent="0.25">
      <c r="A5079" t="s">
        <v>12</v>
      </c>
      <c r="B5079" t="s">
        <v>13</v>
      </c>
      <c r="C5079" s="1">
        <v>45865.176388888889</v>
      </c>
      <c r="D5079" s="1">
        <v>45912.715277777781</v>
      </c>
      <c r="E5079" s="2">
        <f t="shared" si="79"/>
        <v>47.538888888891961</v>
      </c>
    </row>
    <row r="5080" spans="1:5" x14ac:dyDescent="0.25">
      <c r="A5080" t="s">
        <v>12</v>
      </c>
      <c r="B5080" t="s">
        <v>13</v>
      </c>
      <c r="C5080" s="1">
        <v>46036.183333333327</v>
      </c>
      <c r="D5080" s="1">
        <v>46079.787499999999</v>
      </c>
      <c r="E5080" s="2">
        <f t="shared" si="79"/>
        <v>43.604166666671517</v>
      </c>
    </row>
    <row r="5081" spans="1:5" x14ac:dyDescent="0.25">
      <c r="A5081" t="s">
        <v>14</v>
      </c>
      <c r="B5081" t="s">
        <v>22</v>
      </c>
      <c r="C5081" s="1">
        <v>46101.208333333343</v>
      </c>
      <c r="D5081" s="1">
        <v>46165.395833333343</v>
      </c>
      <c r="E5081" s="2">
        <f t="shared" si="79"/>
        <v>64.1875</v>
      </c>
    </row>
    <row r="5082" spans="1:5" x14ac:dyDescent="0.25">
      <c r="A5082" t="s">
        <v>16</v>
      </c>
      <c r="B5082" t="s">
        <v>8</v>
      </c>
      <c r="C5082" s="1">
        <v>45773.75</v>
      </c>
      <c r="D5082" s="1">
        <v>45830.208333333343</v>
      </c>
      <c r="E5082" s="2">
        <f t="shared" si="79"/>
        <v>56.458333333343035</v>
      </c>
    </row>
    <row r="5083" spans="1:5" x14ac:dyDescent="0.25">
      <c r="A5083" t="s">
        <v>12</v>
      </c>
      <c r="B5083" t="s">
        <v>13</v>
      </c>
      <c r="C5083" s="1">
        <v>45733.666666666657</v>
      </c>
      <c r="D5083" s="1">
        <v>45777.879166666673</v>
      </c>
      <c r="E5083" s="2">
        <f t="shared" si="79"/>
        <v>44.212500000016007</v>
      </c>
    </row>
    <row r="5084" spans="1:5" x14ac:dyDescent="0.25">
      <c r="A5084" t="s">
        <v>14</v>
      </c>
      <c r="B5084" t="s">
        <v>22</v>
      </c>
      <c r="C5084" s="1">
        <v>46081.037499999999</v>
      </c>
      <c r="D5084" s="1">
        <v>46144.887499999997</v>
      </c>
      <c r="E5084" s="2">
        <f t="shared" si="79"/>
        <v>63.849999999998545</v>
      </c>
    </row>
    <row r="5085" spans="1:5" x14ac:dyDescent="0.25">
      <c r="A5085" t="s">
        <v>8</v>
      </c>
      <c r="B5085" t="s">
        <v>18</v>
      </c>
      <c r="C5085" s="1">
        <v>46177.366666666669</v>
      </c>
      <c r="D5085" s="1">
        <v>46224.604166666657</v>
      </c>
      <c r="E5085" s="2">
        <f t="shared" si="79"/>
        <v>47.237499999988358</v>
      </c>
    </row>
    <row r="5086" spans="1:5" x14ac:dyDescent="0.25">
      <c r="A5086" t="s">
        <v>11</v>
      </c>
      <c r="B5086" t="s">
        <v>21</v>
      </c>
      <c r="C5086" s="1">
        <v>45785.958333333343</v>
      </c>
      <c r="D5086" s="1">
        <v>45798.987500000003</v>
      </c>
      <c r="E5086" s="2">
        <f t="shared" si="79"/>
        <v>13.029166666659876</v>
      </c>
    </row>
    <row r="5087" spans="1:5" x14ac:dyDescent="0.25">
      <c r="A5087" t="s">
        <v>10</v>
      </c>
      <c r="B5087" t="s">
        <v>11</v>
      </c>
      <c r="C5087" s="1">
        <v>45866.1</v>
      </c>
      <c r="D5087" s="1">
        <v>45895.958333333343</v>
      </c>
      <c r="E5087" s="2">
        <f t="shared" si="79"/>
        <v>29.85833333334449</v>
      </c>
    </row>
    <row r="5088" spans="1:5" x14ac:dyDescent="0.25">
      <c r="A5088" t="s">
        <v>12</v>
      </c>
      <c r="B5088" t="s">
        <v>18</v>
      </c>
      <c r="C5088" s="1">
        <v>45879</v>
      </c>
      <c r="D5088" s="1">
        <v>45948</v>
      </c>
      <c r="E5088" s="2">
        <f t="shared" si="79"/>
        <v>69</v>
      </c>
    </row>
    <row r="5089" spans="1:5" x14ac:dyDescent="0.25">
      <c r="A5089" t="s">
        <v>16</v>
      </c>
      <c r="B5089" t="s">
        <v>20</v>
      </c>
      <c r="C5089" s="1">
        <v>45674.50277777778</v>
      </c>
      <c r="D5089" s="1">
        <v>45721.366666666669</v>
      </c>
      <c r="E5089" s="2">
        <f t="shared" si="79"/>
        <v>46.863888888889051</v>
      </c>
    </row>
    <row r="5090" spans="1:5" x14ac:dyDescent="0.25">
      <c r="A5090" t="s">
        <v>22</v>
      </c>
      <c r="B5090" t="s">
        <v>14</v>
      </c>
      <c r="C5090" s="1">
        <v>46135.149305555547</v>
      </c>
      <c r="D5090" s="1">
        <v>46186.052777777782</v>
      </c>
      <c r="E5090" s="2">
        <f t="shared" si="79"/>
        <v>50.903472222234996</v>
      </c>
    </row>
    <row r="5091" spans="1:5" x14ac:dyDescent="0.25">
      <c r="A5091" t="s">
        <v>41</v>
      </c>
      <c r="B5091" t="s">
        <v>8</v>
      </c>
      <c r="C5091" s="1">
        <v>46217.678472222222</v>
      </c>
      <c r="D5091" s="1">
        <v>46267.742361111108</v>
      </c>
      <c r="E5091" s="2">
        <f t="shared" si="79"/>
        <v>50.06388888888614</v>
      </c>
    </row>
    <row r="5092" spans="1:5" x14ac:dyDescent="0.25">
      <c r="A5092" t="s">
        <v>15</v>
      </c>
      <c r="B5092" t="s">
        <v>18</v>
      </c>
      <c r="C5092" s="1">
        <v>46125.81527777778</v>
      </c>
      <c r="D5092" s="1">
        <v>46176.968055555553</v>
      </c>
      <c r="E5092" s="2">
        <f t="shared" si="79"/>
        <v>51.152777777773736</v>
      </c>
    </row>
    <row r="5093" spans="1:5" x14ac:dyDescent="0.25">
      <c r="A5093" t="s">
        <v>11</v>
      </c>
      <c r="B5093" t="s">
        <v>21</v>
      </c>
      <c r="C5093" s="1">
        <v>46144.716666666667</v>
      </c>
      <c r="D5093" s="1">
        <v>46156.911111111112</v>
      </c>
      <c r="E5093" s="2">
        <f t="shared" si="79"/>
        <v>12.194444444445253</v>
      </c>
    </row>
    <row r="5094" spans="1:5" x14ac:dyDescent="0.25">
      <c r="A5094" t="s">
        <v>7</v>
      </c>
      <c r="B5094" t="s">
        <v>11</v>
      </c>
      <c r="C5094" s="1">
        <v>45707.804166666669</v>
      </c>
      <c r="D5094" s="1">
        <v>45783.9</v>
      </c>
      <c r="E5094" s="2">
        <f t="shared" si="79"/>
        <v>76.095833333332848</v>
      </c>
    </row>
    <row r="5095" spans="1:5" x14ac:dyDescent="0.25">
      <c r="A5095" t="s">
        <v>48</v>
      </c>
      <c r="B5095" t="s">
        <v>12</v>
      </c>
      <c r="C5095" s="1">
        <v>45841.020833333343</v>
      </c>
      <c r="D5095" s="1">
        <v>45898.416666666657</v>
      </c>
      <c r="E5095" s="2">
        <f t="shared" si="79"/>
        <v>57.395833333313931</v>
      </c>
    </row>
    <row r="5096" spans="1:5" x14ac:dyDescent="0.25">
      <c r="A5096" t="s">
        <v>17</v>
      </c>
      <c r="B5096" t="s">
        <v>18</v>
      </c>
      <c r="C5096" s="1">
        <v>45723.791666666657</v>
      </c>
      <c r="D5096" s="1">
        <v>45777</v>
      </c>
      <c r="E5096" s="2">
        <f t="shared" si="79"/>
        <v>53.208333333343035</v>
      </c>
    </row>
    <row r="5097" spans="1:5" x14ac:dyDescent="0.25">
      <c r="A5097" t="s">
        <v>5</v>
      </c>
      <c r="B5097" t="s">
        <v>8</v>
      </c>
      <c r="C5097" s="1">
        <v>46113.60833333333</v>
      </c>
      <c r="D5097" s="1">
        <v>46155.262499999997</v>
      </c>
      <c r="E5097" s="2">
        <f t="shared" si="79"/>
        <v>41.654166666667152</v>
      </c>
    </row>
    <row r="5098" spans="1:5" x14ac:dyDescent="0.25">
      <c r="A5098" t="s">
        <v>12</v>
      </c>
      <c r="B5098" t="s">
        <v>13</v>
      </c>
      <c r="C5098" s="1">
        <v>46118.375</v>
      </c>
      <c r="D5098" s="1">
        <v>46168.666666666657</v>
      </c>
      <c r="E5098" s="2">
        <f t="shared" si="79"/>
        <v>50.291666666656965</v>
      </c>
    </row>
    <row r="5099" spans="1:5" x14ac:dyDescent="0.25">
      <c r="A5099" t="s">
        <v>5</v>
      </c>
      <c r="B5099" t="s">
        <v>8</v>
      </c>
      <c r="C5099" s="1">
        <v>46115.291666666657</v>
      </c>
      <c r="D5099" s="1">
        <v>46188.845833333333</v>
      </c>
      <c r="E5099" s="2">
        <f t="shared" si="79"/>
        <v>73.554166666675883</v>
      </c>
    </row>
    <row r="5100" spans="1:5" x14ac:dyDescent="0.25">
      <c r="A5100" t="s">
        <v>5</v>
      </c>
      <c r="B5100" t="s">
        <v>8</v>
      </c>
      <c r="C5100" s="1">
        <v>46065.004166666673</v>
      </c>
      <c r="D5100" s="1">
        <v>46099.525000000001</v>
      </c>
      <c r="E5100" s="2">
        <f t="shared" si="79"/>
        <v>34.520833333328483</v>
      </c>
    </row>
    <row r="5101" spans="1:5" x14ac:dyDescent="0.25">
      <c r="A5101" t="s">
        <v>8</v>
      </c>
      <c r="B5101" t="s">
        <v>7</v>
      </c>
      <c r="C5101" s="1">
        <v>46151.513888888891</v>
      </c>
      <c r="D5101" s="1">
        <v>46206.541666666657</v>
      </c>
      <c r="E5101" s="2">
        <f t="shared" si="79"/>
        <v>55.02777777776646</v>
      </c>
    </row>
    <row r="5102" spans="1:5" x14ac:dyDescent="0.25">
      <c r="A5102" t="s">
        <v>18</v>
      </c>
      <c r="B5102" t="s">
        <v>27</v>
      </c>
      <c r="C5102" s="1">
        <v>45950.666666666657</v>
      </c>
      <c r="D5102" s="1">
        <v>46030.6875</v>
      </c>
      <c r="E5102" s="2">
        <f t="shared" si="79"/>
        <v>80.020833333343035</v>
      </c>
    </row>
    <row r="5103" spans="1:5" x14ac:dyDescent="0.25">
      <c r="A5103" t="s">
        <v>7</v>
      </c>
      <c r="B5103" t="s">
        <v>8</v>
      </c>
      <c r="C5103" s="1">
        <v>45911.604166666657</v>
      </c>
      <c r="D5103" s="1">
        <v>45948.104166666657</v>
      </c>
      <c r="E5103" s="2">
        <f t="shared" si="79"/>
        <v>36.5</v>
      </c>
    </row>
    <row r="5104" spans="1:5" x14ac:dyDescent="0.25">
      <c r="A5104" t="s">
        <v>7</v>
      </c>
      <c r="B5104" t="s">
        <v>8</v>
      </c>
      <c r="C5104" s="1">
        <v>45891.654166666667</v>
      </c>
      <c r="D5104" s="1">
        <v>45938.662499999999</v>
      </c>
      <c r="E5104" s="2">
        <f t="shared" si="79"/>
        <v>47.008333333331393</v>
      </c>
    </row>
    <row r="5105" spans="1:5" x14ac:dyDescent="0.25">
      <c r="A5105" t="s">
        <v>22</v>
      </c>
      <c r="B5105" t="s">
        <v>19</v>
      </c>
      <c r="C5105" s="1">
        <v>46209.820138888892</v>
      </c>
      <c r="D5105" s="1">
        <v>46264.548715277779</v>
      </c>
      <c r="E5105" s="2">
        <f t="shared" si="79"/>
        <v>54.728576388886722</v>
      </c>
    </row>
    <row r="5106" spans="1:5" x14ac:dyDescent="0.25">
      <c r="A5106" t="s">
        <v>12</v>
      </c>
      <c r="B5106" t="s">
        <v>13</v>
      </c>
      <c r="C5106" s="1">
        <v>45669.5</v>
      </c>
      <c r="D5106" s="1">
        <v>45714.583333333343</v>
      </c>
      <c r="E5106" s="2">
        <f t="shared" si="79"/>
        <v>45.083333333343035</v>
      </c>
    </row>
    <row r="5107" spans="1:5" x14ac:dyDescent="0.25">
      <c r="A5107" t="s">
        <v>9</v>
      </c>
      <c r="B5107" t="s">
        <v>11</v>
      </c>
      <c r="C5107" s="1">
        <v>45693.216666666667</v>
      </c>
      <c r="D5107" s="1">
        <v>45769.243750000001</v>
      </c>
      <c r="E5107" s="2">
        <f t="shared" si="79"/>
        <v>76.027083333334303</v>
      </c>
    </row>
    <row r="5108" spans="1:5" x14ac:dyDescent="0.25">
      <c r="A5108" t="s">
        <v>27</v>
      </c>
      <c r="B5108" t="s">
        <v>20</v>
      </c>
      <c r="C5108" s="1">
        <v>45697.027083333327</v>
      </c>
      <c r="D5108" s="1">
        <v>45769</v>
      </c>
      <c r="E5108" s="2">
        <f t="shared" si="79"/>
        <v>71.972916666672972</v>
      </c>
    </row>
    <row r="5109" spans="1:5" x14ac:dyDescent="0.25">
      <c r="A5109" t="s">
        <v>12</v>
      </c>
      <c r="B5109" t="s">
        <v>13</v>
      </c>
      <c r="C5109" s="1">
        <v>46019.85</v>
      </c>
      <c r="D5109" s="1">
        <v>46071.101388888892</v>
      </c>
      <c r="E5109" s="2">
        <f t="shared" si="79"/>
        <v>51.251388888893416</v>
      </c>
    </row>
    <row r="5110" spans="1:5" x14ac:dyDescent="0.25">
      <c r="A5110" t="s">
        <v>26</v>
      </c>
      <c r="B5110" t="s">
        <v>21</v>
      </c>
      <c r="C5110" s="1">
        <v>46214.779166666667</v>
      </c>
      <c r="D5110" s="1">
        <v>46254.470833333333</v>
      </c>
      <c r="E5110" s="2">
        <f t="shared" si="79"/>
        <v>39.691666666665697</v>
      </c>
    </row>
    <row r="5111" spans="1:5" x14ac:dyDescent="0.25">
      <c r="A5111" t="s">
        <v>11</v>
      </c>
      <c r="B5111" t="s">
        <v>7</v>
      </c>
      <c r="C5111" s="1">
        <v>45909.612500000003</v>
      </c>
      <c r="D5111" s="1">
        <v>46015.084722222222</v>
      </c>
      <c r="E5111" s="2">
        <f t="shared" si="79"/>
        <v>105.47222222221899</v>
      </c>
    </row>
    <row r="5112" spans="1:5" x14ac:dyDescent="0.25">
      <c r="A5112" t="s">
        <v>8</v>
      </c>
      <c r="B5112" t="s">
        <v>18</v>
      </c>
      <c r="C5112" s="1">
        <v>46206.283333333333</v>
      </c>
      <c r="D5112" s="1">
        <v>46251.208333333343</v>
      </c>
      <c r="E5112" s="2">
        <f t="shared" si="79"/>
        <v>44.925000000010186</v>
      </c>
    </row>
    <row r="5113" spans="1:5" x14ac:dyDescent="0.25">
      <c r="A5113" t="s">
        <v>19</v>
      </c>
      <c r="B5113" t="s">
        <v>8</v>
      </c>
      <c r="C5113" s="1">
        <v>45882.708333333343</v>
      </c>
      <c r="D5113" s="1">
        <v>45910.938888888893</v>
      </c>
      <c r="E5113" s="2">
        <f t="shared" si="79"/>
        <v>28.230555555550382</v>
      </c>
    </row>
    <row r="5114" spans="1:5" x14ac:dyDescent="0.25">
      <c r="A5114" t="s">
        <v>16</v>
      </c>
      <c r="B5114" t="s">
        <v>6</v>
      </c>
      <c r="C5114" s="1">
        <v>46226.675000000003</v>
      </c>
      <c r="D5114" s="1">
        <v>46285.875</v>
      </c>
      <c r="E5114" s="2">
        <f t="shared" si="79"/>
        <v>59.19999999999709</v>
      </c>
    </row>
    <row r="5115" spans="1:5" x14ac:dyDescent="0.25">
      <c r="A5115" t="s">
        <v>22</v>
      </c>
      <c r="B5115" t="s">
        <v>19</v>
      </c>
      <c r="C5115" s="1">
        <v>45775.8749537037</v>
      </c>
      <c r="D5115" s="1">
        <v>45842.425000000003</v>
      </c>
      <c r="E5115" s="2">
        <f t="shared" si="79"/>
        <v>66.550046296302753</v>
      </c>
    </row>
    <row r="5116" spans="1:5" x14ac:dyDescent="0.25">
      <c r="A5116" t="s">
        <v>15</v>
      </c>
      <c r="B5116" t="s">
        <v>13</v>
      </c>
      <c r="C5116" s="1">
        <v>45672</v>
      </c>
      <c r="D5116" s="1">
        <v>45714.583333333343</v>
      </c>
      <c r="E5116" s="2">
        <f t="shared" si="79"/>
        <v>42.583333333343035</v>
      </c>
    </row>
    <row r="5117" spans="1:5" x14ac:dyDescent="0.25">
      <c r="A5117" t="s">
        <v>41</v>
      </c>
      <c r="B5117" t="s">
        <v>8</v>
      </c>
      <c r="C5117" s="1">
        <v>46236.188888888893</v>
      </c>
      <c r="D5117" s="1">
        <v>46278.113888888889</v>
      </c>
      <c r="E5117" s="2">
        <f t="shared" si="79"/>
        <v>41.924999999995634</v>
      </c>
    </row>
    <row r="5118" spans="1:5" x14ac:dyDescent="0.25">
      <c r="A5118" t="s">
        <v>20</v>
      </c>
      <c r="B5118" t="s">
        <v>8</v>
      </c>
      <c r="C5118" s="1">
        <v>46194.012499999997</v>
      </c>
      <c r="D5118" s="1">
        <v>46226.323611111111</v>
      </c>
      <c r="E5118" s="2">
        <f t="shared" si="79"/>
        <v>32.31111111111386</v>
      </c>
    </row>
    <row r="5119" spans="1:5" x14ac:dyDescent="0.25">
      <c r="A5119" t="s">
        <v>12</v>
      </c>
      <c r="B5119" t="s">
        <v>8</v>
      </c>
      <c r="C5119" s="1">
        <v>46012.541666666657</v>
      </c>
      <c r="D5119" s="1">
        <v>46067.625</v>
      </c>
      <c r="E5119" s="2">
        <f t="shared" si="79"/>
        <v>55.083333333343035</v>
      </c>
    </row>
    <row r="5120" spans="1:5" x14ac:dyDescent="0.25">
      <c r="A5120" t="s">
        <v>46</v>
      </c>
      <c r="B5120" t="s">
        <v>11</v>
      </c>
      <c r="C5120" s="1">
        <v>46057.686111111107</v>
      </c>
      <c r="D5120" s="1">
        <v>46065.959722222222</v>
      </c>
      <c r="E5120" s="2">
        <f t="shared" si="79"/>
        <v>8.273611111115315</v>
      </c>
    </row>
    <row r="5121" spans="1:5" x14ac:dyDescent="0.25">
      <c r="A5121" t="s">
        <v>34</v>
      </c>
      <c r="B5121" t="s">
        <v>13</v>
      </c>
      <c r="C5121" s="1">
        <v>46161.195972222216</v>
      </c>
      <c r="D5121" s="1">
        <v>46184.606249999997</v>
      </c>
      <c r="E5121" s="2">
        <f t="shared" si="79"/>
        <v>23.41027777778072</v>
      </c>
    </row>
    <row r="5122" spans="1:5" x14ac:dyDescent="0.25">
      <c r="A5122" t="s">
        <v>18</v>
      </c>
      <c r="B5122" t="s">
        <v>27</v>
      </c>
      <c r="C5122" s="1">
        <v>46010.365277777782</v>
      </c>
      <c r="D5122" s="1">
        <v>46086.354166666657</v>
      </c>
      <c r="E5122" s="2">
        <f t="shared" ref="E5122:E5185" si="80">D5122-C5122</f>
        <v>75.988888888874499</v>
      </c>
    </row>
    <row r="5123" spans="1:5" x14ac:dyDescent="0.25">
      <c r="A5123" t="s">
        <v>7</v>
      </c>
      <c r="B5123" t="s">
        <v>13</v>
      </c>
      <c r="C5123" s="1">
        <v>46129.158333333333</v>
      </c>
      <c r="D5123" s="1">
        <v>46176.126388888893</v>
      </c>
      <c r="E5123" s="2">
        <f t="shared" si="80"/>
        <v>46.968055555560568</v>
      </c>
    </row>
    <row r="5124" spans="1:5" x14ac:dyDescent="0.25">
      <c r="A5124" t="s">
        <v>11</v>
      </c>
      <c r="B5124" t="s">
        <v>7</v>
      </c>
      <c r="C5124" s="1">
        <v>45922.875</v>
      </c>
      <c r="D5124" s="1">
        <v>46003.95</v>
      </c>
      <c r="E5124" s="2">
        <f t="shared" si="80"/>
        <v>81.07499999999709</v>
      </c>
    </row>
    <row r="5125" spans="1:5" x14ac:dyDescent="0.25">
      <c r="A5125" t="s">
        <v>8</v>
      </c>
      <c r="B5125" t="s">
        <v>18</v>
      </c>
      <c r="C5125" s="1">
        <v>46143.663194444453</v>
      </c>
      <c r="D5125" s="1">
        <v>46181.288194444453</v>
      </c>
      <c r="E5125" s="2">
        <f t="shared" si="80"/>
        <v>37.625</v>
      </c>
    </row>
    <row r="5126" spans="1:5" x14ac:dyDescent="0.25">
      <c r="A5126" t="s">
        <v>8</v>
      </c>
      <c r="B5126" t="s">
        <v>18</v>
      </c>
      <c r="C5126" s="1">
        <v>46234.25</v>
      </c>
      <c r="D5126" s="1">
        <v>46284.76666666667</v>
      </c>
      <c r="E5126" s="2">
        <f t="shared" si="80"/>
        <v>50.516666666670062</v>
      </c>
    </row>
    <row r="5127" spans="1:5" x14ac:dyDescent="0.25">
      <c r="A5127" t="s">
        <v>19</v>
      </c>
      <c r="B5127" t="s">
        <v>8</v>
      </c>
      <c r="C5127" s="1">
        <v>46122.51666666667</v>
      </c>
      <c r="D5127" s="1">
        <v>46155.814583333333</v>
      </c>
      <c r="E5127" s="2">
        <f t="shared" si="80"/>
        <v>33.297916666662786</v>
      </c>
    </row>
    <row r="5128" spans="1:5" x14ac:dyDescent="0.25">
      <c r="A5128" t="s">
        <v>10</v>
      </c>
      <c r="B5128" t="s">
        <v>8</v>
      </c>
      <c r="C5128" s="1">
        <v>46115.204861111109</v>
      </c>
      <c r="D5128" s="1">
        <v>46133.212500000001</v>
      </c>
      <c r="E5128" s="2">
        <f t="shared" si="80"/>
        <v>18.007638888891961</v>
      </c>
    </row>
    <row r="5129" spans="1:5" x14ac:dyDescent="0.25">
      <c r="A5129" t="s">
        <v>26</v>
      </c>
      <c r="B5129" t="s">
        <v>21</v>
      </c>
      <c r="C5129" s="1">
        <v>45997.375</v>
      </c>
      <c r="D5129" s="1">
        <v>46044.333333333343</v>
      </c>
      <c r="E5129" s="2">
        <f t="shared" si="80"/>
        <v>46.958333333343035</v>
      </c>
    </row>
    <row r="5130" spans="1:5" x14ac:dyDescent="0.25">
      <c r="A5130" t="s">
        <v>8</v>
      </c>
      <c r="B5130" t="s">
        <v>18</v>
      </c>
      <c r="C5130" s="1">
        <v>46227.745833333327</v>
      </c>
      <c r="D5130" s="1">
        <v>46269.7</v>
      </c>
      <c r="E5130" s="2">
        <f t="shared" si="80"/>
        <v>41.954166666670062</v>
      </c>
    </row>
    <row r="5131" spans="1:5" x14ac:dyDescent="0.25">
      <c r="A5131" t="s">
        <v>7</v>
      </c>
      <c r="B5131" t="s">
        <v>8</v>
      </c>
      <c r="C5131" s="1">
        <v>45822.791666666657</v>
      </c>
      <c r="D5131" s="1">
        <v>45875.625</v>
      </c>
      <c r="E5131" s="2">
        <f t="shared" si="80"/>
        <v>52.833333333343035</v>
      </c>
    </row>
    <row r="5132" spans="1:5" x14ac:dyDescent="0.25">
      <c r="A5132" t="s">
        <v>10</v>
      </c>
      <c r="B5132" t="s">
        <v>11</v>
      </c>
      <c r="C5132" s="1">
        <v>45815.004166666673</v>
      </c>
      <c r="D5132" s="1">
        <v>45840.362500000003</v>
      </c>
      <c r="E5132" s="2">
        <f t="shared" si="80"/>
        <v>25.358333333329938</v>
      </c>
    </row>
    <row r="5133" spans="1:5" x14ac:dyDescent="0.25">
      <c r="A5133" t="s">
        <v>15</v>
      </c>
      <c r="B5133" t="s">
        <v>16</v>
      </c>
      <c r="C5133" s="1">
        <v>46190.519444444442</v>
      </c>
      <c r="D5133" s="1">
        <v>46207.991666666669</v>
      </c>
      <c r="E5133" s="2">
        <f t="shared" si="80"/>
        <v>17.472222222226264</v>
      </c>
    </row>
    <row r="5134" spans="1:5" x14ac:dyDescent="0.25">
      <c r="A5134" t="s">
        <v>15</v>
      </c>
      <c r="B5134" t="s">
        <v>16</v>
      </c>
      <c r="C5134" s="1">
        <v>46148.621527777781</v>
      </c>
      <c r="D5134" s="1">
        <v>46166.131944444453</v>
      </c>
      <c r="E5134" s="2">
        <f t="shared" si="80"/>
        <v>17.510416666671517</v>
      </c>
    </row>
    <row r="5135" spans="1:5" x14ac:dyDescent="0.25">
      <c r="A5135" t="s">
        <v>10</v>
      </c>
      <c r="B5135" t="s">
        <v>11</v>
      </c>
      <c r="C5135" s="1">
        <v>46020.191666666673</v>
      </c>
      <c r="D5135" s="1">
        <v>46049.9375</v>
      </c>
      <c r="E5135" s="2">
        <f t="shared" si="80"/>
        <v>29.745833333327028</v>
      </c>
    </row>
    <row r="5136" spans="1:5" x14ac:dyDescent="0.25">
      <c r="A5136" t="s">
        <v>11</v>
      </c>
      <c r="B5136" t="s">
        <v>21</v>
      </c>
      <c r="C5136" s="1">
        <v>45885.32916666667</v>
      </c>
      <c r="D5136" s="1">
        <v>45895.39166666667</v>
      </c>
      <c r="E5136" s="2">
        <f t="shared" si="80"/>
        <v>10.0625</v>
      </c>
    </row>
    <row r="5137" spans="1:5" x14ac:dyDescent="0.25">
      <c r="A5137" t="s">
        <v>11</v>
      </c>
      <c r="B5137" t="s">
        <v>37</v>
      </c>
      <c r="C5137" s="1">
        <v>46032.837500000001</v>
      </c>
      <c r="D5137" s="1">
        <v>46047.605555555558</v>
      </c>
      <c r="E5137" s="2">
        <f t="shared" si="80"/>
        <v>14.768055555556202</v>
      </c>
    </row>
    <row r="5138" spans="1:5" x14ac:dyDescent="0.25">
      <c r="A5138" t="s">
        <v>15</v>
      </c>
      <c r="B5138" t="s">
        <v>13</v>
      </c>
      <c r="C5138" s="1">
        <v>45847.16201388889</v>
      </c>
      <c r="D5138" s="1">
        <v>45885.583333333343</v>
      </c>
      <c r="E5138" s="2">
        <f t="shared" si="80"/>
        <v>38.42131944445282</v>
      </c>
    </row>
    <row r="5139" spans="1:5" x14ac:dyDescent="0.25">
      <c r="A5139" t="s">
        <v>22</v>
      </c>
      <c r="B5139" t="s">
        <v>19</v>
      </c>
      <c r="C5139" s="1">
        <v>45712.171527777777</v>
      </c>
      <c r="D5139" s="1">
        <v>45778.55</v>
      </c>
      <c r="E5139" s="2">
        <f t="shared" si="80"/>
        <v>66.378472222226264</v>
      </c>
    </row>
    <row r="5140" spans="1:5" x14ac:dyDescent="0.25">
      <c r="A5140" t="s">
        <v>5</v>
      </c>
      <c r="B5140" t="s">
        <v>8</v>
      </c>
      <c r="C5140" s="1">
        <v>46194.835023148153</v>
      </c>
      <c r="D5140" s="1">
        <v>46216.121527777781</v>
      </c>
      <c r="E5140" s="2">
        <f t="shared" si="80"/>
        <v>21.286504629628325</v>
      </c>
    </row>
    <row r="5141" spans="1:5" x14ac:dyDescent="0.25">
      <c r="A5141" t="s">
        <v>40</v>
      </c>
      <c r="B5141" t="s">
        <v>37</v>
      </c>
      <c r="C5141" s="1">
        <v>45988.65</v>
      </c>
      <c r="D5141" s="1">
        <v>46002.35833333333</v>
      </c>
      <c r="E5141" s="2">
        <f t="shared" si="80"/>
        <v>13.708333333328483</v>
      </c>
    </row>
    <row r="5142" spans="1:5" x14ac:dyDescent="0.25">
      <c r="A5142" t="s">
        <v>22</v>
      </c>
      <c r="B5142" t="s">
        <v>19</v>
      </c>
      <c r="C5142" s="1">
        <v>45748.2</v>
      </c>
      <c r="D5142" s="1">
        <v>45816.841666666667</v>
      </c>
      <c r="E5142" s="2">
        <f t="shared" si="80"/>
        <v>68.641666666670062</v>
      </c>
    </row>
    <row r="5143" spans="1:5" x14ac:dyDescent="0.25">
      <c r="A5143" t="s">
        <v>34</v>
      </c>
      <c r="B5143" t="s">
        <v>13</v>
      </c>
      <c r="C5143" s="1">
        <v>46189.27244212963</v>
      </c>
      <c r="D5143" s="1">
        <v>46214.005057870367</v>
      </c>
      <c r="E5143" s="2">
        <f t="shared" si="80"/>
        <v>24.732615740736946</v>
      </c>
    </row>
    <row r="5144" spans="1:5" x14ac:dyDescent="0.25">
      <c r="A5144" t="s">
        <v>22</v>
      </c>
      <c r="B5144" t="s">
        <v>19</v>
      </c>
      <c r="C5144" s="1">
        <v>45763.1875</v>
      </c>
      <c r="D5144" s="1">
        <v>45816.841666666667</v>
      </c>
      <c r="E5144" s="2">
        <f t="shared" si="80"/>
        <v>53.654166666667152</v>
      </c>
    </row>
    <row r="5145" spans="1:5" x14ac:dyDescent="0.25">
      <c r="A5145" t="s">
        <v>12</v>
      </c>
      <c r="B5145" t="s">
        <v>14</v>
      </c>
      <c r="C5145" s="1">
        <v>45913.968622685177</v>
      </c>
      <c r="D5145" s="1">
        <v>45977.877696759257</v>
      </c>
      <c r="E5145" s="2">
        <f t="shared" si="80"/>
        <v>63.909074074079399</v>
      </c>
    </row>
    <row r="5146" spans="1:5" x14ac:dyDescent="0.25">
      <c r="A5146" t="s">
        <v>15</v>
      </c>
      <c r="B5146" t="s">
        <v>8</v>
      </c>
      <c r="C5146" s="1">
        <v>46229.473611111112</v>
      </c>
      <c r="D5146" s="1">
        <v>46268.117361111108</v>
      </c>
      <c r="E5146" s="2">
        <f t="shared" si="80"/>
        <v>38.643749999995634</v>
      </c>
    </row>
    <row r="5147" spans="1:5" x14ac:dyDescent="0.25">
      <c r="A5147" t="s">
        <v>15</v>
      </c>
      <c r="B5147" t="s">
        <v>16</v>
      </c>
      <c r="C5147" s="1">
        <v>46163.05972222222</v>
      </c>
      <c r="D5147" s="1">
        <v>46179.949305555558</v>
      </c>
      <c r="E5147" s="2">
        <f t="shared" si="80"/>
        <v>16.889583333337214</v>
      </c>
    </row>
    <row r="5148" spans="1:5" x14ac:dyDescent="0.25">
      <c r="A5148" t="s">
        <v>15</v>
      </c>
      <c r="B5148" t="s">
        <v>43</v>
      </c>
      <c r="C5148" s="1">
        <v>46218.63958333333</v>
      </c>
      <c r="D5148" s="1">
        <v>46262.838888888888</v>
      </c>
      <c r="E5148" s="2">
        <f t="shared" si="80"/>
        <v>44.199305555557657</v>
      </c>
    </row>
    <row r="5149" spans="1:5" x14ac:dyDescent="0.25">
      <c r="A5149" t="s">
        <v>15</v>
      </c>
      <c r="B5149" t="s">
        <v>16</v>
      </c>
      <c r="C5149" s="1">
        <v>46148.621527777781</v>
      </c>
      <c r="D5149" s="1">
        <v>46166.131944444453</v>
      </c>
      <c r="E5149" s="2">
        <f t="shared" si="80"/>
        <v>17.510416666671517</v>
      </c>
    </row>
    <row r="5150" spans="1:5" x14ac:dyDescent="0.25">
      <c r="A5150" t="s">
        <v>5</v>
      </c>
      <c r="B5150" t="s">
        <v>8</v>
      </c>
      <c r="C5150" s="1">
        <v>45671.125</v>
      </c>
      <c r="D5150" s="1">
        <v>45697.265277777777</v>
      </c>
      <c r="E5150" s="2">
        <f t="shared" si="80"/>
        <v>26.140277777776646</v>
      </c>
    </row>
    <row r="5151" spans="1:5" x14ac:dyDescent="0.25">
      <c r="A5151" t="s">
        <v>5</v>
      </c>
      <c r="B5151" t="s">
        <v>8</v>
      </c>
      <c r="C5151" s="1">
        <v>45745.952974537038</v>
      </c>
      <c r="D5151" s="1">
        <v>45775.753900462973</v>
      </c>
      <c r="E5151" s="2">
        <f t="shared" si="80"/>
        <v>29.80092592593428</v>
      </c>
    </row>
    <row r="5152" spans="1:5" x14ac:dyDescent="0.25">
      <c r="A5152" t="s">
        <v>5</v>
      </c>
      <c r="B5152" t="s">
        <v>8</v>
      </c>
      <c r="C5152" s="1">
        <v>46191.05</v>
      </c>
      <c r="D5152" s="1">
        <v>46214.836111111108</v>
      </c>
      <c r="E5152" s="2">
        <f t="shared" si="80"/>
        <v>23.786111111105129</v>
      </c>
    </row>
    <row r="5153" spans="1:5" x14ac:dyDescent="0.25">
      <c r="A5153" t="s">
        <v>5</v>
      </c>
      <c r="B5153" t="s">
        <v>8</v>
      </c>
      <c r="C5153" s="1">
        <v>46191.076678240737</v>
      </c>
      <c r="D5153" s="1">
        <v>46214.830520833333</v>
      </c>
      <c r="E5153" s="2">
        <f t="shared" si="80"/>
        <v>23.753842592595902</v>
      </c>
    </row>
    <row r="5154" spans="1:5" x14ac:dyDescent="0.25">
      <c r="A5154" t="s">
        <v>27</v>
      </c>
      <c r="B5154" t="s">
        <v>8</v>
      </c>
      <c r="C5154" s="1">
        <v>45908.57916666667</v>
      </c>
      <c r="D5154" s="1">
        <v>45963</v>
      </c>
      <c r="E5154" s="2">
        <f t="shared" si="80"/>
        <v>54.420833333329938</v>
      </c>
    </row>
    <row r="5155" spans="1:5" x14ac:dyDescent="0.25">
      <c r="A5155" t="s">
        <v>9</v>
      </c>
      <c r="B5155" t="s">
        <v>8</v>
      </c>
      <c r="C5155" s="1">
        <v>45719.585416666669</v>
      </c>
      <c r="D5155" s="1">
        <v>45777.254861111112</v>
      </c>
      <c r="E5155" s="2">
        <f t="shared" si="80"/>
        <v>57.669444444443798</v>
      </c>
    </row>
    <row r="5156" spans="1:5" x14ac:dyDescent="0.25">
      <c r="A5156" t="s">
        <v>16</v>
      </c>
      <c r="B5156" t="s">
        <v>8</v>
      </c>
      <c r="C5156" s="1">
        <v>45764.879166666673</v>
      </c>
      <c r="D5156" s="1">
        <v>45827.75</v>
      </c>
      <c r="E5156" s="2">
        <f t="shared" si="80"/>
        <v>62.870833333327028</v>
      </c>
    </row>
    <row r="5157" spans="1:5" x14ac:dyDescent="0.25">
      <c r="A5157" t="s">
        <v>5</v>
      </c>
      <c r="B5157" t="s">
        <v>8</v>
      </c>
      <c r="C5157" s="1">
        <v>46049.5</v>
      </c>
      <c r="D5157" s="1">
        <v>46091.345833333333</v>
      </c>
      <c r="E5157" s="2">
        <f t="shared" si="80"/>
        <v>41.845833333332848</v>
      </c>
    </row>
    <row r="5158" spans="1:5" x14ac:dyDescent="0.25">
      <c r="A5158" t="s">
        <v>5</v>
      </c>
      <c r="B5158" t="s">
        <v>8</v>
      </c>
      <c r="C5158" s="1">
        <v>46101.51666666667</v>
      </c>
      <c r="D5158" s="1">
        <v>46146.737500000003</v>
      </c>
      <c r="E5158" s="2">
        <f t="shared" si="80"/>
        <v>45.220833333332848</v>
      </c>
    </row>
    <row r="5159" spans="1:5" x14ac:dyDescent="0.25">
      <c r="A5159" t="s">
        <v>8</v>
      </c>
      <c r="B5159" t="s">
        <v>18</v>
      </c>
      <c r="C5159" s="1">
        <v>46170.131249999999</v>
      </c>
      <c r="D5159" s="1">
        <v>46210.020833333343</v>
      </c>
      <c r="E5159" s="2">
        <f t="shared" si="80"/>
        <v>39.88958333334449</v>
      </c>
    </row>
    <row r="5160" spans="1:5" x14ac:dyDescent="0.25">
      <c r="A5160" t="s">
        <v>12</v>
      </c>
      <c r="B5160" t="s">
        <v>13</v>
      </c>
      <c r="C5160" s="1">
        <v>46139.915972222218</v>
      </c>
      <c r="D5160" s="1">
        <v>46192.916666666657</v>
      </c>
      <c r="E5160" s="2">
        <f t="shared" si="80"/>
        <v>53.000694444439432</v>
      </c>
    </row>
    <row r="5161" spans="1:5" x14ac:dyDescent="0.25">
      <c r="A5161" t="s">
        <v>8</v>
      </c>
      <c r="B5161" t="s">
        <v>18</v>
      </c>
      <c r="C5161" s="1">
        <v>46220.605555555558</v>
      </c>
      <c r="D5161" s="1">
        <v>46269.7</v>
      </c>
      <c r="E5161" s="2">
        <f t="shared" si="80"/>
        <v>49.094444444439432</v>
      </c>
    </row>
    <row r="5162" spans="1:5" x14ac:dyDescent="0.25">
      <c r="A5162" t="s">
        <v>5</v>
      </c>
      <c r="B5162" t="s">
        <v>8</v>
      </c>
      <c r="C5162" s="1">
        <v>46018.725694444453</v>
      </c>
      <c r="D5162" s="1">
        <v>46071.058333333327</v>
      </c>
      <c r="E5162" s="2">
        <f t="shared" si="80"/>
        <v>52.332638888874499</v>
      </c>
    </row>
    <row r="5163" spans="1:5" x14ac:dyDescent="0.25">
      <c r="A5163" t="s">
        <v>35</v>
      </c>
      <c r="B5163" t="s">
        <v>13</v>
      </c>
      <c r="C5163" s="1">
        <v>46181.633333333331</v>
      </c>
      <c r="D5163" s="1">
        <v>46221.333333333343</v>
      </c>
      <c r="E5163" s="2">
        <f t="shared" si="80"/>
        <v>39.700000000011642</v>
      </c>
    </row>
    <row r="5164" spans="1:5" x14ac:dyDescent="0.25">
      <c r="A5164" t="s">
        <v>22</v>
      </c>
      <c r="B5164" t="s">
        <v>13</v>
      </c>
      <c r="C5164" s="1">
        <v>46211.020833333343</v>
      </c>
      <c r="D5164" s="1">
        <v>46263.520833333343</v>
      </c>
      <c r="E5164" s="2">
        <f t="shared" si="80"/>
        <v>52.5</v>
      </c>
    </row>
    <row r="5165" spans="1:5" x14ac:dyDescent="0.25">
      <c r="A5165" t="s">
        <v>34</v>
      </c>
      <c r="B5165" t="s">
        <v>13</v>
      </c>
      <c r="C5165" s="1">
        <v>45908.512499999997</v>
      </c>
      <c r="D5165" s="1">
        <v>45933.445833333331</v>
      </c>
      <c r="E5165" s="2">
        <f t="shared" si="80"/>
        <v>24.933333333334303</v>
      </c>
    </row>
    <row r="5166" spans="1:5" x14ac:dyDescent="0.25">
      <c r="A5166" t="s">
        <v>17</v>
      </c>
      <c r="B5166" t="s">
        <v>18</v>
      </c>
      <c r="C5166" s="1">
        <v>45680.722916666673</v>
      </c>
      <c r="D5166" s="1">
        <v>45732.921527777777</v>
      </c>
      <c r="E5166" s="2">
        <f t="shared" si="80"/>
        <v>52.198611111103673</v>
      </c>
    </row>
    <row r="5167" spans="1:5" x14ac:dyDescent="0.25">
      <c r="A5167" t="s">
        <v>12</v>
      </c>
      <c r="B5167" t="s">
        <v>13</v>
      </c>
      <c r="C5167" s="1">
        <v>45755.623611111107</v>
      </c>
      <c r="D5167" s="1">
        <v>45805.245833333327</v>
      </c>
      <c r="E5167" s="2">
        <f t="shared" si="80"/>
        <v>49.622222222220444</v>
      </c>
    </row>
    <row r="5168" spans="1:5" x14ac:dyDescent="0.25">
      <c r="A5168" t="s">
        <v>23</v>
      </c>
      <c r="B5168" t="s">
        <v>18</v>
      </c>
      <c r="C5168" s="1">
        <v>45950.375</v>
      </c>
      <c r="D5168" s="1">
        <v>46008.915277777778</v>
      </c>
      <c r="E5168" s="2">
        <f t="shared" si="80"/>
        <v>58.540277777778101</v>
      </c>
    </row>
    <row r="5169" spans="1:5" x14ac:dyDescent="0.25">
      <c r="A5169" t="s">
        <v>27</v>
      </c>
      <c r="B5169" t="s">
        <v>20</v>
      </c>
      <c r="C5169" s="1">
        <v>45684.708333333343</v>
      </c>
      <c r="D5169" s="1">
        <v>45752.4375</v>
      </c>
      <c r="E5169" s="2">
        <f t="shared" si="80"/>
        <v>67.729166666656965</v>
      </c>
    </row>
    <row r="5170" spans="1:5" x14ac:dyDescent="0.25">
      <c r="A5170" t="s">
        <v>13</v>
      </c>
      <c r="B5170" t="s">
        <v>8</v>
      </c>
      <c r="C5170" s="1">
        <v>45948.466666666667</v>
      </c>
      <c r="D5170" s="1">
        <v>45971.695833333331</v>
      </c>
      <c r="E5170" s="2">
        <f t="shared" si="80"/>
        <v>23.229166666664241</v>
      </c>
    </row>
    <row r="5171" spans="1:5" x14ac:dyDescent="0.25">
      <c r="A5171" t="s">
        <v>15</v>
      </c>
      <c r="B5171" t="s">
        <v>13</v>
      </c>
      <c r="C5171" s="1">
        <v>46023.19027777778</v>
      </c>
      <c r="D5171" s="1">
        <v>46072.587500000001</v>
      </c>
      <c r="E5171" s="2">
        <f t="shared" si="80"/>
        <v>49.397222222221899</v>
      </c>
    </row>
    <row r="5172" spans="1:5" x14ac:dyDescent="0.25">
      <c r="A5172" t="s">
        <v>14</v>
      </c>
      <c r="B5172" t="s">
        <v>22</v>
      </c>
      <c r="C5172" s="1">
        <v>45973.841666666667</v>
      </c>
      <c r="D5172" s="1">
        <v>46059.3</v>
      </c>
      <c r="E5172" s="2">
        <f t="shared" si="80"/>
        <v>85.458333333335759</v>
      </c>
    </row>
    <row r="5173" spans="1:5" x14ac:dyDescent="0.25">
      <c r="A5173" t="s">
        <v>15</v>
      </c>
      <c r="B5173" t="s">
        <v>18</v>
      </c>
      <c r="C5173" s="1">
        <v>46219.958333333343</v>
      </c>
      <c r="D5173" s="1">
        <v>46252.850694444453</v>
      </c>
      <c r="E5173" s="2">
        <f t="shared" si="80"/>
        <v>32.892361111109494</v>
      </c>
    </row>
    <row r="5174" spans="1:5" x14ac:dyDescent="0.25">
      <c r="A5174" t="s">
        <v>9</v>
      </c>
      <c r="B5174" t="s">
        <v>8</v>
      </c>
      <c r="C5174" s="1">
        <v>45962.966666666667</v>
      </c>
      <c r="D5174" s="1">
        <v>45997.95</v>
      </c>
      <c r="E5174" s="2">
        <f t="shared" si="80"/>
        <v>34.983333333329938</v>
      </c>
    </row>
    <row r="5175" spans="1:5" x14ac:dyDescent="0.25">
      <c r="A5175" t="s">
        <v>15</v>
      </c>
      <c r="B5175" t="s">
        <v>19</v>
      </c>
      <c r="C5175" s="1">
        <v>45736.183333333327</v>
      </c>
      <c r="D5175" s="1">
        <v>45790.873715277783</v>
      </c>
      <c r="E5175" s="2">
        <f t="shared" si="80"/>
        <v>54.690381944456021</v>
      </c>
    </row>
    <row r="5176" spans="1:5" x14ac:dyDescent="0.25">
      <c r="A5176" t="s">
        <v>22</v>
      </c>
      <c r="B5176" t="s">
        <v>51</v>
      </c>
      <c r="C5176" s="1">
        <v>46090.125694444447</v>
      </c>
      <c r="D5176" s="1">
        <v>46148.975694444453</v>
      </c>
      <c r="E5176" s="2">
        <f t="shared" si="80"/>
        <v>58.850000000005821</v>
      </c>
    </row>
    <row r="5177" spans="1:5" x14ac:dyDescent="0.25">
      <c r="A5177" t="s">
        <v>22</v>
      </c>
      <c r="B5177" t="s">
        <v>51</v>
      </c>
      <c r="C5177" s="1">
        <v>46138.895833333343</v>
      </c>
      <c r="D5177" s="1">
        <v>46195.614583333343</v>
      </c>
      <c r="E5177" s="2">
        <f t="shared" si="80"/>
        <v>56.71875</v>
      </c>
    </row>
    <row r="5178" spans="1:5" x14ac:dyDescent="0.25">
      <c r="A5178" t="s">
        <v>22</v>
      </c>
      <c r="B5178" t="s">
        <v>19</v>
      </c>
      <c r="C5178" s="1">
        <v>46110.847222222219</v>
      </c>
      <c r="D5178" s="1">
        <v>46162.300694444442</v>
      </c>
      <c r="E5178" s="2">
        <f t="shared" si="80"/>
        <v>51.453472222223354</v>
      </c>
    </row>
    <row r="5179" spans="1:5" x14ac:dyDescent="0.25">
      <c r="A5179" t="s">
        <v>22</v>
      </c>
      <c r="B5179" t="s">
        <v>19</v>
      </c>
      <c r="C5179" s="1">
        <v>46223.229166666657</v>
      </c>
      <c r="D5179" s="1">
        <v>46261.552777777782</v>
      </c>
      <c r="E5179" s="2">
        <f t="shared" si="80"/>
        <v>38.323611111125501</v>
      </c>
    </row>
    <row r="5180" spans="1:5" x14ac:dyDescent="0.25">
      <c r="A5180" t="s">
        <v>7</v>
      </c>
      <c r="B5180" t="s">
        <v>11</v>
      </c>
      <c r="C5180" s="1">
        <v>45976.5</v>
      </c>
      <c r="D5180" s="1">
        <v>46070.337500000001</v>
      </c>
      <c r="E5180" s="2">
        <f t="shared" si="80"/>
        <v>93.837500000001455</v>
      </c>
    </row>
    <row r="5181" spans="1:5" x14ac:dyDescent="0.25">
      <c r="A5181" t="s">
        <v>8</v>
      </c>
      <c r="B5181" t="s">
        <v>13</v>
      </c>
      <c r="C5181" s="1">
        <v>45770.5</v>
      </c>
      <c r="D5181" s="1">
        <v>45802.041666666657</v>
      </c>
      <c r="E5181" s="2">
        <f t="shared" si="80"/>
        <v>31.541666666656965</v>
      </c>
    </row>
    <row r="5182" spans="1:5" x14ac:dyDescent="0.25">
      <c r="A5182" t="s">
        <v>26</v>
      </c>
      <c r="B5182" t="s">
        <v>21</v>
      </c>
      <c r="C5182" s="1">
        <v>46035.944444444453</v>
      </c>
      <c r="D5182" s="1">
        <v>46081.354166666657</v>
      </c>
      <c r="E5182" s="2">
        <f t="shared" si="80"/>
        <v>45.409722222204437</v>
      </c>
    </row>
    <row r="5183" spans="1:5" x14ac:dyDescent="0.25">
      <c r="A5183" t="s">
        <v>22</v>
      </c>
      <c r="B5183" t="s">
        <v>19</v>
      </c>
      <c r="C5183" s="1">
        <v>45865.990277777782</v>
      </c>
      <c r="D5183" s="1">
        <v>45920.620833333327</v>
      </c>
      <c r="E5183" s="2">
        <f t="shared" si="80"/>
        <v>54.630555555544561</v>
      </c>
    </row>
    <row r="5184" spans="1:5" x14ac:dyDescent="0.25">
      <c r="A5184" t="s">
        <v>22</v>
      </c>
      <c r="B5184" t="s">
        <v>19</v>
      </c>
      <c r="C5184" s="1">
        <v>46216.888888888891</v>
      </c>
      <c r="D5184" s="1">
        <v>46276.277777777781</v>
      </c>
      <c r="E5184" s="2">
        <f t="shared" si="80"/>
        <v>59.388888888890506</v>
      </c>
    </row>
    <row r="5185" spans="1:5" x14ac:dyDescent="0.25">
      <c r="A5185" t="s">
        <v>10</v>
      </c>
      <c r="B5185" t="s">
        <v>8</v>
      </c>
      <c r="C5185" s="1">
        <v>46115.204861111109</v>
      </c>
      <c r="D5185" s="1">
        <v>46133.212500000001</v>
      </c>
      <c r="E5185" s="2">
        <f t="shared" si="80"/>
        <v>18.007638888891961</v>
      </c>
    </row>
    <row r="5186" spans="1:5" x14ac:dyDescent="0.25">
      <c r="A5186" t="s">
        <v>27</v>
      </c>
      <c r="B5186" t="s">
        <v>20</v>
      </c>
      <c r="C5186" s="1">
        <v>45684.708333333343</v>
      </c>
      <c r="D5186" s="1">
        <v>45752.4375</v>
      </c>
      <c r="E5186" s="2">
        <f t="shared" ref="E5186:E5249" si="81">D5186-C5186</f>
        <v>67.729166666656965</v>
      </c>
    </row>
    <row r="5187" spans="1:5" x14ac:dyDescent="0.25">
      <c r="A5187" t="s">
        <v>12</v>
      </c>
      <c r="B5187" t="s">
        <v>13</v>
      </c>
      <c r="C5187" s="1">
        <v>45947.123611111107</v>
      </c>
      <c r="D5187" s="1">
        <v>45988.083333333343</v>
      </c>
      <c r="E5187" s="2">
        <f t="shared" si="81"/>
        <v>40.959722222236451</v>
      </c>
    </row>
    <row r="5188" spans="1:5" x14ac:dyDescent="0.25">
      <c r="A5188" t="s">
        <v>22</v>
      </c>
      <c r="B5188" t="s">
        <v>19</v>
      </c>
      <c r="C5188" s="1">
        <v>45844.217361111107</v>
      </c>
      <c r="D5188" s="1">
        <v>45897.883333333331</v>
      </c>
      <c r="E5188" s="2">
        <f t="shared" si="81"/>
        <v>53.665972222224809</v>
      </c>
    </row>
    <row r="5189" spans="1:5" x14ac:dyDescent="0.25">
      <c r="A5189" t="s">
        <v>22</v>
      </c>
      <c r="B5189" t="s">
        <v>51</v>
      </c>
      <c r="C5189" s="1">
        <v>45950.506249999999</v>
      </c>
      <c r="D5189" s="1">
        <v>45999.29583333333</v>
      </c>
      <c r="E5189" s="2">
        <f t="shared" si="81"/>
        <v>48.789583333331393</v>
      </c>
    </row>
    <row r="5190" spans="1:5" x14ac:dyDescent="0.25">
      <c r="A5190" t="s">
        <v>22</v>
      </c>
      <c r="B5190" t="s">
        <v>14</v>
      </c>
      <c r="C5190" s="1">
        <v>45809.538194444453</v>
      </c>
      <c r="D5190" s="1">
        <v>45854.8125</v>
      </c>
      <c r="E5190" s="2">
        <f t="shared" si="81"/>
        <v>45.274305555547471</v>
      </c>
    </row>
    <row r="5191" spans="1:5" x14ac:dyDescent="0.25">
      <c r="A5191" t="s">
        <v>12</v>
      </c>
      <c r="B5191" t="s">
        <v>13</v>
      </c>
      <c r="C5191" s="1">
        <v>46106.09375</v>
      </c>
      <c r="D5191" s="1">
        <v>46165.1</v>
      </c>
      <c r="E5191" s="2">
        <f t="shared" si="81"/>
        <v>59.006249999998545</v>
      </c>
    </row>
    <row r="5192" spans="1:5" x14ac:dyDescent="0.25">
      <c r="A5192" t="s">
        <v>8</v>
      </c>
      <c r="B5192" t="s">
        <v>16</v>
      </c>
      <c r="C5192" s="1">
        <v>46174.049305555563</v>
      </c>
      <c r="D5192" s="1">
        <v>46215.625</v>
      </c>
      <c r="E5192" s="2">
        <f t="shared" si="81"/>
        <v>41.575694444436522</v>
      </c>
    </row>
    <row r="5193" spans="1:5" x14ac:dyDescent="0.25">
      <c r="A5193" t="s">
        <v>8</v>
      </c>
      <c r="B5193" t="s">
        <v>13</v>
      </c>
      <c r="C5193" s="1">
        <v>45722</v>
      </c>
      <c r="D5193" s="1">
        <v>45762</v>
      </c>
      <c r="E5193" s="2">
        <f t="shared" si="81"/>
        <v>40</v>
      </c>
    </row>
    <row r="5194" spans="1:5" x14ac:dyDescent="0.25">
      <c r="A5194" t="s">
        <v>23</v>
      </c>
      <c r="B5194" t="s">
        <v>18</v>
      </c>
      <c r="C5194" s="1">
        <v>46041.916666666657</v>
      </c>
      <c r="D5194" s="1">
        <v>46087.666666666657</v>
      </c>
      <c r="E5194" s="2">
        <f t="shared" si="81"/>
        <v>45.75</v>
      </c>
    </row>
    <row r="5195" spans="1:5" x14ac:dyDescent="0.25">
      <c r="A5195" t="s">
        <v>6</v>
      </c>
      <c r="B5195" t="s">
        <v>8</v>
      </c>
      <c r="C5195" s="1">
        <v>46217.395833333343</v>
      </c>
      <c r="D5195" s="1">
        <v>46275.291666666657</v>
      </c>
      <c r="E5195" s="2">
        <f t="shared" si="81"/>
        <v>57.895833333313931</v>
      </c>
    </row>
    <row r="5196" spans="1:5" x14ac:dyDescent="0.25">
      <c r="A5196" t="s">
        <v>20</v>
      </c>
      <c r="B5196" t="s">
        <v>8</v>
      </c>
      <c r="C5196" s="1">
        <v>46108.433333333327</v>
      </c>
      <c r="D5196" s="1">
        <v>46142.0625</v>
      </c>
      <c r="E5196" s="2">
        <f t="shared" si="81"/>
        <v>33.629166666672972</v>
      </c>
    </row>
    <row r="5197" spans="1:5" x14ac:dyDescent="0.25">
      <c r="A5197" t="s">
        <v>12</v>
      </c>
      <c r="B5197" t="s">
        <v>13</v>
      </c>
      <c r="C5197" s="1">
        <v>45733.666666666657</v>
      </c>
      <c r="D5197" s="1">
        <v>45777.879166666673</v>
      </c>
      <c r="E5197" s="2">
        <f t="shared" si="81"/>
        <v>44.212500000016007</v>
      </c>
    </row>
    <row r="5198" spans="1:5" x14ac:dyDescent="0.25">
      <c r="A5198" t="s">
        <v>6</v>
      </c>
      <c r="B5198" t="s">
        <v>8</v>
      </c>
      <c r="C5198" s="1">
        <v>46217.395833333343</v>
      </c>
      <c r="D5198" s="1">
        <v>46275.291666666657</v>
      </c>
      <c r="E5198" s="2">
        <f t="shared" si="81"/>
        <v>57.895833333313931</v>
      </c>
    </row>
    <row r="5199" spans="1:5" x14ac:dyDescent="0.25">
      <c r="A5199" t="s">
        <v>12</v>
      </c>
      <c r="B5199" t="s">
        <v>18</v>
      </c>
      <c r="C5199" s="1">
        <v>45779.633333333331</v>
      </c>
      <c r="D5199" s="1">
        <v>45847.017361111109</v>
      </c>
      <c r="E5199" s="2">
        <f t="shared" si="81"/>
        <v>67.384027777778101</v>
      </c>
    </row>
    <row r="5200" spans="1:5" x14ac:dyDescent="0.25">
      <c r="A5200" t="s">
        <v>7</v>
      </c>
      <c r="B5200" t="s">
        <v>11</v>
      </c>
      <c r="C5200" s="1">
        <v>45722.125694444447</v>
      </c>
      <c r="D5200" s="1">
        <v>45798.572916666657</v>
      </c>
      <c r="E5200" s="2">
        <f t="shared" si="81"/>
        <v>76.447222222210257</v>
      </c>
    </row>
    <row r="5201" spans="1:5" x14ac:dyDescent="0.25">
      <c r="A5201" t="s">
        <v>12</v>
      </c>
      <c r="B5201" t="s">
        <v>13</v>
      </c>
      <c r="C5201" s="1">
        <v>46079.304166666669</v>
      </c>
      <c r="D5201" s="1">
        <v>46123.083333333343</v>
      </c>
      <c r="E5201" s="2">
        <f t="shared" si="81"/>
        <v>43.779166666674428</v>
      </c>
    </row>
    <row r="5202" spans="1:5" x14ac:dyDescent="0.25">
      <c r="A5202" t="s">
        <v>28</v>
      </c>
      <c r="B5202" t="s">
        <v>8</v>
      </c>
      <c r="C5202" s="1">
        <v>45824.886111111111</v>
      </c>
      <c r="D5202" s="1">
        <v>45884</v>
      </c>
      <c r="E5202" s="2">
        <f t="shared" si="81"/>
        <v>59.113888888889051</v>
      </c>
    </row>
    <row r="5203" spans="1:5" x14ac:dyDescent="0.25">
      <c r="A5203" t="s">
        <v>13</v>
      </c>
      <c r="B5203" t="s">
        <v>8</v>
      </c>
      <c r="C5203" s="1">
        <v>45842.881944444453</v>
      </c>
      <c r="D5203" s="1">
        <v>45872.79791666667</v>
      </c>
      <c r="E5203" s="2">
        <f t="shared" si="81"/>
        <v>29.915972222217533</v>
      </c>
    </row>
    <row r="5204" spans="1:5" x14ac:dyDescent="0.25">
      <c r="A5204" t="s">
        <v>20</v>
      </c>
      <c r="B5204" t="s">
        <v>8</v>
      </c>
      <c r="C5204" s="1">
        <v>46075.20416666667</v>
      </c>
      <c r="D5204" s="1">
        <v>46113.945138888892</v>
      </c>
      <c r="E5204" s="2">
        <f t="shared" si="81"/>
        <v>38.740972222221899</v>
      </c>
    </row>
    <row r="5205" spans="1:5" x14ac:dyDescent="0.25">
      <c r="A5205" t="s">
        <v>8</v>
      </c>
      <c r="B5205" t="s">
        <v>18</v>
      </c>
      <c r="C5205" s="1">
        <v>46149.661805555559</v>
      </c>
      <c r="D5205" s="1">
        <v>46195.804166666669</v>
      </c>
      <c r="E5205" s="2">
        <f t="shared" si="81"/>
        <v>46.142361111109494</v>
      </c>
    </row>
    <row r="5206" spans="1:5" x14ac:dyDescent="0.25">
      <c r="A5206" t="s">
        <v>7</v>
      </c>
      <c r="B5206" t="s">
        <v>11</v>
      </c>
      <c r="C5206" s="1">
        <v>45736.87777777778</v>
      </c>
      <c r="D5206" s="1">
        <v>45812.137499999997</v>
      </c>
      <c r="E5206" s="2">
        <f t="shared" si="81"/>
        <v>75.259722222217533</v>
      </c>
    </row>
    <row r="5207" spans="1:5" x14ac:dyDescent="0.25">
      <c r="A5207" t="s">
        <v>13</v>
      </c>
      <c r="B5207" t="s">
        <v>8</v>
      </c>
      <c r="C5207" s="1">
        <v>45814.308333333327</v>
      </c>
      <c r="D5207" s="1">
        <v>45839</v>
      </c>
      <c r="E5207" s="2">
        <f t="shared" si="81"/>
        <v>24.691666666672972</v>
      </c>
    </row>
    <row r="5208" spans="1:5" x14ac:dyDescent="0.25">
      <c r="A5208" t="s">
        <v>26</v>
      </c>
      <c r="B5208" t="s">
        <v>21</v>
      </c>
      <c r="C5208" s="1">
        <v>46084.025000000001</v>
      </c>
      <c r="D5208" s="1">
        <v>46128.304166666669</v>
      </c>
      <c r="E5208" s="2">
        <f t="shared" si="81"/>
        <v>44.279166666667152</v>
      </c>
    </row>
    <row r="5209" spans="1:5" x14ac:dyDescent="0.25">
      <c r="A5209" t="s">
        <v>12</v>
      </c>
      <c r="B5209" t="s">
        <v>18</v>
      </c>
      <c r="C5209" s="1">
        <v>45746.544444444437</v>
      </c>
      <c r="D5209" s="1">
        <v>45800.666666666657</v>
      </c>
      <c r="E5209" s="2">
        <f t="shared" si="81"/>
        <v>54.122222222220444</v>
      </c>
    </row>
    <row r="5210" spans="1:5" x14ac:dyDescent="0.25">
      <c r="A5210" t="s">
        <v>15</v>
      </c>
      <c r="B5210" t="s">
        <v>13</v>
      </c>
      <c r="C5210" s="1">
        <v>45876.49454861111</v>
      </c>
      <c r="D5210" s="1">
        <v>45913.738194444442</v>
      </c>
      <c r="E5210" s="2">
        <f t="shared" si="81"/>
        <v>37.243645833332266</v>
      </c>
    </row>
    <row r="5211" spans="1:5" x14ac:dyDescent="0.25">
      <c r="A5211" t="s">
        <v>19</v>
      </c>
      <c r="B5211" t="s">
        <v>11</v>
      </c>
      <c r="C5211" s="1">
        <v>46138.508333333331</v>
      </c>
      <c r="D5211" s="1">
        <v>46175.958333333343</v>
      </c>
      <c r="E5211" s="2">
        <f t="shared" si="81"/>
        <v>37.450000000011642</v>
      </c>
    </row>
    <row r="5212" spans="1:5" x14ac:dyDescent="0.25">
      <c r="A5212" t="s">
        <v>22</v>
      </c>
      <c r="B5212" t="s">
        <v>14</v>
      </c>
      <c r="C5212" s="1">
        <v>45831.487615740742</v>
      </c>
      <c r="D5212" s="1">
        <v>45875.784722222219</v>
      </c>
      <c r="E5212" s="2">
        <f t="shared" si="81"/>
        <v>44.297106481477385</v>
      </c>
    </row>
    <row r="5213" spans="1:5" x14ac:dyDescent="0.25">
      <c r="A5213" t="s">
        <v>34</v>
      </c>
      <c r="B5213" t="s">
        <v>13</v>
      </c>
      <c r="C5213" s="1">
        <v>46135.055277777778</v>
      </c>
      <c r="D5213" s="1">
        <v>46153.532071759262</v>
      </c>
      <c r="E5213" s="2">
        <f t="shared" si="81"/>
        <v>18.476793981484661</v>
      </c>
    </row>
    <row r="5214" spans="1:5" x14ac:dyDescent="0.25">
      <c r="A5214" t="s">
        <v>12</v>
      </c>
      <c r="B5214" t="s">
        <v>18</v>
      </c>
      <c r="C5214" s="1">
        <v>45855.097222222219</v>
      </c>
      <c r="D5214" s="1">
        <v>45917.230555555558</v>
      </c>
      <c r="E5214" s="2">
        <f t="shared" si="81"/>
        <v>62.133333333338669</v>
      </c>
    </row>
    <row r="5215" spans="1:5" x14ac:dyDescent="0.25">
      <c r="A5215" t="s">
        <v>12</v>
      </c>
      <c r="B5215" t="s">
        <v>18</v>
      </c>
      <c r="C5215" s="1">
        <v>45951.631944444453</v>
      </c>
      <c r="D5215" s="1">
        <v>46008.915277777778</v>
      </c>
      <c r="E5215" s="2">
        <f t="shared" si="81"/>
        <v>57.283333333325572</v>
      </c>
    </row>
    <row r="5216" spans="1:5" x14ac:dyDescent="0.25">
      <c r="A5216" t="s">
        <v>12</v>
      </c>
      <c r="B5216" t="s">
        <v>18</v>
      </c>
      <c r="C5216" s="1">
        <v>45889.784722222219</v>
      </c>
      <c r="D5216" s="1">
        <v>45964.081944444442</v>
      </c>
      <c r="E5216" s="2">
        <f t="shared" si="81"/>
        <v>74.297222222223354</v>
      </c>
    </row>
    <row r="5217" spans="1:5" x14ac:dyDescent="0.25">
      <c r="A5217" t="s">
        <v>12</v>
      </c>
      <c r="B5217" t="s">
        <v>18</v>
      </c>
      <c r="C5217" s="1">
        <v>46043.625</v>
      </c>
      <c r="D5217" s="1">
        <v>46103.675694444442</v>
      </c>
      <c r="E5217" s="2">
        <f t="shared" si="81"/>
        <v>60.050694444442343</v>
      </c>
    </row>
    <row r="5218" spans="1:5" x14ac:dyDescent="0.25">
      <c r="A5218" t="s">
        <v>6</v>
      </c>
      <c r="B5218" t="s">
        <v>8</v>
      </c>
      <c r="C5218" s="1">
        <v>45732.066666666673</v>
      </c>
      <c r="D5218" s="1">
        <v>45789.42291666667</v>
      </c>
      <c r="E5218" s="2">
        <f t="shared" si="81"/>
        <v>57.35624999999709</v>
      </c>
    </row>
    <row r="5219" spans="1:5" x14ac:dyDescent="0.25">
      <c r="A5219" t="s">
        <v>15</v>
      </c>
      <c r="B5219" t="s">
        <v>19</v>
      </c>
      <c r="C5219" s="1">
        <v>46194.73333333333</v>
      </c>
      <c r="D5219" s="1">
        <v>46230.810416666667</v>
      </c>
      <c r="E5219" s="2">
        <f t="shared" si="81"/>
        <v>36.077083333337214</v>
      </c>
    </row>
    <row r="5220" spans="1:5" x14ac:dyDescent="0.25">
      <c r="A5220" t="s">
        <v>6</v>
      </c>
      <c r="B5220" t="s">
        <v>8</v>
      </c>
      <c r="C5220" s="1">
        <v>45726.833333333343</v>
      </c>
      <c r="D5220" s="1">
        <v>45777</v>
      </c>
      <c r="E5220" s="2">
        <f t="shared" si="81"/>
        <v>50.166666666656965</v>
      </c>
    </row>
    <row r="5221" spans="1:5" x14ac:dyDescent="0.25">
      <c r="A5221" t="s">
        <v>27</v>
      </c>
      <c r="B5221" t="s">
        <v>20</v>
      </c>
      <c r="C5221" s="1">
        <v>45697.027083333327</v>
      </c>
      <c r="D5221" s="1">
        <v>45769</v>
      </c>
      <c r="E5221" s="2">
        <f t="shared" si="81"/>
        <v>71.972916666672972</v>
      </c>
    </row>
    <row r="5222" spans="1:5" x14ac:dyDescent="0.25">
      <c r="A5222" t="s">
        <v>27</v>
      </c>
      <c r="B5222" t="s">
        <v>39</v>
      </c>
      <c r="C5222" s="1">
        <v>45697.027083333327</v>
      </c>
      <c r="D5222" s="1">
        <v>45769</v>
      </c>
      <c r="E5222" s="2">
        <f t="shared" si="81"/>
        <v>71.972916666672972</v>
      </c>
    </row>
    <row r="5223" spans="1:5" x14ac:dyDescent="0.25">
      <c r="A5223" t="s">
        <v>6</v>
      </c>
      <c r="B5223" t="s">
        <v>8</v>
      </c>
      <c r="C5223" s="1">
        <v>45755.966666666667</v>
      </c>
      <c r="D5223" s="1">
        <v>45799.242361111108</v>
      </c>
      <c r="E5223" s="2">
        <f t="shared" si="81"/>
        <v>43.275694444440887</v>
      </c>
    </row>
    <row r="5224" spans="1:5" x14ac:dyDescent="0.25">
      <c r="A5224" t="s">
        <v>10</v>
      </c>
      <c r="B5224" t="s">
        <v>8</v>
      </c>
      <c r="C5224" s="1">
        <v>45915.666666666657</v>
      </c>
      <c r="D5224" s="1">
        <v>45937.5</v>
      </c>
      <c r="E5224" s="2">
        <f t="shared" si="81"/>
        <v>21.833333333343035</v>
      </c>
    </row>
    <row r="5225" spans="1:5" x14ac:dyDescent="0.25">
      <c r="A5225" t="s">
        <v>12</v>
      </c>
      <c r="B5225" t="s">
        <v>13</v>
      </c>
      <c r="C5225" s="1">
        <v>45692.675000000003</v>
      </c>
      <c r="D5225" s="1">
        <v>45732.752083333333</v>
      </c>
      <c r="E5225" s="2">
        <f t="shared" si="81"/>
        <v>40.077083333329938</v>
      </c>
    </row>
    <row r="5226" spans="1:5" x14ac:dyDescent="0.25">
      <c r="A5226" t="s">
        <v>8</v>
      </c>
      <c r="B5226" t="s">
        <v>18</v>
      </c>
      <c r="C5226" s="1">
        <v>46227.745833333327</v>
      </c>
      <c r="D5226" s="1">
        <v>46269.7</v>
      </c>
      <c r="E5226" s="2">
        <f t="shared" si="81"/>
        <v>41.954166666670062</v>
      </c>
    </row>
    <row r="5227" spans="1:5" x14ac:dyDescent="0.25">
      <c r="A5227" t="s">
        <v>22</v>
      </c>
      <c r="B5227" t="s">
        <v>19</v>
      </c>
      <c r="C5227" s="1">
        <v>45690.960474537038</v>
      </c>
      <c r="D5227" s="1">
        <v>45749.308333333327</v>
      </c>
      <c r="E5227" s="2">
        <f t="shared" si="81"/>
        <v>58.347858796289074</v>
      </c>
    </row>
    <row r="5228" spans="1:5" x14ac:dyDescent="0.25">
      <c r="A5228" t="s">
        <v>15</v>
      </c>
      <c r="B5228" t="s">
        <v>13</v>
      </c>
      <c r="C5228" s="1">
        <v>45919.1</v>
      </c>
      <c r="D5228" s="1">
        <v>45963.020833333343</v>
      </c>
      <c r="E5228" s="2">
        <f t="shared" si="81"/>
        <v>43.92083333334449</v>
      </c>
    </row>
    <row r="5229" spans="1:5" x14ac:dyDescent="0.25">
      <c r="A5229" t="s">
        <v>11</v>
      </c>
      <c r="B5229" t="s">
        <v>21</v>
      </c>
      <c r="C5229" s="1">
        <v>45898.7</v>
      </c>
      <c r="D5229" s="1">
        <v>45909.504166666673</v>
      </c>
      <c r="E5229" s="2">
        <f t="shared" si="81"/>
        <v>10.804166666675883</v>
      </c>
    </row>
    <row r="5230" spans="1:5" x14ac:dyDescent="0.25">
      <c r="A5230" t="s">
        <v>16</v>
      </c>
      <c r="B5230" t="s">
        <v>8</v>
      </c>
      <c r="C5230" s="1">
        <v>45744.76666666667</v>
      </c>
      <c r="D5230" s="1">
        <v>45791.914583333331</v>
      </c>
      <c r="E5230" s="2">
        <f t="shared" si="81"/>
        <v>47.147916666661331</v>
      </c>
    </row>
    <row r="5231" spans="1:5" x14ac:dyDescent="0.25">
      <c r="A5231" t="s">
        <v>14</v>
      </c>
      <c r="B5231" t="s">
        <v>11</v>
      </c>
      <c r="C5231" s="1">
        <v>45683.375</v>
      </c>
      <c r="D5231" s="1">
        <v>45735.212500000001</v>
      </c>
      <c r="E5231" s="2">
        <f t="shared" si="81"/>
        <v>51.837500000001455</v>
      </c>
    </row>
    <row r="5232" spans="1:5" x14ac:dyDescent="0.25">
      <c r="A5232" t="s">
        <v>12</v>
      </c>
      <c r="B5232" t="s">
        <v>18</v>
      </c>
      <c r="C5232" s="1">
        <v>45673.537499999999</v>
      </c>
      <c r="D5232" s="1">
        <v>45723.833333333343</v>
      </c>
      <c r="E5232" s="2">
        <f t="shared" si="81"/>
        <v>50.29583333334449</v>
      </c>
    </row>
    <row r="5233" spans="1:5" x14ac:dyDescent="0.25">
      <c r="A5233" t="s">
        <v>20</v>
      </c>
      <c r="B5233" t="s">
        <v>8</v>
      </c>
      <c r="C5233" s="1">
        <v>45711.133333333331</v>
      </c>
      <c r="D5233" s="1">
        <v>45742.319444444453</v>
      </c>
      <c r="E5233" s="2">
        <f t="shared" si="81"/>
        <v>31.186111111121136</v>
      </c>
    </row>
    <row r="5234" spans="1:5" x14ac:dyDescent="0.25">
      <c r="A5234" t="s">
        <v>20</v>
      </c>
      <c r="B5234" t="s">
        <v>8</v>
      </c>
      <c r="C5234" s="1">
        <v>45682.683333333327</v>
      </c>
      <c r="D5234" s="1">
        <v>45710.989583333343</v>
      </c>
      <c r="E5234" s="2">
        <f t="shared" si="81"/>
        <v>28.306250000016007</v>
      </c>
    </row>
    <row r="5235" spans="1:5" x14ac:dyDescent="0.25">
      <c r="A5235" t="s">
        <v>19</v>
      </c>
      <c r="B5235" t="s">
        <v>8</v>
      </c>
      <c r="C5235" s="1">
        <v>45663.237500000003</v>
      </c>
      <c r="D5235" s="1">
        <v>45693.586805555547</v>
      </c>
      <c r="E5235" s="2">
        <f t="shared" si="81"/>
        <v>30.349305555544561</v>
      </c>
    </row>
    <row r="5236" spans="1:5" x14ac:dyDescent="0.25">
      <c r="A5236" t="s">
        <v>7</v>
      </c>
      <c r="B5236" t="s">
        <v>13</v>
      </c>
      <c r="C5236" s="1">
        <v>46086.833333333343</v>
      </c>
      <c r="D5236" s="1">
        <v>46134.854166666657</v>
      </c>
      <c r="E5236" s="2">
        <f t="shared" si="81"/>
        <v>48.020833333313931</v>
      </c>
    </row>
    <row r="5237" spans="1:5" x14ac:dyDescent="0.25">
      <c r="A5237" t="s">
        <v>12</v>
      </c>
      <c r="B5237" t="s">
        <v>13</v>
      </c>
      <c r="C5237" s="1">
        <v>46057.875</v>
      </c>
      <c r="D5237" s="1">
        <v>46102.833333333343</v>
      </c>
      <c r="E5237" s="2">
        <f t="shared" si="81"/>
        <v>44.958333333343035</v>
      </c>
    </row>
    <row r="5238" spans="1:5" x14ac:dyDescent="0.25">
      <c r="A5238" t="s">
        <v>60</v>
      </c>
      <c r="B5238" t="s">
        <v>13</v>
      </c>
      <c r="C5238" s="1">
        <v>45965.375</v>
      </c>
      <c r="D5238" s="1">
        <v>46015.118055555547</v>
      </c>
      <c r="E5238" s="2">
        <f t="shared" si="81"/>
        <v>49.743055555547471</v>
      </c>
    </row>
    <row r="5239" spans="1:5" x14ac:dyDescent="0.25">
      <c r="A5239" t="s">
        <v>34</v>
      </c>
      <c r="B5239" t="s">
        <v>13</v>
      </c>
      <c r="C5239" s="1">
        <v>46034.324999999997</v>
      </c>
      <c r="D5239" s="1">
        <v>46060.929166666669</v>
      </c>
      <c r="E5239" s="2">
        <f t="shared" si="81"/>
        <v>26.604166666671517</v>
      </c>
    </row>
    <row r="5240" spans="1:5" x14ac:dyDescent="0.25">
      <c r="A5240" t="s">
        <v>15</v>
      </c>
      <c r="B5240" t="s">
        <v>13</v>
      </c>
      <c r="C5240" s="1">
        <v>46185.171527777777</v>
      </c>
      <c r="D5240" s="1">
        <v>46221.126388888893</v>
      </c>
      <c r="E5240" s="2">
        <f t="shared" si="81"/>
        <v>35.95486111111677</v>
      </c>
    </row>
    <row r="5241" spans="1:5" x14ac:dyDescent="0.25">
      <c r="A5241" t="s">
        <v>15</v>
      </c>
      <c r="B5241" t="s">
        <v>13</v>
      </c>
      <c r="C5241" s="1">
        <v>45774.129166666673</v>
      </c>
      <c r="D5241" s="1">
        <v>45817.291666666657</v>
      </c>
      <c r="E5241" s="2">
        <f t="shared" si="81"/>
        <v>43.162499999983993</v>
      </c>
    </row>
    <row r="5242" spans="1:5" x14ac:dyDescent="0.25">
      <c r="A5242" t="s">
        <v>8</v>
      </c>
      <c r="B5242" t="s">
        <v>18</v>
      </c>
      <c r="C5242" s="1">
        <v>46199.770833333343</v>
      </c>
      <c r="D5242" s="1">
        <v>46241.870833333327</v>
      </c>
      <c r="E5242" s="2">
        <f t="shared" si="81"/>
        <v>42.099999999983993</v>
      </c>
    </row>
    <row r="5243" spans="1:5" x14ac:dyDescent="0.25">
      <c r="A5243" t="s">
        <v>15</v>
      </c>
      <c r="B5243" t="s">
        <v>13</v>
      </c>
      <c r="C5243" s="1">
        <v>45774.129166666673</v>
      </c>
      <c r="D5243" s="1">
        <v>45817.291666666657</v>
      </c>
      <c r="E5243" s="2">
        <f t="shared" si="81"/>
        <v>43.162499999983993</v>
      </c>
    </row>
    <row r="5244" spans="1:5" x14ac:dyDescent="0.25">
      <c r="A5244" t="s">
        <v>12</v>
      </c>
      <c r="B5244" t="s">
        <v>8</v>
      </c>
      <c r="C5244" s="1">
        <v>46036.183333333327</v>
      </c>
      <c r="D5244" s="1">
        <v>46082.083333333343</v>
      </c>
      <c r="E5244" s="2">
        <f t="shared" si="81"/>
        <v>45.900000000016007</v>
      </c>
    </row>
    <row r="5245" spans="1:5" x14ac:dyDescent="0.25">
      <c r="A5245" t="s">
        <v>34</v>
      </c>
      <c r="B5245" t="s">
        <v>13</v>
      </c>
      <c r="C5245" s="1">
        <v>46181.865277777782</v>
      </c>
      <c r="D5245" s="1">
        <v>46206.527083333327</v>
      </c>
      <c r="E5245" s="2">
        <f t="shared" si="81"/>
        <v>24.661805555544561</v>
      </c>
    </row>
    <row r="5246" spans="1:5" x14ac:dyDescent="0.25">
      <c r="A5246" t="s">
        <v>34</v>
      </c>
      <c r="B5246" t="s">
        <v>13</v>
      </c>
      <c r="C5246" s="1">
        <v>46167.455555555563</v>
      </c>
      <c r="D5246" s="1">
        <v>46191.282638888893</v>
      </c>
      <c r="E5246" s="2">
        <f t="shared" si="81"/>
        <v>23.827083333329938</v>
      </c>
    </row>
    <row r="5247" spans="1:5" x14ac:dyDescent="0.25">
      <c r="A5247" t="s">
        <v>7</v>
      </c>
      <c r="B5247" t="s">
        <v>11</v>
      </c>
      <c r="C5247" s="1">
        <v>45688.947222222218</v>
      </c>
      <c r="D5247" s="1">
        <v>45769.981249999997</v>
      </c>
      <c r="E5247" s="2">
        <f t="shared" si="81"/>
        <v>81.034027777779556</v>
      </c>
    </row>
    <row r="5248" spans="1:5" x14ac:dyDescent="0.25">
      <c r="A5248" t="s">
        <v>10</v>
      </c>
      <c r="B5248" t="s">
        <v>8</v>
      </c>
      <c r="C5248" s="1">
        <v>45972.260416666657</v>
      </c>
      <c r="D5248" s="1">
        <v>45993.147222222222</v>
      </c>
      <c r="E5248" s="2">
        <f t="shared" si="81"/>
        <v>20.886805555564933</v>
      </c>
    </row>
    <row r="5249" spans="1:5" x14ac:dyDescent="0.25">
      <c r="A5249" t="s">
        <v>27</v>
      </c>
      <c r="B5249" t="s">
        <v>20</v>
      </c>
      <c r="C5249" s="1">
        <v>45725.397916666669</v>
      </c>
      <c r="D5249" s="1">
        <v>45794.862500000003</v>
      </c>
      <c r="E5249" s="2">
        <f t="shared" si="81"/>
        <v>69.464583333334303</v>
      </c>
    </row>
    <row r="5250" spans="1:5" x14ac:dyDescent="0.25">
      <c r="A5250" t="s">
        <v>28</v>
      </c>
      <c r="B5250" t="s">
        <v>18</v>
      </c>
      <c r="C5250" s="1">
        <v>45834.243055555547</v>
      </c>
      <c r="D5250" s="1">
        <v>45897</v>
      </c>
      <c r="E5250" s="2">
        <f t="shared" ref="E5250:E5313" si="82">D5250-C5250</f>
        <v>62.756944444452529</v>
      </c>
    </row>
    <row r="5251" spans="1:5" x14ac:dyDescent="0.25">
      <c r="A5251" t="s">
        <v>22</v>
      </c>
      <c r="B5251" t="s">
        <v>14</v>
      </c>
      <c r="C5251" s="1">
        <v>45790.491666666669</v>
      </c>
      <c r="D5251" s="1">
        <v>45833.819444444453</v>
      </c>
      <c r="E5251" s="2">
        <f t="shared" si="82"/>
        <v>43.327777777783922</v>
      </c>
    </row>
    <row r="5252" spans="1:5" x14ac:dyDescent="0.25">
      <c r="A5252" t="s">
        <v>10</v>
      </c>
      <c r="B5252" t="s">
        <v>11</v>
      </c>
      <c r="C5252" s="1">
        <v>45799.418043981481</v>
      </c>
      <c r="D5252" s="1">
        <v>45826.025000000001</v>
      </c>
      <c r="E5252" s="2">
        <f t="shared" si="82"/>
        <v>26.606956018520577</v>
      </c>
    </row>
    <row r="5253" spans="1:5" x14ac:dyDescent="0.25">
      <c r="A5253" t="s">
        <v>18</v>
      </c>
      <c r="B5253" t="s">
        <v>27</v>
      </c>
      <c r="C5253" s="1">
        <v>45804.988055555557</v>
      </c>
      <c r="D5253" s="1">
        <v>45875.315972222219</v>
      </c>
      <c r="E5253" s="2">
        <f t="shared" si="82"/>
        <v>70.327916666661622</v>
      </c>
    </row>
    <row r="5254" spans="1:5" x14ac:dyDescent="0.25">
      <c r="A5254" t="s">
        <v>15</v>
      </c>
      <c r="B5254" t="s">
        <v>38</v>
      </c>
      <c r="C5254" s="1">
        <v>46183.125694444447</v>
      </c>
      <c r="D5254" s="1">
        <v>46240.75277777778</v>
      </c>
      <c r="E5254" s="2">
        <f t="shared" si="82"/>
        <v>57.627083333332848</v>
      </c>
    </row>
    <row r="5255" spans="1:5" x14ac:dyDescent="0.25">
      <c r="A5255" t="s">
        <v>22</v>
      </c>
      <c r="B5255" t="s">
        <v>19</v>
      </c>
      <c r="C5255" s="1">
        <v>45748.209074074082</v>
      </c>
      <c r="D5255" s="1">
        <v>45816.841666666667</v>
      </c>
      <c r="E5255" s="2">
        <f t="shared" si="82"/>
        <v>68.632592592584842</v>
      </c>
    </row>
    <row r="5256" spans="1:5" x14ac:dyDescent="0.25">
      <c r="A5256" t="s">
        <v>18</v>
      </c>
      <c r="B5256" t="s">
        <v>27</v>
      </c>
      <c r="C5256" s="1">
        <v>45749.263981481483</v>
      </c>
      <c r="D5256" s="1">
        <v>45819.925000000003</v>
      </c>
      <c r="E5256" s="2">
        <f t="shared" si="82"/>
        <v>70.661018518519995</v>
      </c>
    </row>
    <row r="5257" spans="1:5" x14ac:dyDescent="0.25">
      <c r="A5257" t="s">
        <v>23</v>
      </c>
      <c r="B5257" t="s">
        <v>24</v>
      </c>
      <c r="C5257" s="1">
        <v>46105.17083333333</v>
      </c>
      <c r="D5257" s="1">
        <v>46156.694444444453</v>
      </c>
      <c r="E5257" s="2">
        <f t="shared" si="82"/>
        <v>51.523611111122591</v>
      </c>
    </row>
    <row r="5258" spans="1:5" x14ac:dyDescent="0.25">
      <c r="A5258" t="s">
        <v>15</v>
      </c>
      <c r="B5258" t="s">
        <v>13</v>
      </c>
      <c r="C5258" s="1">
        <v>45755.591666666667</v>
      </c>
      <c r="D5258" s="1">
        <v>45797.95</v>
      </c>
      <c r="E5258" s="2">
        <f t="shared" si="82"/>
        <v>42.358333333329938</v>
      </c>
    </row>
    <row r="5259" spans="1:5" x14ac:dyDescent="0.25">
      <c r="A5259" t="s">
        <v>22</v>
      </c>
      <c r="B5259" t="s">
        <v>19</v>
      </c>
      <c r="C5259" s="1">
        <v>46223.229166666657</v>
      </c>
      <c r="D5259" s="1">
        <v>46261.552777777782</v>
      </c>
      <c r="E5259" s="2">
        <f t="shared" si="82"/>
        <v>38.323611111125501</v>
      </c>
    </row>
    <row r="5260" spans="1:5" x14ac:dyDescent="0.25">
      <c r="A5260" t="s">
        <v>12</v>
      </c>
      <c r="B5260" t="s">
        <v>18</v>
      </c>
      <c r="C5260" s="1">
        <v>45799.050694444442</v>
      </c>
      <c r="D5260" s="1">
        <v>45869.003472222219</v>
      </c>
      <c r="E5260" s="2">
        <f t="shared" si="82"/>
        <v>69.952777777776646</v>
      </c>
    </row>
    <row r="5261" spans="1:5" x14ac:dyDescent="0.25">
      <c r="A5261" t="s">
        <v>22</v>
      </c>
      <c r="B5261" t="s">
        <v>52</v>
      </c>
      <c r="C5261" s="1">
        <v>46179.6875</v>
      </c>
      <c r="D5261" s="1">
        <v>46231.833333333343</v>
      </c>
      <c r="E5261" s="2">
        <f t="shared" si="82"/>
        <v>52.145833333343035</v>
      </c>
    </row>
    <row r="5262" spans="1:5" x14ac:dyDescent="0.25">
      <c r="A5262" t="s">
        <v>14</v>
      </c>
      <c r="B5262" t="s">
        <v>34</v>
      </c>
      <c r="C5262" s="1">
        <v>45681.066689814812</v>
      </c>
      <c r="D5262" s="1">
        <v>45698.470138888893</v>
      </c>
      <c r="E5262" s="2">
        <f t="shared" si="82"/>
        <v>17.403449074081436</v>
      </c>
    </row>
    <row r="5263" spans="1:5" x14ac:dyDescent="0.25">
      <c r="A5263" t="s">
        <v>34</v>
      </c>
      <c r="B5263" t="s">
        <v>13</v>
      </c>
      <c r="C5263" s="1">
        <v>46057.396527777782</v>
      </c>
      <c r="D5263" s="1">
        <v>46076.161111111112</v>
      </c>
      <c r="E5263" s="2">
        <f t="shared" si="82"/>
        <v>18.764583333329938</v>
      </c>
    </row>
    <row r="5264" spans="1:5" x14ac:dyDescent="0.25">
      <c r="A5264" t="s">
        <v>18</v>
      </c>
      <c r="B5264" t="s">
        <v>27</v>
      </c>
      <c r="C5264" s="1">
        <v>45812.423611111109</v>
      </c>
      <c r="D5264" s="1">
        <v>45882.5625</v>
      </c>
      <c r="E5264" s="2">
        <f t="shared" si="82"/>
        <v>70.138888888890506</v>
      </c>
    </row>
    <row r="5265" spans="1:5" x14ac:dyDescent="0.25">
      <c r="A5265" t="s">
        <v>15</v>
      </c>
      <c r="B5265" t="s">
        <v>13</v>
      </c>
      <c r="C5265" s="1">
        <v>46169.954097222217</v>
      </c>
      <c r="D5265" s="1">
        <v>46208.722222222219</v>
      </c>
      <c r="E5265" s="2">
        <f t="shared" si="82"/>
        <v>38.768125000002328</v>
      </c>
    </row>
    <row r="5266" spans="1:5" x14ac:dyDescent="0.25">
      <c r="A5266" t="s">
        <v>5</v>
      </c>
      <c r="B5266" t="s">
        <v>6</v>
      </c>
      <c r="C5266" s="1">
        <v>46025.436111111107</v>
      </c>
      <c r="D5266" s="1">
        <v>46081.35833333333</v>
      </c>
      <c r="E5266" s="2">
        <f t="shared" si="82"/>
        <v>55.922222222223354</v>
      </c>
    </row>
    <row r="5267" spans="1:5" x14ac:dyDescent="0.25">
      <c r="A5267" t="s">
        <v>7</v>
      </c>
      <c r="B5267" t="s">
        <v>11</v>
      </c>
      <c r="C5267" s="1">
        <v>45850.695833333331</v>
      </c>
      <c r="D5267" s="1">
        <v>45923.237500000003</v>
      </c>
      <c r="E5267" s="2">
        <f t="shared" si="82"/>
        <v>72.541666666671517</v>
      </c>
    </row>
    <row r="5268" spans="1:5" x14ac:dyDescent="0.25">
      <c r="A5268" t="s">
        <v>48</v>
      </c>
      <c r="B5268" t="s">
        <v>12</v>
      </c>
      <c r="C5268" s="1">
        <v>45792.458333333343</v>
      </c>
      <c r="D5268" s="1">
        <v>45856.2</v>
      </c>
      <c r="E5268" s="2">
        <f t="shared" si="82"/>
        <v>63.741666666654055</v>
      </c>
    </row>
    <row r="5269" spans="1:5" x14ac:dyDescent="0.25">
      <c r="A5269" t="s">
        <v>35</v>
      </c>
      <c r="B5269" t="s">
        <v>51</v>
      </c>
      <c r="C5269" s="1">
        <v>46186.361111111109</v>
      </c>
      <c r="D5269" s="1">
        <v>46229.507638888892</v>
      </c>
      <c r="E5269" s="2">
        <f t="shared" si="82"/>
        <v>43.146527777782467</v>
      </c>
    </row>
    <row r="5270" spans="1:5" x14ac:dyDescent="0.25">
      <c r="A5270" t="s">
        <v>22</v>
      </c>
      <c r="B5270" t="s">
        <v>19</v>
      </c>
      <c r="C5270" s="1">
        <v>46103.772916666669</v>
      </c>
      <c r="D5270" s="1">
        <v>46162.300694444442</v>
      </c>
      <c r="E5270" s="2">
        <f t="shared" si="82"/>
        <v>58.527777777773736</v>
      </c>
    </row>
    <row r="5271" spans="1:5" x14ac:dyDescent="0.25">
      <c r="A5271" t="s">
        <v>22</v>
      </c>
      <c r="B5271" t="s">
        <v>19</v>
      </c>
      <c r="C5271" s="1">
        <v>46205.704861111109</v>
      </c>
      <c r="D5271" s="1">
        <v>46262.28125</v>
      </c>
      <c r="E5271" s="2">
        <f t="shared" si="82"/>
        <v>56.576388888890506</v>
      </c>
    </row>
    <row r="5272" spans="1:5" x14ac:dyDescent="0.25">
      <c r="A5272" t="s">
        <v>12</v>
      </c>
      <c r="B5272" t="s">
        <v>18</v>
      </c>
      <c r="C5272" s="1">
        <v>45869.008333333331</v>
      </c>
      <c r="D5272" s="1">
        <v>45948.833333333343</v>
      </c>
      <c r="E5272" s="2">
        <f t="shared" si="82"/>
        <v>79.825000000011642</v>
      </c>
    </row>
    <row r="5273" spans="1:5" x14ac:dyDescent="0.25">
      <c r="A5273" t="s">
        <v>6</v>
      </c>
      <c r="B5273" t="s">
        <v>8</v>
      </c>
      <c r="C5273" s="1">
        <v>45732.066666666673</v>
      </c>
      <c r="D5273" s="1">
        <v>45789</v>
      </c>
      <c r="E5273" s="2">
        <f t="shared" si="82"/>
        <v>56.933333333327028</v>
      </c>
    </row>
    <row r="5274" spans="1:5" x14ac:dyDescent="0.25">
      <c r="A5274" t="s">
        <v>28</v>
      </c>
      <c r="B5274" t="s">
        <v>18</v>
      </c>
      <c r="C5274" s="1">
        <v>45879.111111111109</v>
      </c>
      <c r="D5274" s="1">
        <v>45955.333333333343</v>
      </c>
      <c r="E5274" s="2">
        <f t="shared" si="82"/>
        <v>76.22222222223354</v>
      </c>
    </row>
    <row r="5275" spans="1:5" x14ac:dyDescent="0.25">
      <c r="A5275" t="s">
        <v>22</v>
      </c>
      <c r="B5275" t="s">
        <v>19</v>
      </c>
      <c r="C5275" s="1">
        <v>45991.995833333327</v>
      </c>
      <c r="D5275" s="1">
        <v>46045.793055555558</v>
      </c>
      <c r="E5275" s="2">
        <f t="shared" si="82"/>
        <v>53.79722222223063</v>
      </c>
    </row>
    <row r="5276" spans="1:5" x14ac:dyDescent="0.25">
      <c r="A5276" t="s">
        <v>27</v>
      </c>
      <c r="B5276" t="s">
        <v>8</v>
      </c>
      <c r="C5276" s="1">
        <v>46099.712500000001</v>
      </c>
      <c r="D5276" s="1">
        <v>46144.908333333333</v>
      </c>
      <c r="E5276" s="2">
        <f t="shared" si="82"/>
        <v>45.195833333331393</v>
      </c>
    </row>
    <row r="5277" spans="1:5" x14ac:dyDescent="0.25">
      <c r="A5277" t="s">
        <v>22</v>
      </c>
      <c r="B5277" t="s">
        <v>19</v>
      </c>
      <c r="C5277" s="1">
        <v>46205.704861111109</v>
      </c>
      <c r="D5277" s="1">
        <v>46262.28125</v>
      </c>
      <c r="E5277" s="2">
        <f t="shared" si="82"/>
        <v>56.576388888890506</v>
      </c>
    </row>
    <row r="5278" spans="1:5" x14ac:dyDescent="0.25">
      <c r="A5278" t="s">
        <v>22</v>
      </c>
      <c r="B5278" t="s">
        <v>19</v>
      </c>
      <c r="C5278" s="1">
        <v>45970.664583333331</v>
      </c>
      <c r="D5278" s="1">
        <v>46025.578472222223</v>
      </c>
      <c r="E5278" s="2">
        <f t="shared" si="82"/>
        <v>54.913888888891961</v>
      </c>
    </row>
    <row r="5279" spans="1:5" x14ac:dyDescent="0.25">
      <c r="A5279" t="s">
        <v>15</v>
      </c>
      <c r="B5279" t="s">
        <v>18</v>
      </c>
      <c r="C5279" s="1">
        <v>45682.914583333331</v>
      </c>
      <c r="D5279" s="1">
        <v>45730.976388888892</v>
      </c>
      <c r="E5279" s="2">
        <f t="shared" si="82"/>
        <v>48.061805555560568</v>
      </c>
    </row>
    <row r="5280" spans="1:5" x14ac:dyDescent="0.25">
      <c r="A5280" t="s">
        <v>12</v>
      </c>
      <c r="B5280" t="s">
        <v>13</v>
      </c>
      <c r="C5280" s="1">
        <v>45755.623611111107</v>
      </c>
      <c r="D5280" s="1">
        <v>45805.245833333327</v>
      </c>
      <c r="E5280" s="2">
        <f t="shared" si="82"/>
        <v>49.622222222220444</v>
      </c>
    </row>
    <row r="5281" spans="1:5" x14ac:dyDescent="0.25">
      <c r="A5281" t="s">
        <v>12</v>
      </c>
      <c r="B5281" t="s">
        <v>18</v>
      </c>
      <c r="C5281" s="1">
        <v>45779.633333333331</v>
      </c>
      <c r="D5281" s="1">
        <v>45847.017361111109</v>
      </c>
      <c r="E5281" s="2">
        <f t="shared" si="82"/>
        <v>67.384027777778101</v>
      </c>
    </row>
    <row r="5282" spans="1:5" x14ac:dyDescent="0.25">
      <c r="A5282" t="s">
        <v>27</v>
      </c>
      <c r="B5282" t="s">
        <v>20</v>
      </c>
      <c r="C5282" s="1">
        <v>45666.827777777777</v>
      </c>
      <c r="D5282" s="1">
        <v>45729.604166666657</v>
      </c>
      <c r="E5282" s="2">
        <f t="shared" si="82"/>
        <v>62.776388888880319</v>
      </c>
    </row>
    <row r="5283" spans="1:5" x14ac:dyDescent="0.25">
      <c r="A5283" t="s">
        <v>20</v>
      </c>
      <c r="B5283" t="s">
        <v>8</v>
      </c>
      <c r="C5283" s="1">
        <v>45764.083333333343</v>
      </c>
      <c r="D5283" s="1">
        <v>45799.242361111108</v>
      </c>
      <c r="E5283" s="2">
        <f t="shared" si="82"/>
        <v>35.159027777765004</v>
      </c>
    </row>
    <row r="5284" spans="1:5" x14ac:dyDescent="0.25">
      <c r="A5284" t="s">
        <v>8</v>
      </c>
      <c r="B5284" t="s">
        <v>18</v>
      </c>
      <c r="C5284" s="1">
        <v>46162.799305555563</v>
      </c>
      <c r="D5284" s="1">
        <v>46210.020833333343</v>
      </c>
      <c r="E5284" s="2">
        <f t="shared" si="82"/>
        <v>47.221527777779556</v>
      </c>
    </row>
    <row r="5285" spans="1:5" x14ac:dyDescent="0.25">
      <c r="A5285" t="s">
        <v>20</v>
      </c>
      <c r="B5285" t="s">
        <v>8</v>
      </c>
      <c r="C5285" s="1">
        <v>46187.029166666667</v>
      </c>
      <c r="D5285" s="1">
        <v>46219.579861111109</v>
      </c>
      <c r="E5285" s="2">
        <f t="shared" si="82"/>
        <v>32.550694444442343</v>
      </c>
    </row>
    <row r="5286" spans="1:5" x14ac:dyDescent="0.25">
      <c r="A5286" t="s">
        <v>8</v>
      </c>
      <c r="B5286" t="s">
        <v>18</v>
      </c>
      <c r="C5286" s="1">
        <v>46192.1875</v>
      </c>
      <c r="D5286" s="1">
        <v>46227.5</v>
      </c>
      <c r="E5286" s="2">
        <f t="shared" si="82"/>
        <v>35.3125</v>
      </c>
    </row>
    <row r="5287" spans="1:5" x14ac:dyDescent="0.25">
      <c r="A5287" t="s">
        <v>15</v>
      </c>
      <c r="B5287" t="s">
        <v>18</v>
      </c>
      <c r="C5287" s="1">
        <v>46081.041666666657</v>
      </c>
      <c r="D5287" s="1">
        <v>46131.375</v>
      </c>
      <c r="E5287" s="2">
        <f t="shared" si="82"/>
        <v>50.333333333343035</v>
      </c>
    </row>
    <row r="5288" spans="1:5" x14ac:dyDescent="0.25">
      <c r="A5288" t="s">
        <v>20</v>
      </c>
      <c r="B5288" t="s">
        <v>8</v>
      </c>
      <c r="C5288" s="1">
        <v>46039.441666666673</v>
      </c>
      <c r="D5288" s="1">
        <v>46078.697916666657</v>
      </c>
      <c r="E5288" s="2">
        <f t="shared" si="82"/>
        <v>39.256249999983993</v>
      </c>
    </row>
    <row r="5289" spans="1:5" x14ac:dyDescent="0.25">
      <c r="A5289" t="s">
        <v>27</v>
      </c>
      <c r="B5289" t="s">
        <v>8</v>
      </c>
      <c r="C5289" s="1">
        <v>46131.043055555558</v>
      </c>
      <c r="D5289" s="1">
        <v>46194.495138888888</v>
      </c>
      <c r="E5289" s="2">
        <f t="shared" si="82"/>
        <v>63.452083333329938</v>
      </c>
    </row>
    <row r="5290" spans="1:5" x14ac:dyDescent="0.25">
      <c r="A5290" t="s">
        <v>15</v>
      </c>
      <c r="B5290" t="s">
        <v>8</v>
      </c>
      <c r="C5290" s="1">
        <v>45702</v>
      </c>
      <c r="D5290" s="1">
        <v>45738.364583333343</v>
      </c>
      <c r="E5290" s="2">
        <f t="shared" si="82"/>
        <v>36.364583333343035</v>
      </c>
    </row>
    <row r="5291" spans="1:5" x14ac:dyDescent="0.25">
      <c r="A5291" t="s">
        <v>15</v>
      </c>
      <c r="B5291" t="s">
        <v>6</v>
      </c>
      <c r="C5291" s="1">
        <v>45661</v>
      </c>
      <c r="D5291" s="1">
        <v>45715.087500000001</v>
      </c>
      <c r="E5291" s="2">
        <f t="shared" si="82"/>
        <v>54.087500000001455</v>
      </c>
    </row>
    <row r="5292" spans="1:5" x14ac:dyDescent="0.25">
      <c r="A5292" t="s">
        <v>16</v>
      </c>
      <c r="B5292" t="s">
        <v>8</v>
      </c>
      <c r="C5292" s="1">
        <v>45687.745833333327</v>
      </c>
      <c r="D5292" s="1">
        <v>45729.704861111109</v>
      </c>
      <c r="E5292" s="2">
        <f t="shared" si="82"/>
        <v>41.959027777782467</v>
      </c>
    </row>
    <row r="5293" spans="1:5" x14ac:dyDescent="0.25">
      <c r="A5293" t="s">
        <v>28</v>
      </c>
      <c r="B5293" t="s">
        <v>18</v>
      </c>
      <c r="C5293" s="1">
        <v>45883.958333333343</v>
      </c>
      <c r="D5293" s="1">
        <v>45955.333333333343</v>
      </c>
      <c r="E5293" s="2">
        <f t="shared" si="82"/>
        <v>71.375</v>
      </c>
    </row>
    <row r="5294" spans="1:5" x14ac:dyDescent="0.25">
      <c r="A5294" t="s">
        <v>22</v>
      </c>
      <c r="B5294" t="s">
        <v>19</v>
      </c>
      <c r="C5294" s="1">
        <v>45932.87771990741</v>
      </c>
      <c r="D5294" s="1">
        <v>45975.527314814812</v>
      </c>
      <c r="E5294" s="2">
        <f t="shared" si="82"/>
        <v>42.649594907401479</v>
      </c>
    </row>
    <row r="5295" spans="1:5" x14ac:dyDescent="0.25">
      <c r="A5295" t="s">
        <v>40</v>
      </c>
      <c r="B5295" t="s">
        <v>37</v>
      </c>
      <c r="C5295" s="1">
        <v>45938.546898148154</v>
      </c>
      <c r="D5295" s="1">
        <v>45951.966666666667</v>
      </c>
      <c r="E5295" s="2">
        <f t="shared" si="82"/>
        <v>13.419768518513592</v>
      </c>
    </row>
    <row r="5296" spans="1:5" x14ac:dyDescent="0.25">
      <c r="A5296" t="s">
        <v>5</v>
      </c>
      <c r="B5296" t="s">
        <v>8</v>
      </c>
      <c r="C5296" s="1">
        <v>46088.612500000003</v>
      </c>
      <c r="D5296" s="1">
        <v>46141.354166666657</v>
      </c>
      <c r="E5296" s="2">
        <f t="shared" si="82"/>
        <v>52.741666666654055</v>
      </c>
    </row>
    <row r="5297" spans="1:5" x14ac:dyDescent="0.25">
      <c r="A5297" t="s">
        <v>7</v>
      </c>
      <c r="B5297" t="s">
        <v>8</v>
      </c>
      <c r="C5297" s="1">
        <v>45940.345833333333</v>
      </c>
      <c r="D5297" s="1">
        <v>45989.166666666657</v>
      </c>
      <c r="E5297" s="2">
        <f t="shared" si="82"/>
        <v>48.820833333324117</v>
      </c>
    </row>
    <row r="5298" spans="1:5" x14ac:dyDescent="0.25">
      <c r="A5298" t="s">
        <v>40</v>
      </c>
      <c r="B5298" t="s">
        <v>37</v>
      </c>
      <c r="C5298" s="1">
        <v>45940.911041666674</v>
      </c>
      <c r="D5298" s="1">
        <v>45954.65</v>
      </c>
      <c r="E5298" s="2">
        <f t="shared" si="82"/>
        <v>13.738958333327901</v>
      </c>
    </row>
    <row r="5299" spans="1:5" x14ac:dyDescent="0.25">
      <c r="A5299" t="s">
        <v>11</v>
      </c>
      <c r="B5299" t="s">
        <v>37</v>
      </c>
      <c r="C5299" s="1">
        <v>45663.672048611108</v>
      </c>
      <c r="D5299" s="1">
        <v>45678.612500000003</v>
      </c>
      <c r="E5299" s="2">
        <f t="shared" si="82"/>
        <v>14.940451388894871</v>
      </c>
    </row>
    <row r="5300" spans="1:5" x14ac:dyDescent="0.25">
      <c r="A5300" t="s">
        <v>19</v>
      </c>
      <c r="B5300" t="s">
        <v>11</v>
      </c>
      <c r="C5300" s="1">
        <v>46233.256249999999</v>
      </c>
      <c r="D5300" s="1">
        <v>46274.036805555559</v>
      </c>
      <c r="E5300" s="2">
        <f t="shared" si="82"/>
        <v>40.780555555560568</v>
      </c>
    </row>
    <row r="5301" spans="1:5" x14ac:dyDescent="0.25">
      <c r="A5301" t="s">
        <v>18</v>
      </c>
      <c r="B5301" t="s">
        <v>27</v>
      </c>
      <c r="C5301" s="1">
        <v>45677.389548611107</v>
      </c>
      <c r="D5301" s="1">
        <v>45756.691666666673</v>
      </c>
      <c r="E5301" s="2">
        <f t="shared" si="82"/>
        <v>79.302118055566098</v>
      </c>
    </row>
    <row r="5302" spans="1:5" x14ac:dyDescent="0.25">
      <c r="A5302" t="s">
        <v>40</v>
      </c>
      <c r="B5302" t="s">
        <v>37</v>
      </c>
      <c r="C5302" s="1">
        <v>45730.116666666669</v>
      </c>
      <c r="D5302" s="1">
        <v>45742.283333333333</v>
      </c>
      <c r="E5302" s="2">
        <f t="shared" si="82"/>
        <v>12.166666666664241</v>
      </c>
    </row>
    <row r="5303" spans="1:5" x14ac:dyDescent="0.25">
      <c r="A5303" t="s">
        <v>34</v>
      </c>
      <c r="B5303" t="s">
        <v>13</v>
      </c>
      <c r="C5303" s="1">
        <v>46134.060416666667</v>
      </c>
      <c r="D5303" s="1">
        <v>46158.063194444447</v>
      </c>
      <c r="E5303" s="2">
        <f t="shared" si="82"/>
        <v>24.002777777779556</v>
      </c>
    </row>
    <row r="5304" spans="1:5" x14ac:dyDescent="0.25">
      <c r="A5304" t="s">
        <v>11</v>
      </c>
      <c r="B5304" t="s">
        <v>21</v>
      </c>
      <c r="C5304" s="1">
        <v>46248.102083333331</v>
      </c>
      <c r="D5304" s="1">
        <v>46268.916666666657</v>
      </c>
      <c r="E5304" s="2">
        <f t="shared" si="82"/>
        <v>20.814583333325572</v>
      </c>
    </row>
    <row r="5305" spans="1:5" x14ac:dyDescent="0.25">
      <c r="A5305" t="s">
        <v>15</v>
      </c>
      <c r="B5305" t="s">
        <v>18</v>
      </c>
      <c r="C5305" s="1">
        <v>45837.152777777781</v>
      </c>
      <c r="D5305" s="1">
        <v>45892.193055555559</v>
      </c>
      <c r="E5305" s="2">
        <f t="shared" si="82"/>
        <v>55.040277777778101</v>
      </c>
    </row>
    <row r="5306" spans="1:5" x14ac:dyDescent="0.25">
      <c r="A5306" t="s">
        <v>8</v>
      </c>
      <c r="B5306" t="s">
        <v>18</v>
      </c>
      <c r="C5306" s="1">
        <v>46122.729861111111</v>
      </c>
      <c r="D5306" s="1">
        <v>46149.688888888893</v>
      </c>
      <c r="E5306" s="2">
        <f t="shared" si="82"/>
        <v>26.959027777782467</v>
      </c>
    </row>
    <row r="5307" spans="1:5" x14ac:dyDescent="0.25">
      <c r="A5307" t="s">
        <v>14</v>
      </c>
      <c r="B5307" t="s">
        <v>34</v>
      </c>
      <c r="C5307" s="1">
        <v>45673.56527777778</v>
      </c>
      <c r="D5307" s="1">
        <v>45695.100694444453</v>
      </c>
      <c r="E5307" s="2">
        <f t="shared" si="82"/>
        <v>21.535416666672972</v>
      </c>
    </row>
    <row r="5308" spans="1:5" x14ac:dyDescent="0.25">
      <c r="A5308" t="s">
        <v>11</v>
      </c>
      <c r="B5308" t="s">
        <v>37</v>
      </c>
      <c r="C5308" s="1">
        <v>45874.208333333343</v>
      </c>
      <c r="D5308" s="1">
        <v>45889.158333333333</v>
      </c>
      <c r="E5308" s="2">
        <f t="shared" si="82"/>
        <v>14.949999999989814</v>
      </c>
    </row>
    <row r="5309" spans="1:5" x14ac:dyDescent="0.25">
      <c r="A5309" t="s">
        <v>6</v>
      </c>
      <c r="B5309" t="s">
        <v>8</v>
      </c>
      <c r="C5309" s="1">
        <v>45811.428472222222</v>
      </c>
      <c r="D5309" s="1">
        <v>45854.631944444453</v>
      </c>
      <c r="E5309" s="2">
        <f t="shared" si="82"/>
        <v>43.20347222223063</v>
      </c>
    </row>
    <row r="5310" spans="1:5" x14ac:dyDescent="0.25">
      <c r="A5310" t="s">
        <v>22</v>
      </c>
      <c r="B5310" t="s">
        <v>19</v>
      </c>
      <c r="C5310" s="1">
        <v>45957.61041666667</v>
      </c>
      <c r="D5310" s="1">
        <v>46011.899305555547</v>
      </c>
      <c r="E5310" s="2">
        <f t="shared" si="82"/>
        <v>54.288888888877409</v>
      </c>
    </row>
    <row r="5311" spans="1:5" x14ac:dyDescent="0.25">
      <c r="A5311" t="s">
        <v>22</v>
      </c>
      <c r="B5311" t="s">
        <v>19</v>
      </c>
      <c r="C5311" s="1">
        <v>45963.606249999997</v>
      </c>
      <c r="D5311" s="1">
        <v>46019.107638888891</v>
      </c>
      <c r="E5311" s="2">
        <f t="shared" si="82"/>
        <v>55.501388888893416</v>
      </c>
    </row>
    <row r="5312" spans="1:5" x14ac:dyDescent="0.25">
      <c r="A5312" t="s">
        <v>34</v>
      </c>
      <c r="B5312" t="s">
        <v>8</v>
      </c>
      <c r="C5312" s="1">
        <v>45844.35</v>
      </c>
      <c r="D5312" s="1">
        <v>45879.771527777782</v>
      </c>
      <c r="E5312" s="2">
        <f t="shared" si="82"/>
        <v>35.421527777783922</v>
      </c>
    </row>
    <row r="5313" spans="1:5" x14ac:dyDescent="0.25">
      <c r="A5313" t="s">
        <v>22</v>
      </c>
      <c r="B5313" t="s">
        <v>19</v>
      </c>
      <c r="C5313" s="1">
        <v>45817.678472222222</v>
      </c>
      <c r="D5313" s="1">
        <v>45869.829861111109</v>
      </c>
      <c r="E5313" s="2">
        <f t="shared" si="82"/>
        <v>52.151388888887595</v>
      </c>
    </row>
    <row r="5314" spans="1:5" x14ac:dyDescent="0.25">
      <c r="A5314" t="s">
        <v>22</v>
      </c>
      <c r="B5314" t="s">
        <v>51</v>
      </c>
      <c r="C5314" s="1">
        <v>46055.177777777782</v>
      </c>
      <c r="D5314" s="1">
        <v>46139.546527777777</v>
      </c>
      <c r="E5314" s="2">
        <f t="shared" ref="E5314:E5377" si="83">D5314-C5314</f>
        <v>84.368749999994179</v>
      </c>
    </row>
    <row r="5315" spans="1:5" x14ac:dyDescent="0.25">
      <c r="A5315" t="s">
        <v>34</v>
      </c>
      <c r="B5315" t="s">
        <v>8</v>
      </c>
      <c r="C5315" s="1">
        <v>46214.015104166669</v>
      </c>
      <c r="D5315" s="1">
        <v>46239.826388888891</v>
      </c>
      <c r="E5315" s="2">
        <f t="shared" si="83"/>
        <v>25.811284722221899</v>
      </c>
    </row>
    <row r="5316" spans="1:5" x14ac:dyDescent="0.25">
      <c r="A5316" t="s">
        <v>22</v>
      </c>
      <c r="B5316" t="s">
        <v>51</v>
      </c>
      <c r="C5316" s="1">
        <v>46062.515277777777</v>
      </c>
      <c r="D5316" s="1">
        <v>46117.309027777781</v>
      </c>
      <c r="E5316" s="2">
        <f t="shared" si="83"/>
        <v>54.793750000004366</v>
      </c>
    </row>
    <row r="5317" spans="1:5" x14ac:dyDescent="0.25">
      <c r="A5317" t="s">
        <v>34</v>
      </c>
      <c r="B5317" t="s">
        <v>8</v>
      </c>
      <c r="C5317" s="1">
        <v>46237.689583333333</v>
      </c>
      <c r="D5317" s="1">
        <v>46268.543749999997</v>
      </c>
      <c r="E5317" s="2">
        <f t="shared" si="83"/>
        <v>30.854166666664241</v>
      </c>
    </row>
    <row r="5318" spans="1:5" x14ac:dyDescent="0.25">
      <c r="A5318" t="s">
        <v>14</v>
      </c>
      <c r="B5318" t="s">
        <v>22</v>
      </c>
      <c r="C5318" s="1">
        <v>45738.833634259259</v>
      </c>
      <c r="D5318" s="1">
        <v>45794.857638888891</v>
      </c>
      <c r="E5318" s="2">
        <f t="shared" si="83"/>
        <v>56.024004629631236</v>
      </c>
    </row>
    <row r="5319" spans="1:5" x14ac:dyDescent="0.25">
      <c r="A5319" t="s">
        <v>8</v>
      </c>
      <c r="B5319" t="s">
        <v>44</v>
      </c>
      <c r="C5319" s="1">
        <v>45814.03125</v>
      </c>
      <c r="D5319" s="1">
        <v>45852.310416666667</v>
      </c>
      <c r="E5319" s="2">
        <f t="shared" si="83"/>
        <v>38.279166666667152</v>
      </c>
    </row>
    <row r="5320" spans="1:5" x14ac:dyDescent="0.25">
      <c r="A5320" t="s">
        <v>19</v>
      </c>
      <c r="B5320" t="s">
        <v>54</v>
      </c>
      <c r="C5320" s="1">
        <v>45871.440972222219</v>
      </c>
      <c r="D5320" s="1">
        <v>45908.162499999999</v>
      </c>
      <c r="E5320" s="2">
        <f t="shared" si="83"/>
        <v>36.721527777779556</v>
      </c>
    </row>
    <row r="5321" spans="1:5" x14ac:dyDescent="0.25">
      <c r="A5321" t="s">
        <v>8</v>
      </c>
      <c r="B5321" t="s">
        <v>18</v>
      </c>
      <c r="C5321" s="1">
        <v>46059.042361111111</v>
      </c>
      <c r="D5321" s="1">
        <v>46094.338194444441</v>
      </c>
      <c r="E5321" s="2">
        <f t="shared" si="83"/>
        <v>35.295833333329938</v>
      </c>
    </row>
    <row r="5322" spans="1:5" x14ac:dyDescent="0.25">
      <c r="A5322" t="s">
        <v>15</v>
      </c>
      <c r="B5322" t="s">
        <v>18</v>
      </c>
      <c r="C5322" s="1">
        <v>45801.699305555558</v>
      </c>
      <c r="D5322" s="1">
        <v>45845.238888888889</v>
      </c>
      <c r="E5322" s="2">
        <f t="shared" si="83"/>
        <v>43.539583333331393</v>
      </c>
    </row>
    <row r="5323" spans="1:5" x14ac:dyDescent="0.25">
      <c r="A5323" t="s">
        <v>7</v>
      </c>
      <c r="B5323" t="s">
        <v>25</v>
      </c>
      <c r="C5323" s="1">
        <v>46189.286111111112</v>
      </c>
      <c r="D5323" s="1">
        <v>46253.418749999997</v>
      </c>
      <c r="E5323" s="2">
        <f t="shared" si="83"/>
        <v>64.132638888884685</v>
      </c>
    </row>
    <row r="5324" spans="1:5" x14ac:dyDescent="0.25">
      <c r="A5324" t="s">
        <v>22</v>
      </c>
      <c r="B5324" t="s">
        <v>19</v>
      </c>
      <c r="C5324" s="1">
        <v>45865.990277777782</v>
      </c>
      <c r="D5324" s="1">
        <v>45920.620833333327</v>
      </c>
      <c r="E5324" s="2">
        <f t="shared" si="83"/>
        <v>54.630555555544561</v>
      </c>
    </row>
    <row r="5325" spans="1:5" x14ac:dyDescent="0.25">
      <c r="A5325" t="s">
        <v>8</v>
      </c>
      <c r="B5325" t="s">
        <v>18</v>
      </c>
      <c r="C5325" s="1">
        <v>46143.663194444453</v>
      </c>
      <c r="D5325" s="1">
        <v>46181.288194444453</v>
      </c>
      <c r="E5325" s="2">
        <f t="shared" si="83"/>
        <v>37.625</v>
      </c>
    </row>
    <row r="5326" spans="1:5" x14ac:dyDescent="0.25">
      <c r="A5326" t="s">
        <v>8</v>
      </c>
      <c r="B5326" t="s">
        <v>18</v>
      </c>
      <c r="C5326" s="1">
        <v>46135.317361111112</v>
      </c>
      <c r="D5326" s="1">
        <v>46183.138194444437</v>
      </c>
      <c r="E5326" s="2">
        <f t="shared" si="83"/>
        <v>47.820833333324117</v>
      </c>
    </row>
    <row r="5327" spans="1:5" x14ac:dyDescent="0.25">
      <c r="A5327" t="s">
        <v>14</v>
      </c>
      <c r="B5327" t="s">
        <v>22</v>
      </c>
      <c r="C5327" s="1">
        <v>45719.736087962963</v>
      </c>
      <c r="D5327" s="1">
        <v>45775.318368055552</v>
      </c>
      <c r="E5327" s="2">
        <f t="shared" si="83"/>
        <v>55.582280092588917</v>
      </c>
    </row>
    <row r="5328" spans="1:5" x14ac:dyDescent="0.25">
      <c r="A5328" t="s">
        <v>14</v>
      </c>
      <c r="B5328" t="s">
        <v>22</v>
      </c>
      <c r="C5328" s="1">
        <v>45738.833634259259</v>
      </c>
      <c r="D5328" s="1">
        <v>45794.857638888891</v>
      </c>
      <c r="E5328" s="2">
        <f t="shared" si="83"/>
        <v>56.024004629631236</v>
      </c>
    </row>
    <row r="5329" spans="1:5" x14ac:dyDescent="0.25">
      <c r="A5329" t="s">
        <v>12</v>
      </c>
      <c r="B5329" t="s">
        <v>18</v>
      </c>
      <c r="C5329" s="1">
        <v>46012.541666666657</v>
      </c>
      <c r="D5329" s="1">
        <v>46079.863888888889</v>
      </c>
      <c r="E5329" s="2">
        <f t="shared" si="83"/>
        <v>67.322222222232085</v>
      </c>
    </row>
    <row r="5330" spans="1:5" x14ac:dyDescent="0.25">
      <c r="A5330" t="s">
        <v>12</v>
      </c>
      <c r="B5330" t="s">
        <v>8</v>
      </c>
      <c r="C5330" s="1">
        <v>46012.541666666657</v>
      </c>
      <c r="D5330" s="1">
        <v>46067.625</v>
      </c>
      <c r="E5330" s="2">
        <f t="shared" si="83"/>
        <v>55.083333333343035</v>
      </c>
    </row>
    <row r="5331" spans="1:5" x14ac:dyDescent="0.25">
      <c r="A5331" t="s">
        <v>15</v>
      </c>
      <c r="B5331" t="s">
        <v>18</v>
      </c>
      <c r="C5331" s="1">
        <v>45788.020138888889</v>
      </c>
      <c r="D5331" s="1">
        <v>45837.293749999997</v>
      </c>
      <c r="E5331" s="2">
        <f t="shared" si="83"/>
        <v>49.273611111108039</v>
      </c>
    </row>
    <row r="5332" spans="1:5" x14ac:dyDescent="0.25">
      <c r="A5332" t="s">
        <v>8</v>
      </c>
      <c r="B5332" t="s">
        <v>44</v>
      </c>
      <c r="C5332" s="1">
        <v>45659.495833333327</v>
      </c>
      <c r="D5332" s="1">
        <v>45687.668055555558</v>
      </c>
      <c r="E5332" s="2">
        <f t="shared" si="83"/>
        <v>28.17222222223063</v>
      </c>
    </row>
    <row r="5333" spans="1:5" x14ac:dyDescent="0.25">
      <c r="A5333" t="s">
        <v>27</v>
      </c>
      <c r="B5333" t="s">
        <v>8</v>
      </c>
      <c r="C5333" s="1">
        <v>45884.55</v>
      </c>
      <c r="D5333" s="1">
        <v>45935</v>
      </c>
      <c r="E5333" s="2">
        <f t="shared" si="83"/>
        <v>50.44999999999709</v>
      </c>
    </row>
    <row r="5334" spans="1:5" x14ac:dyDescent="0.25">
      <c r="A5334" t="s">
        <v>15</v>
      </c>
      <c r="B5334" t="s">
        <v>18</v>
      </c>
      <c r="C5334" s="1">
        <v>46012.166666666657</v>
      </c>
      <c r="D5334" s="1">
        <v>46063.32708333333</v>
      </c>
      <c r="E5334" s="2">
        <f t="shared" si="83"/>
        <v>51.160416666672972</v>
      </c>
    </row>
    <row r="5335" spans="1:5" x14ac:dyDescent="0.25">
      <c r="A5335" t="s">
        <v>15</v>
      </c>
      <c r="B5335" t="s">
        <v>18</v>
      </c>
      <c r="C5335" s="1">
        <v>45672</v>
      </c>
      <c r="D5335" s="1">
        <v>45723.833333333343</v>
      </c>
      <c r="E5335" s="2">
        <f t="shared" si="83"/>
        <v>51.833333333343035</v>
      </c>
    </row>
    <row r="5336" spans="1:5" x14ac:dyDescent="0.25">
      <c r="A5336" t="s">
        <v>28</v>
      </c>
      <c r="B5336" t="s">
        <v>8</v>
      </c>
      <c r="C5336" s="1">
        <v>46044.458333333343</v>
      </c>
      <c r="D5336" s="1">
        <v>46124.083333333343</v>
      </c>
      <c r="E5336" s="2">
        <f t="shared" si="83"/>
        <v>79.625</v>
      </c>
    </row>
    <row r="5337" spans="1:5" x14ac:dyDescent="0.25">
      <c r="A5337" t="s">
        <v>28</v>
      </c>
      <c r="B5337" t="s">
        <v>18</v>
      </c>
      <c r="C5337" s="1">
        <v>45898.520833333343</v>
      </c>
      <c r="D5337" s="1">
        <v>45973</v>
      </c>
      <c r="E5337" s="2">
        <f t="shared" si="83"/>
        <v>74.479166666656965</v>
      </c>
    </row>
    <row r="5338" spans="1:5" x14ac:dyDescent="0.25">
      <c r="A5338" t="s">
        <v>34</v>
      </c>
      <c r="B5338" t="s">
        <v>8</v>
      </c>
      <c r="C5338" s="1">
        <v>46202.375</v>
      </c>
      <c r="D5338" s="1">
        <v>46232.945138888892</v>
      </c>
      <c r="E5338" s="2">
        <f t="shared" si="83"/>
        <v>30.570138888891961</v>
      </c>
    </row>
    <row r="5339" spans="1:5" x14ac:dyDescent="0.25">
      <c r="A5339" t="s">
        <v>12</v>
      </c>
      <c r="B5339" t="s">
        <v>13</v>
      </c>
      <c r="C5339" s="1">
        <v>45781.375</v>
      </c>
      <c r="D5339" s="1">
        <v>45825.833333333343</v>
      </c>
      <c r="E5339" s="2">
        <f t="shared" si="83"/>
        <v>44.458333333343035</v>
      </c>
    </row>
    <row r="5340" spans="1:5" x14ac:dyDescent="0.25">
      <c r="A5340" t="s">
        <v>41</v>
      </c>
      <c r="B5340" t="s">
        <v>43</v>
      </c>
      <c r="C5340" s="1">
        <v>46053.157638888893</v>
      </c>
      <c r="D5340" s="1">
        <v>46099.823611111111</v>
      </c>
      <c r="E5340" s="2">
        <f t="shared" si="83"/>
        <v>46.665972222217533</v>
      </c>
    </row>
    <row r="5341" spans="1:5" x14ac:dyDescent="0.25">
      <c r="A5341" t="s">
        <v>15</v>
      </c>
      <c r="B5341" t="s">
        <v>38</v>
      </c>
      <c r="C5341" s="1">
        <v>46037.900694444441</v>
      </c>
      <c r="D5341" s="1">
        <v>46083.218055555553</v>
      </c>
      <c r="E5341" s="2">
        <f t="shared" si="83"/>
        <v>45.317361111112405</v>
      </c>
    </row>
    <row r="5342" spans="1:5" x14ac:dyDescent="0.25">
      <c r="A5342" t="s">
        <v>15</v>
      </c>
      <c r="B5342" t="s">
        <v>16</v>
      </c>
      <c r="C5342" s="1">
        <v>46190.519444444442</v>
      </c>
      <c r="D5342" s="1">
        <v>46207.991666666669</v>
      </c>
      <c r="E5342" s="2">
        <f t="shared" si="83"/>
        <v>17.472222222226264</v>
      </c>
    </row>
    <row r="5343" spans="1:5" x14ac:dyDescent="0.25">
      <c r="A5343" t="s">
        <v>15</v>
      </c>
      <c r="B5343" t="s">
        <v>20</v>
      </c>
      <c r="C5343" s="1">
        <v>46232.020833333343</v>
      </c>
      <c r="D5343" s="1">
        <v>46276.762499999997</v>
      </c>
      <c r="E5343" s="2">
        <f t="shared" si="83"/>
        <v>44.741666666654055</v>
      </c>
    </row>
    <row r="5344" spans="1:5" x14ac:dyDescent="0.25">
      <c r="A5344" t="s">
        <v>15</v>
      </c>
      <c r="B5344" t="s">
        <v>16</v>
      </c>
      <c r="C5344" s="1">
        <v>46069.149305555547</v>
      </c>
      <c r="D5344" s="1">
        <v>46081.958333333343</v>
      </c>
      <c r="E5344" s="2">
        <f t="shared" si="83"/>
        <v>12.809027777795563</v>
      </c>
    </row>
    <row r="5345" spans="1:5" x14ac:dyDescent="0.25">
      <c r="A5345" t="s">
        <v>15</v>
      </c>
      <c r="B5345" t="s">
        <v>8</v>
      </c>
      <c r="C5345" s="1">
        <v>46063.395833333343</v>
      </c>
      <c r="D5345" s="1">
        <v>46102.916666666657</v>
      </c>
      <c r="E5345" s="2">
        <f t="shared" si="83"/>
        <v>39.520833333313931</v>
      </c>
    </row>
    <row r="5346" spans="1:5" x14ac:dyDescent="0.25">
      <c r="A5346" t="s">
        <v>15</v>
      </c>
      <c r="B5346" t="s">
        <v>8</v>
      </c>
      <c r="C5346" s="1">
        <v>46152.666666666657</v>
      </c>
      <c r="D5346" s="1">
        <v>46191.105555555558</v>
      </c>
      <c r="E5346" s="2">
        <f t="shared" si="83"/>
        <v>38.438888888900692</v>
      </c>
    </row>
    <row r="5347" spans="1:5" x14ac:dyDescent="0.25">
      <c r="A5347" t="s">
        <v>15</v>
      </c>
      <c r="B5347" t="s">
        <v>16</v>
      </c>
      <c r="C5347" s="1">
        <v>46194.166666666657</v>
      </c>
      <c r="D5347" s="1">
        <v>46214.020138888889</v>
      </c>
      <c r="E5347" s="2">
        <f t="shared" si="83"/>
        <v>19.853472222232085</v>
      </c>
    </row>
    <row r="5348" spans="1:5" x14ac:dyDescent="0.25">
      <c r="A5348" t="s">
        <v>15</v>
      </c>
      <c r="B5348" t="s">
        <v>16</v>
      </c>
      <c r="C5348" s="1">
        <v>46210.104166666657</v>
      </c>
      <c r="D5348" s="1">
        <v>46230.572916666657</v>
      </c>
      <c r="E5348" s="2">
        <f t="shared" si="83"/>
        <v>20.46875</v>
      </c>
    </row>
    <row r="5349" spans="1:5" x14ac:dyDescent="0.25">
      <c r="A5349" t="s">
        <v>15</v>
      </c>
      <c r="B5349" t="s">
        <v>16</v>
      </c>
      <c r="C5349" s="1">
        <v>46165.148611111108</v>
      </c>
      <c r="D5349" s="1">
        <v>46183.720833333333</v>
      </c>
      <c r="E5349" s="2">
        <f t="shared" si="83"/>
        <v>18.572222222224809</v>
      </c>
    </row>
    <row r="5350" spans="1:5" x14ac:dyDescent="0.25">
      <c r="A5350" t="s">
        <v>15</v>
      </c>
      <c r="B5350" t="s">
        <v>8</v>
      </c>
      <c r="C5350" s="1">
        <v>46184.899305555547</v>
      </c>
      <c r="D5350" s="1">
        <v>46225.845833333333</v>
      </c>
      <c r="E5350" s="2">
        <f t="shared" si="83"/>
        <v>40.946527777785377</v>
      </c>
    </row>
    <row r="5351" spans="1:5" x14ac:dyDescent="0.25">
      <c r="A5351" t="s">
        <v>15</v>
      </c>
      <c r="B5351" t="s">
        <v>16</v>
      </c>
      <c r="C5351" s="1">
        <v>46224.649305555547</v>
      </c>
      <c r="D5351" s="1">
        <v>46246.352083333331</v>
      </c>
      <c r="E5351" s="2">
        <f t="shared" si="83"/>
        <v>21.702777777783922</v>
      </c>
    </row>
    <row r="5352" spans="1:5" x14ac:dyDescent="0.25">
      <c r="A5352" t="s">
        <v>15</v>
      </c>
      <c r="B5352" t="s">
        <v>38</v>
      </c>
      <c r="C5352" s="1">
        <v>46095.359722222223</v>
      </c>
      <c r="D5352" s="1">
        <v>46139.943055555559</v>
      </c>
      <c r="E5352" s="2">
        <f t="shared" si="83"/>
        <v>44.583333333335759</v>
      </c>
    </row>
    <row r="5353" spans="1:5" x14ac:dyDescent="0.25">
      <c r="A5353" t="s">
        <v>15</v>
      </c>
      <c r="B5353" t="s">
        <v>20</v>
      </c>
      <c r="C5353" s="1">
        <v>46232.020833333343</v>
      </c>
      <c r="D5353" s="1">
        <v>46276.762499999997</v>
      </c>
      <c r="E5353" s="2">
        <f t="shared" si="83"/>
        <v>44.741666666654055</v>
      </c>
    </row>
    <row r="5354" spans="1:5" x14ac:dyDescent="0.25">
      <c r="A5354" t="s">
        <v>15</v>
      </c>
      <c r="B5354" t="s">
        <v>16</v>
      </c>
      <c r="C5354" s="1">
        <v>46157.376388888893</v>
      </c>
      <c r="D5354" s="1">
        <v>46175.399305555547</v>
      </c>
      <c r="E5354" s="2">
        <f t="shared" si="83"/>
        <v>18.022916666654055</v>
      </c>
    </row>
    <row r="5355" spans="1:5" x14ac:dyDescent="0.25">
      <c r="A5355" t="s">
        <v>15</v>
      </c>
      <c r="B5355" t="s">
        <v>38</v>
      </c>
      <c r="C5355" s="1">
        <v>46037.900694444441</v>
      </c>
      <c r="D5355" s="1">
        <v>46083.218055555553</v>
      </c>
      <c r="E5355" s="2">
        <f t="shared" si="83"/>
        <v>45.317361111112405</v>
      </c>
    </row>
    <row r="5356" spans="1:5" x14ac:dyDescent="0.25">
      <c r="A5356" t="s">
        <v>15</v>
      </c>
      <c r="B5356" t="s">
        <v>16</v>
      </c>
      <c r="C5356" s="1">
        <v>46210.104166666657</v>
      </c>
      <c r="D5356" s="1">
        <v>46230.572916666657</v>
      </c>
      <c r="E5356" s="2">
        <f t="shared" si="83"/>
        <v>20.46875</v>
      </c>
    </row>
    <row r="5357" spans="1:5" x14ac:dyDescent="0.25">
      <c r="A5357" t="s">
        <v>15</v>
      </c>
      <c r="B5357" t="s">
        <v>16</v>
      </c>
      <c r="C5357" s="1">
        <v>46210.104166666657</v>
      </c>
      <c r="D5357" s="1">
        <v>46230.572916666657</v>
      </c>
      <c r="E5357" s="2">
        <f t="shared" si="83"/>
        <v>20.46875</v>
      </c>
    </row>
    <row r="5358" spans="1:5" x14ac:dyDescent="0.25">
      <c r="A5358" t="s">
        <v>15</v>
      </c>
      <c r="B5358" t="s">
        <v>16</v>
      </c>
      <c r="C5358" s="1">
        <v>46117.058333333327</v>
      </c>
      <c r="D5358" s="1">
        <v>46132.625</v>
      </c>
      <c r="E5358" s="2">
        <f t="shared" si="83"/>
        <v>15.566666666672972</v>
      </c>
    </row>
    <row r="5359" spans="1:5" x14ac:dyDescent="0.25">
      <c r="A5359" t="s">
        <v>15</v>
      </c>
      <c r="B5359" t="s">
        <v>8</v>
      </c>
      <c r="C5359" s="1">
        <v>46050.020833333343</v>
      </c>
      <c r="D5359" s="1">
        <v>46089.166666666657</v>
      </c>
      <c r="E5359" s="2">
        <f t="shared" si="83"/>
        <v>39.145833333313931</v>
      </c>
    </row>
    <row r="5360" spans="1:5" x14ac:dyDescent="0.25">
      <c r="A5360" t="s">
        <v>15</v>
      </c>
      <c r="B5360" t="s">
        <v>8</v>
      </c>
      <c r="C5360" s="1">
        <v>46229.473611111112</v>
      </c>
      <c r="D5360" s="1">
        <v>46268.117361111108</v>
      </c>
      <c r="E5360" s="2">
        <f t="shared" si="83"/>
        <v>38.643749999995634</v>
      </c>
    </row>
    <row r="5361" spans="1:5" x14ac:dyDescent="0.25">
      <c r="A5361" t="s">
        <v>40</v>
      </c>
      <c r="B5361" t="s">
        <v>37</v>
      </c>
      <c r="C5361" s="1">
        <v>46049.847916666673</v>
      </c>
      <c r="D5361" s="1">
        <v>46064.130555555559</v>
      </c>
      <c r="E5361" s="2">
        <f t="shared" si="83"/>
        <v>14.28263888888614</v>
      </c>
    </row>
    <row r="5362" spans="1:5" x14ac:dyDescent="0.25">
      <c r="A5362" t="s">
        <v>10</v>
      </c>
      <c r="B5362" t="s">
        <v>11</v>
      </c>
      <c r="C5362" s="1">
        <v>46076.787499999999</v>
      </c>
      <c r="D5362" s="1">
        <v>46106.112500000003</v>
      </c>
      <c r="E5362" s="2">
        <f t="shared" si="83"/>
        <v>29.325000000004366</v>
      </c>
    </row>
    <row r="5363" spans="1:5" x14ac:dyDescent="0.25">
      <c r="A5363" t="s">
        <v>11</v>
      </c>
      <c r="B5363" t="s">
        <v>37</v>
      </c>
      <c r="C5363" s="1">
        <v>46146.295243055552</v>
      </c>
      <c r="D5363" s="1">
        <v>46163.797222222223</v>
      </c>
      <c r="E5363" s="2">
        <f t="shared" si="83"/>
        <v>17.501979166670935</v>
      </c>
    </row>
    <row r="5364" spans="1:5" x14ac:dyDescent="0.25">
      <c r="A5364" t="s">
        <v>46</v>
      </c>
      <c r="B5364" t="s">
        <v>11</v>
      </c>
      <c r="C5364" s="1">
        <v>45938.724108796298</v>
      </c>
      <c r="D5364" s="1">
        <v>45946.815185185187</v>
      </c>
      <c r="E5364" s="2">
        <f t="shared" si="83"/>
        <v>8.0910763888896327</v>
      </c>
    </row>
    <row r="5365" spans="1:5" x14ac:dyDescent="0.25">
      <c r="A5365" t="s">
        <v>5</v>
      </c>
      <c r="B5365" t="s">
        <v>8</v>
      </c>
      <c r="C5365" s="1">
        <v>45715.841666666667</v>
      </c>
      <c r="D5365" s="1">
        <v>45741.816666666673</v>
      </c>
      <c r="E5365" s="2">
        <f t="shared" si="83"/>
        <v>25.975000000005821</v>
      </c>
    </row>
    <row r="5366" spans="1:5" x14ac:dyDescent="0.25">
      <c r="A5366" t="s">
        <v>26</v>
      </c>
      <c r="B5366" t="s">
        <v>21</v>
      </c>
      <c r="C5366" s="1">
        <v>46232.533333333333</v>
      </c>
      <c r="D5366" s="1">
        <v>46282.279166666667</v>
      </c>
      <c r="E5366" s="2">
        <f t="shared" si="83"/>
        <v>49.745833333334303</v>
      </c>
    </row>
    <row r="5367" spans="1:5" x14ac:dyDescent="0.25">
      <c r="A5367" t="s">
        <v>7</v>
      </c>
      <c r="B5367" t="s">
        <v>11</v>
      </c>
      <c r="C5367" s="1">
        <v>45676.270833333343</v>
      </c>
      <c r="D5367" s="1">
        <v>45762.865277777782</v>
      </c>
      <c r="E5367" s="2">
        <f t="shared" si="83"/>
        <v>86.594444444439432</v>
      </c>
    </row>
    <row r="5368" spans="1:5" x14ac:dyDescent="0.25">
      <c r="A5368" t="s">
        <v>12</v>
      </c>
      <c r="B5368" t="s">
        <v>13</v>
      </c>
      <c r="C5368" s="1">
        <v>46019.85</v>
      </c>
      <c r="D5368" s="1">
        <v>46071.101388888892</v>
      </c>
      <c r="E5368" s="2">
        <f t="shared" si="83"/>
        <v>51.251388888893416</v>
      </c>
    </row>
    <row r="5369" spans="1:5" x14ac:dyDescent="0.25">
      <c r="A5369" t="s">
        <v>12</v>
      </c>
      <c r="B5369" t="s">
        <v>13</v>
      </c>
      <c r="C5369" s="1">
        <v>45865.176388888889</v>
      </c>
      <c r="D5369" s="1">
        <v>45912.715277777781</v>
      </c>
      <c r="E5369" s="2">
        <f t="shared" si="83"/>
        <v>47.538888888891961</v>
      </c>
    </row>
    <row r="5370" spans="1:5" x14ac:dyDescent="0.25">
      <c r="A5370" t="s">
        <v>15</v>
      </c>
      <c r="B5370" t="s">
        <v>18</v>
      </c>
      <c r="C5370" s="1">
        <v>45864.958333333343</v>
      </c>
      <c r="D5370" s="1">
        <v>45917.230555555558</v>
      </c>
      <c r="E5370" s="2">
        <f t="shared" si="83"/>
        <v>52.272222222214623</v>
      </c>
    </row>
    <row r="5371" spans="1:5" x14ac:dyDescent="0.25">
      <c r="A5371" t="s">
        <v>13</v>
      </c>
      <c r="B5371" t="s">
        <v>8</v>
      </c>
      <c r="C5371" s="1">
        <v>45716.133333333331</v>
      </c>
      <c r="D5371" s="1">
        <v>45740.777777777781</v>
      </c>
      <c r="E5371" s="2">
        <f t="shared" si="83"/>
        <v>24.644444444449618</v>
      </c>
    </row>
    <row r="5372" spans="1:5" x14ac:dyDescent="0.25">
      <c r="A5372" t="s">
        <v>13</v>
      </c>
      <c r="B5372" t="s">
        <v>8</v>
      </c>
      <c r="C5372" s="1">
        <v>45945.3125</v>
      </c>
      <c r="D5372" s="1">
        <v>45971.695833333331</v>
      </c>
      <c r="E5372" s="2">
        <f t="shared" si="83"/>
        <v>26.383333333331393</v>
      </c>
    </row>
    <row r="5373" spans="1:5" x14ac:dyDescent="0.25">
      <c r="A5373" t="s">
        <v>12</v>
      </c>
      <c r="B5373" t="s">
        <v>13</v>
      </c>
      <c r="C5373" s="1">
        <v>45698.62777777778</v>
      </c>
      <c r="D5373" s="1">
        <v>45742.387499999997</v>
      </c>
      <c r="E5373" s="2">
        <f t="shared" si="83"/>
        <v>43.759722222217533</v>
      </c>
    </row>
    <row r="5374" spans="1:5" x14ac:dyDescent="0.25">
      <c r="A5374" t="s">
        <v>26</v>
      </c>
      <c r="B5374" t="s">
        <v>21</v>
      </c>
      <c r="C5374" s="1">
        <v>46084.025000000001</v>
      </c>
      <c r="D5374" s="1">
        <v>46128.304166666669</v>
      </c>
      <c r="E5374" s="2">
        <f t="shared" si="83"/>
        <v>44.279166666667152</v>
      </c>
    </row>
    <row r="5375" spans="1:5" x14ac:dyDescent="0.25">
      <c r="A5375" t="s">
        <v>10</v>
      </c>
      <c r="B5375" t="s">
        <v>8</v>
      </c>
      <c r="C5375" s="1">
        <v>46160.263888888891</v>
      </c>
      <c r="D5375" s="1">
        <v>46180.861805555563</v>
      </c>
      <c r="E5375" s="2">
        <f t="shared" si="83"/>
        <v>20.597916666672972</v>
      </c>
    </row>
    <row r="5376" spans="1:5" x14ac:dyDescent="0.25">
      <c r="A5376" t="s">
        <v>8</v>
      </c>
      <c r="B5376" t="s">
        <v>18</v>
      </c>
      <c r="C5376" s="1">
        <v>46212.760416666657</v>
      </c>
      <c r="D5376" s="1">
        <v>46269.7</v>
      </c>
      <c r="E5376" s="2">
        <f t="shared" si="83"/>
        <v>56.939583333340124</v>
      </c>
    </row>
    <row r="5377" spans="1:5" x14ac:dyDescent="0.25">
      <c r="A5377" t="s">
        <v>12</v>
      </c>
      <c r="B5377" t="s">
        <v>13</v>
      </c>
      <c r="C5377" s="1">
        <v>45887</v>
      </c>
      <c r="D5377" s="1">
        <v>45942.337500000001</v>
      </c>
      <c r="E5377" s="2">
        <f t="shared" si="83"/>
        <v>55.337500000001455</v>
      </c>
    </row>
    <row r="5378" spans="1:5" x14ac:dyDescent="0.25">
      <c r="A5378" t="s">
        <v>12</v>
      </c>
      <c r="B5378" t="s">
        <v>13</v>
      </c>
      <c r="C5378" s="1">
        <v>46125.046527777777</v>
      </c>
      <c r="D5378" s="1">
        <v>46168.666666666657</v>
      </c>
      <c r="E5378" s="2">
        <f t="shared" ref="E5378:E5441" si="84">D5378-C5378</f>
        <v>43.620138888880319</v>
      </c>
    </row>
    <row r="5379" spans="1:5" x14ac:dyDescent="0.25">
      <c r="A5379" t="s">
        <v>12</v>
      </c>
      <c r="B5379" t="s">
        <v>13</v>
      </c>
      <c r="C5379" s="1">
        <v>46139.915972222218</v>
      </c>
      <c r="D5379" s="1">
        <v>46192.916666666657</v>
      </c>
      <c r="E5379" s="2">
        <f t="shared" si="84"/>
        <v>53.000694444439432</v>
      </c>
    </row>
    <row r="5380" spans="1:5" x14ac:dyDescent="0.25">
      <c r="A5380" t="s">
        <v>13</v>
      </c>
      <c r="B5380" t="s">
        <v>8</v>
      </c>
      <c r="C5380" s="1">
        <v>45954.966666666667</v>
      </c>
      <c r="D5380" s="1">
        <v>45989.541666666657</v>
      </c>
      <c r="E5380" s="2">
        <f t="shared" si="84"/>
        <v>34.574999999989814</v>
      </c>
    </row>
    <row r="5381" spans="1:5" x14ac:dyDescent="0.25">
      <c r="A5381" t="s">
        <v>8</v>
      </c>
      <c r="B5381" t="s">
        <v>18</v>
      </c>
      <c r="C5381" s="1">
        <v>46192.1875</v>
      </c>
      <c r="D5381" s="1">
        <v>46227.5</v>
      </c>
      <c r="E5381" s="2">
        <f t="shared" si="84"/>
        <v>35.3125</v>
      </c>
    </row>
    <row r="5382" spans="1:5" x14ac:dyDescent="0.25">
      <c r="A5382" t="s">
        <v>12</v>
      </c>
      <c r="B5382" t="s">
        <v>13</v>
      </c>
      <c r="C5382" s="1">
        <v>45928.541666666657</v>
      </c>
      <c r="D5382" s="1">
        <v>45975.791666666657</v>
      </c>
      <c r="E5382" s="2">
        <f t="shared" si="84"/>
        <v>47.25</v>
      </c>
    </row>
    <row r="5383" spans="1:5" x14ac:dyDescent="0.25">
      <c r="A5383" t="s">
        <v>27</v>
      </c>
      <c r="B5383" t="s">
        <v>20</v>
      </c>
      <c r="C5383" s="1">
        <v>45725.397916666669</v>
      </c>
      <c r="D5383" s="1">
        <v>45794.862500000003</v>
      </c>
      <c r="E5383" s="2">
        <f t="shared" si="84"/>
        <v>69.464583333334303</v>
      </c>
    </row>
    <row r="5384" spans="1:5" x14ac:dyDescent="0.25">
      <c r="A5384" t="s">
        <v>27</v>
      </c>
      <c r="B5384" t="s">
        <v>8</v>
      </c>
      <c r="C5384" s="1">
        <v>45852.091666666667</v>
      </c>
      <c r="D5384" s="1">
        <v>45901</v>
      </c>
      <c r="E5384" s="2">
        <f t="shared" si="84"/>
        <v>48.908333333332848</v>
      </c>
    </row>
    <row r="5385" spans="1:5" x14ac:dyDescent="0.25">
      <c r="A5385" t="s">
        <v>13</v>
      </c>
      <c r="B5385" t="s">
        <v>8</v>
      </c>
      <c r="C5385" s="1">
        <v>45793.995833333327</v>
      </c>
      <c r="D5385" s="1">
        <v>45819.640972222223</v>
      </c>
      <c r="E5385" s="2">
        <f t="shared" si="84"/>
        <v>25.645138888896327</v>
      </c>
    </row>
    <row r="5386" spans="1:5" x14ac:dyDescent="0.25">
      <c r="A5386" t="s">
        <v>10</v>
      </c>
      <c r="B5386" t="s">
        <v>11</v>
      </c>
      <c r="C5386" s="1">
        <v>45866.1</v>
      </c>
      <c r="D5386" s="1">
        <v>45895.958333333343</v>
      </c>
      <c r="E5386" s="2">
        <f t="shared" si="84"/>
        <v>29.85833333334449</v>
      </c>
    </row>
    <row r="5387" spans="1:5" x14ac:dyDescent="0.25">
      <c r="A5387" t="s">
        <v>27</v>
      </c>
      <c r="B5387" t="s">
        <v>8</v>
      </c>
      <c r="C5387" s="1">
        <v>45748.5625</v>
      </c>
      <c r="D5387" s="1">
        <v>45809.359027777777</v>
      </c>
      <c r="E5387" s="2">
        <f t="shared" si="84"/>
        <v>60.796527777776646</v>
      </c>
    </row>
    <row r="5388" spans="1:5" x14ac:dyDescent="0.25">
      <c r="A5388" t="s">
        <v>19</v>
      </c>
      <c r="B5388" t="s">
        <v>11</v>
      </c>
      <c r="C5388" s="1">
        <v>46124.2</v>
      </c>
      <c r="D5388" s="1">
        <v>46162.446527777778</v>
      </c>
      <c r="E5388" s="2">
        <f t="shared" si="84"/>
        <v>38.246527777781012</v>
      </c>
    </row>
    <row r="5389" spans="1:5" x14ac:dyDescent="0.25">
      <c r="A5389" t="s">
        <v>7</v>
      </c>
      <c r="B5389" t="s">
        <v>13</v>
      </c>
      <c r="C5389" s="1">
        <v>46029.6875</v>
      </c>
      <c r="D5389" s="1">
        <v>46079.3125</v>
      </c>
      <c r="E5389" s="2">
        <f t="shared" si="84"/>
        <v>49.625</v>
      </c>
    </row>
    <row r="5390" spans="1:5" x14ac:dyDescent="0.25">
      <c r="A5390" t="s">
        <v>18</v>
      </c>
      <c r="B5390" t="s">
        <v>27</v>
      </c>
      <c r="C5390" s="1">
        <v>45839.260416666657</v>
      </c>
      <c r="D5390" s="1">
        <v>45912.354166666657</v>
      </c>
      <c r="E5390" s="2">
        <f t="shared" si="84"/>
        <v>73.09375</v>
      </c>
    </row>
    <row r="5391" spans="1:5" x14ac:dyDescent="0.25">
      <c r="A5391" t="s">
        <v>22</v>
      </c>
      <c r="B5391" t="s">
        <v>51</v>
      </c>
      <c r="C5391" s="1">
        <v>46138.895833333343</v>
      </c>
      <c r="D5391" s="1">
        <v>46195.614583333343</v>
      </c>
      <c r="E5391" s="2">
        <f t="shared" si="84"/>
        <v>56.71875</v>
      </c>
    </row>
    <row r="5392" spans="1:5" x14ac:dyDescent="0.25">
      <c r="A5392" t="s">
        <v>14</v>
      </c>
      <c r="B5392" t="s">
        <v>22</v>
      </c>
      <c r="C5392" s="1">
        <v>45750.891493055547</v>
      </c>
      <c r="D5392" s="1">
        <v>45802.333333333343</v>
      </c>
      <c r="E5392" s="2">
        <f t="shared" si="84"/>
        <v>51.441840277795563</v>
      </c>
    </row>
    <row r="5393" spans="1:5" x14ac:dyDescent="0.25">
      <c r="A5393" t="s">
        <v>11</v>
      </c>
      <c r="B5393" t="s">
        <v>37</v>
      </c>
      <c r="C5393" s="1">
        <v>45701.231064814812</v>
      </c>
      <c r="D5393" s="1">
        <v>45721.32916666667</v>
      </c>
      <c r="E5393" s="2">
        <f t="shared" si="84"/>
        <v>20.098101851857791</v>
      </c>
    </row>
    <row r="5394" spans="1:5" x14ac:dyDescent="0.25">
      <c r="A5394" t="s">
        <v>22</v>
      </c>
      <c r="B5394" t="s">
        <v>14</v>
      </c>
      <c r="C5394" s="1">
        <v>45922.163194444453</v>
      </c>
      <c r="D5394" s="1">
        <v>45966.55</v>
      </c>
      <c r="E5394" s="2">
        <f t="shared" si="84"/>
        <v>44.386805555550382</v>
      </c>
    </row>
    <row r="5395" spans="1:5" x14ac:dyDescent="0.25">
      <c r="A5395" t="s">
        <v>46</v>
      </c>
      <c r="B5395" t="s">
        <v>11</v>
      </c>
      <c r="C5395" s="1">
        <v>45962.908333333333</v>
      </c>
      <c r="D5395" s="1">
        <v>45973.095833333333</v>
      </c>
      <c r="E5395" s="2">
        <f t="shared" si="84"/>
        <v>10.1875</v>
      </c>
    </row>
    <row r="5396" spans="1:5" x14ac:dyDescent="0.25">
      <c r="A5396" t="s">
        <v>11</v>
      </c>
      <c r="B5396" t="s">
        <v>37</v>
      </c>
      <c r="C5396" s="1">
        <v>46124.32671296296</v>
      </c>
      <c r="D5396" s="1">
        <v>46141.252083333333</v>
      </c>
      <c r="E5396" s="2">
        <f t="shared" si="84"/>
        <v>16.925370370372548</v>
      </c>
    </row>
    <row r="5397" spans="1:5" x14ac:dyDescent="0.25">
      <c r="A5397" t="s">
        <v>22</v>
      </c>
      <c r="B5397" t="s">
        <v>14</v>
      </c>
      <c r="C5397" s="1">
        <v>45740.18445601852</v>
      </c>
      <c r="D5397" s="1">
        <v>45784.804097222222</v>
      </c>
      <c r="E5397" s="2">
        <f t="shared" si="84"/>
        <v>44.619641203702486</v>
      </c>
    </row>
    <row r="5398" spans="1:5" x14ac:dyDescent="0.25">
      <c r="A5398" t="s">
        <v>22</v>
      </c>
      <c r="B5398" t="s">
        <v>19</v>
      </c>
      <c r="C5398" s="1">
        <v>45740.175000000003</v>
      </c>
      <c r="D5398" s="1">
        <v>45816.841666666667</v>
      </c>
      <c r="E5398" s="2">
        <f t="shared" si="84"/>
        <v>76.666666666664241</v>
      </c>
    </row>
    <row r="5399" spans="1:5" x14ac:dyDescent="0.25">
      <c r="A5399" t="s">
        <v>11</v>
      </c>
      <c r="B5399" t="s">
        <v>37</v>
      </c>
      <c r="C5399" s="1">
        <v>45991.25</v>
      </c>
      <c r="D5399" s="1">
        <v>46006.245833333327</v>
      </c>
      <c r="E5399" s="2">
        <f t="shared" si="84"/>
        <v>14.995833333327028</v>
      </c>
    </row>
    <row r="5400" spans="1:5" x14ac:dyDescent="0.25">
      <c r="A5400" t="s">
        <v>22</v>
      </c>
      <c r="B5400" t="s">
        <v>19</v>
      </c>
      <c r="C5400" s="1">
        <v>46077.848611111112</v>
      </c>
      <c r="D5400" s="1">
        <v>46133.517361111109</v>
      </c>
      <c r="E5400" s="2">
        <f t="shared" si="84"/>
        <v>55.66874999999709</v>
      </c>
    </row>
    <row r="5401" spans="1:5" x14ac:dyDescent="0.25">
      <c r="A5401" t="s">
        <v>22</v>
      </c>
      <c r="B5401" t="s">
        <v>19</v>
      </c>
      <c r="C5401" s="1">
        <v>45998.75</v>
      </c>
      <c r="D5401" s="1">
        <v>46059.65</v>
      </c>
      <c r="E5401" s="2">
        <f t="shared" si="84"/>
        <v>60.900000000001455</v>
      </c>
    </row>
    <row r="5402" spans="1:5" x14ac:dyDescent="0.25">
      <c r="A5402" t="s">
        <v>22</v>
      </c>
      <c r="B5402" t="s">
        <v>19</v>
      </c>
      <c r="C5402" s="1">
        <v>45809.541666666657</v>
      </c>
      <c r="D5402" s="1">
        <v>45860.896527777782</v>
      </c>
      <c r="E5402" s="2">
        <f t="shared" si="84"/>
        <v>51.354861111125501</v>
      </c>
    </row>
    <row r="5403" spans="1:5" x14ac:dyDescent="0.25">
      <c r="A5403" t="s">
        <v>22</v>
      </c>
      <c r="B5403" t="s">
        <v>19</v>
      </c>
      <c r="C5403" s="1">
        <v>46069.547222222223</v>
      </c>
      <c r="D5403" s="1">
        <v>46133.517361111109</v>
      </c>
      <c r="E5403" s="2">
        <f t="shared" si="84"/>
        <v>63.97013888888614</v>
      </c>
    </row>
    <row r="5404" spans="1:5" x14ac:dyDescent="0.25">
      <c r="A5404" t="s">
        <v>19</v>
      </c>
      <c r="B5404" t="s">
        <v>54</v>
      </c>
      <c r="C5404" s="1">
        <v>45936.177083333343</v>
      </c>
      <c r="D5404" s="1">
        <v>45976.099305555559</v>
      </c>
      <c r="E5404" s="2">
        <f t="shared" si="84"/>
        <v>39.922222222216078</v>
      </c>
    </row>
    <row r="5405" spans="1:5" x14ac:dyDescent="0.25">
      <c r="A5405" t="s">
        <v>23</v>
      </c>
      <c r="B5405" t="s">
        <v>18</v>
      </c>
      <c r="C5405" s="1">
        <v>45950.375</v>
      </c>
      <c r="D5405" s="1">
        <v>46008.915277777778</v>
      </c>
      <c r="E5405" s="2">
        <f t="shared" si="84"/>
        <v>58.540277777778101</v>
      </c>
    </row>
    <row r="5406" spans="1:5" x14ac:dyDescent="0.25">
      <c r="A5406" t="s">
        <v>22</v>
      </c>
      <c r="B5406" t="s">
        <v>19</v>
      </c>
      <c r="C5406" s="1">
        <v>45991.995833333327</v>
      </c>
      <c r="D5406" s="1">
        <v>46045.793055555558</v>
      </c>
      <c r="E5406" s="2">
        <f t="shared" si="84"/>
        <v>53.79722222223063</v>
      </c>
    </row>
    <row r="5407" spans="1:5" x14ac:dyDescent="0.25">
      <c r="A5407" t="s">
        <v>15</v>
      </c>
      <c r="B5407" t="s">
        <v>6</v>
      </c>
      <c r="C5407" s="1">
        <v>45739.223611111112</v>
      </c>
      <c r="D5407" s="1">
        <v>45815.533333333333</v>
      </c>
      <c r="E5407" s="2">
        <f t="shared" si="84"/>
        <v>76.309722222220444</v>
      </c>
    </row>
    <row r="5408" spans="1:5" x14ac:dyDescent="0.25">
      <c r="A5408" t="s">
        <v>22</v>
      </c>
      <c r="B5408" t="s">
        <v>19</v>
      </c>
      <c r="C5408" s="1">
        <v>45852.130555555559</v>
      </c>
      <c r="D5408" s="1">
        <v>45909.9375</v>
      </c>
      <c r="E5408" s="2">
        <f t="shared" si="84"/>
        <v>57.806944444440887</v>
      </c>
    </row>
    <row r="5409" spans="1:5" x14ac:dyDescent="0.25">
      <c r="A5409" t="s">
        <v>12</v>
      </c>
      <c r="B5409" t="s">
        <v>8</v>
      </c>
      <c r="C5409" s="1">
        <v>46027.166666666657</v>
      </c>
      <c r="D5409" s="1">
        <v>46082.083333333343</v>
      </c>
      <c r="E5409" s="2">
        <f t="shared" si="84"/>
        <v>54.916666666686069</v>
      </c>
    </row>
    <row r="5410" spans="1:5" x14ac:dyDescent="0.25">
      <c r="A5410" t="s">
        <v>8</v>
      </c>
      <c r="B5410" t="s">
        <v>18</v>
      </c>
      <c r="C5410" s="1">
        <v>46135.317361111112</v>
      </c>
      <c r="D5410" s="1">
        <v>46183.138194444437</v>
      </c>
      <c r="E5410" s="2">
        <f t="shared" si="84"/>
        <v>47.820833333324117</v>
      </c>
    </row>
    <row r="5411" spans="1:5" x14ac:dyDescent="0.25">
      <c r="A5411" t="s">
        <v>6</v>
      </c>
      <c r="B5411" t="s">
        <v>8</v>
      </c>
      <c r="C5411" s="1">
        <v>46072.954861111109</v>
      </c>
      <c r="D5411" s="1">
        <v>46118.716666666667</v>
      </c>
      <c r="E5411" s="2">
        <f t="shared" si="84"/>
        <v>45.761805555557657</v>
      </c>
    </row>
    <row r="5412" spans="1:5" x14ac:dyDescent="0.25">
      <c r="A5412" t="s">
        <v>12</v>
      </c>
      <c r="B5412" t="s">
        <v>13</v>
      </c>
      <c r="C5412" s="1">
        <v>45855.097222222219</v>
      </c>
      <c r="D5412" s="1">
        <v>45903.462500000001</v>
      </c>
      <c r="E5412" s="2">
        <f t="shared" si="84"/>
        <v>48.365277777782467</v>
      </c>
    </row>
    <row r="5413" spans="1:5" x14ac:dyDescent="0.25">
      <c r="A5413" t="s">
        <v>6</v>
      </c>
      <c r="B5413" t="s">
        <v>8</v>
      </c>
      <c r="C5413" s="1">
        <v>45799.326388888891</v>
      </c>
      <c r="D5413" s="1">
        <v>45839.076388888891</v>
      </c>
      <c r="E5413" s="2">
        <f t="shared" si="84"/>
        <v>39.75</v>
      </c>
    </row>
    <row r="5414" spans="1:5" x14ac:dyDescent="0.25">
      <c r="A5414" t="s">
        <v>22</v>
      </c>
      <c r="B5414" t="s">
        <v>19</v>
      </c>
      <c r="C5414" s="1">
        <v>46006.477777777778</v>
      </c>
      <c r="D5414" s="1">
        <v>46069.90625</v>
      </c>
      <c r="E5414" s="2">
        <f t="shared" si="84"/>
        <v>63.428472222221899</v>
      </c>
    </row>
    <row r="5415" spans="1:5" x14ac:dyDescent="0.25">
      <c r="A5415" t="s">
        <v>6</v>
      </c>
      <c r="B5415" t="s">
        <v>8</v>
      </c>
      <c r="C5415" s="1">
        <v>46106.650694444441</v>
      </c>
      <c r="D5415" s="1">
        <v>46153.31527777778</v>
      </c>
      <c r="E5415" s="2">
        <f t="shared" si="84"/>
        <v>46.664583333338669</v>
      </c>
    </row>
    <row r="5416" spans="1:5" x14ac:dyDescent="0.25">
      <c r="A5416" t="s">
        <v>15</v>
      </c>
      <c r="B5416" t="s">
        <v>13</v>
      </c>
      <c r="C5416" s="1">
        <v>46067.720833333333</v>
      </c>
      <c r="D5416" s="1">
        <v>46112.793055555558</v>
      </c>
      <c r="E5416" s="2">
        <f t="shared" si="84"/>
        <v>45.072222222224809</v>
      </c>
    </row>
    <row r="5417" spans="1:5" x14ac:dyDescent="0.25">
      <c r="A5417" t="s">
        <v>27</v>
      </c>
      <c r="B5417" t="s">
        <v>20</v>
      </c>
      <c r="C5417" s="1">
        <v>45741.387499999997</v>
      </c>
      <c r="D5417" s="1">
        <v>45813.379166666673</v>
      </c>
      <c r="E5417" s="2">
        <f t="shared" si="84"/>
        <v>71.991666666675883</v>
      </c>
    </row>
    <row r="5418" spans="1:5" x14ac:dyDescent="0.25">
      <c r="A5418" t="s">
        <v>8</v>
      </c>
      <c r="B5418" t="s">
        <v>5</v>
      </c>
      <c r="C5418" s="1">
        <v>45761.217361111107</v>
      </c>
      <c r="D5418" s="1">
        <v>45796.416666666657</v>
      </c>
      <c r="E5418" s="2">
        <f t="shared" si="84"/>
        <v>35.199305555550382</v>
      </c>
    </row>
    <row r="5419" spans="1:5" x14ac:dyDescent="0.25">
      <c r="A5419" t="s">
        <v>7</v>
      </c>
      <c r="B5419" t="s">
        <v>13</v>
      </c>
      <c r="C5419" s="1">
        <v>45828.125</v>
      </c>
      <c r="D5419" s="1">
        <v>45875.92083333333</v>
      </c>
      <c r="E5419" s="2">
        <f t="shared" si="84"/>
        <v>47.795833333329938</v>
      </c>
    </row>
    <row r="5420" spans="1:5" x14ac:dyDescent="0.25">
      <c r="A5420" t="s">
        <v>8</v>
      </c>
      <c r="B5420" t="s">
        <v>18</v>
      </c>
      <c r="C5420" s="1">
        <v>46220.605555555558</v>
      </c>
      <c r="D5420" s="1">
        <v>46269.7</v>
      </c>
      <c r="E5420" s="2">
        <f t="shared" si="84"/>
        <v>49.094444444439432</v>
      </c>
    </row>
    <row r="5421" spans="1:5" x14ac:dyDescent="0.25">
      <c r="A5421" t="s">
        <v>12</v>
      </c>
      <c r="B5421" t="s">
        <v>18</v>
      </c>
      <c r="C5421" s="1">
        <v>45659.754166666673</v>
      </c>
      <c r="D5421" s="1">
        <v>45714.549305555563</v>
      </c>
      <c r="E5421" s="2">
        <f t="shared" si="84"/>
        <v>54.795138888890506</v>
      </c>
    </row>
    <row r="5422" spans="1:5" x14ac:dyDescent="0.25">
      <c r="A5422" t="s">
        <v>22</v>
      </c>
      <c r="B5422" t="s">
        <v>19</v>
      </c>
      <c r="C5422" s="1">
        <v>45978.134722222218</v>
      </c>
      <c r="D5422" s="1">
        <v>46031.813888888893</v>
      </c>
      <c r="E5422" s="2">
        <f t="shared" si="84"/>
        <v>53.679166666675883</v>
      </c>
    </row>
    <row r="5423" spans="1:5" x14ac:dyDescent="0.25">
      <c r="A5423" t="s">
        <v>14</v>
      </c>
      <c r="B5423" t="s">
        <v>22</v>
      </c>
      <c r="C5423" s="1">
        <v>45740.591828703713</v>
      </c>
      <c r="D5423" s="1">
        <v>45808.3125</v>
      </c>
      <c r="E5423" s="2">
        <f t="shared" si="84"/>
        <v>67.720671296287037</v>
      </c>
    </row>
    <row r="5424" spans="1:5" x14ac:dyDescent="0.25">
      <c r="A5424" t="s">
        <v>15</v>
      </c>
      <c r="B5424" t="s">
        <v>18</v>
      </c>
      <c r="C5424" s="1">
        <v>45967.545138888891</v>
      </c>
      <c r="D5424" s="1">
        <v>46014.96597222222</v>
      </c>
      <c r="E5424" s="2">
        <f t="shared" si="84"/>
        <v>47.420833333329938</v>
      </c>
    </row>
    <row r="5425" spans="1:5" x14ac:dyDescent="0.25">
      <c r="A5425" t="s">
        <v>22</v>
      </c>
      <c r="B5425" t="s">
        <v>19</v>
      </c>
      <c r="C5425" s="1">
        <v>45865.990277777782</v>
      </c>
      <c r="D5425" s="1">
        <v>45920.620833333327</v>
      </c>
      <c r="E5425" s="2">
        <f t="shared" si="84"/>
        <v>54.630555555544561</v>
      </c>
    </row>
    <row r="5426" spans="1:5" x14ac:dyDescent="0.25">
      <c r="A5426" t="s">
        <v>22</v>
      </c>
      <c r="B5426" t="s">
        <v>19</v>
      </c>
      <c r="C5426" s="1">
        <v>45873.851388888892</v>
      </c>
      <c r="D5426" s="1">
        <v>45931.597916666673</v>
      </c>
      <c r="E5426" s="2">
        <f t="shared" si="84"/>
        <v>57.746527777781012</v>
      </c>
    </row>
    <row r="5427" spans="1:5" x14ac:dyDescent="0.25">
      <c r="A5427" t="s">
        <v>22</v>
      </c>
      <c r="B5427" t="s">
        <v>19</v>
      </c>
      <c r="C5427" s="1">
        <v>45859.168055555558</v>
      </c>
      <c r="D5427" s="1">
        <v>45920.620833333327</v>
      </c>
      <c r="E5427" s="2">
        <f t="shared" si="84"/>
        <v>61.45277777776937</v>
      </c>
    </row>
    <row r="5428" spans="1:5" x14ac:dyDescent="0.25">
      <c r="A5428" t="s">
        <v>14</v>
      </c>
      <c r="B5428" t="s">
        <v>22</v>
      </c>
      <c r="C5428" s="1">
        <v>45697.130555555559</v>
      </c>
      <c r="D5428" s="1">
        <v>45747.354166666657</v>
      </c>
      <c r="E5428" s="2">
        <f t="shared" si="84"/>
        <v>50.223611111097853</v>
      </c>
    </row>
    <row r="5429" spans="1:5" x14ac:dyDescent="0.25">
      <c r="A5429" t="s">
        <v>10</v>
      </c>
      <c r="B5429" t="s">
        <v>8</v>
      </c>
      <c r="C5429" s="1">
        <v>45728.569444444453</v>
      </c>
      <c r="D5429" s="1">
        <v>45747.395833333343</v>
      </c>
      <c r="E5429" s="2">
        <f t="shared" si="84"/>
        <v>18.826388888890506</v>
      </c>
    </row>
    <row r="5430" spans="1:5" x14ac:dyDescent="0.25">
      <c r="A5430" t="s">
        <v>17</v>
      </c>
      <c r="B5430" t="s">
        <v>18</v>
      </c>
      <c r="C5430" s="1">
        <v>45695.722222222219</v>
      </c>
      <c r="D5430" s="1">
        <v>45744.01458333333</v>
      </c>
      <c r="E5430" s="2">
        <f t="shared" si="84"/>
        <v>48.292361111110949</v>
      </c>
    </row>
    <row r="5431" spans="1:5" x14ac:dyDescent="0.25">
      <c r="A5431" t="s">
        <v>13</v>
      </c>
      <c r="B5431" t="s">
        <v>8</v>
      </c>
      <c r="C5431" s="1">
        <v>45954.966666666667</v>
      </c>
      <c r="D5431" s="1">
        <v>45989.541666666657</v>
      </c>
      <c r="E5431" s="2">
        <f t="shared" si="84"/>
        <v>34.574999999989814</v>
      </c>
    </row>
    <row r="5432" spans="1:5" x14ac:dyDescent="0.25">
      <c r="A5432" t="s">
        <v>8</v>
      </c>
      <c r="B5432" t="s">
        <v>18</v>
      </c>
      <c r="C5432" s="1">
        <v>46220.605555555558</v>
      </c>
      <c r="D5432" s="1">
        <v>46269.7</v>
      </c>
      <c r="E5432" s="2">
        <f t="shared" si="84"/>
        <v>49.094444444439432</v>
      </c>
    </row>
    <row r="5433" spans="1:5" x14ac:dyDescent="0.25">
      <c r="A5433" t="s">
        <v>22</v>
      </c>
      <c r="B5433" t="s">
        <v>51</v>
      </c>
      <c r="C5433" s="1">
        <v>46110.847222222219</v>
      </c>
      <c r="D5433" s="1">
        <v>46164.704861111109</v>
      </c>
      <c r="E5433" s="2">
        <f t="shared" si="84"/>
        <v>53.857638888890506</v>
      </c>
    </row>
    <row r="5434" spans="1:5" x14ac:dyDescent="0.25">
      <c r="A5434" t="s">
        <v>22</v>
      </c>
      <c r="B5434" t="s">
        <v>19</v>
      </c>
      <c r="C5434" s="1">
        <v>45978.134722222218</v>
      </c>
      <c r="D5434" s="1">
        <v>46031.813888888893</v>
      </c>
      <c r="E5434" s="2">
        <f t="shared" si="84"/>
        <v>53.679166666675883</v>
      </c>
    </row>
    <row r="5435" spans="1:5" x14ac:dyDescent="0.25">
      <c r="A5435" t="s">
        <v>14</v>
      </c>
      <c r="B5435" t="s">
        <v>34</v>
      </c>
      <c r="C5435" s="1">
        <v>45689.630555555559</v>
      </c>
      <c r="D5435" s="1">
        <v>45709.965277777781</v>
      </c>
      <c r="E5435" s="2">
        <f t="shared" si="84"/>
        <v>20.334722222221899</v>
      </c>
    </row>
    <row r="5436" spans="1:5" x14ac:dyDescent="0.25">
      <c r="A5436" t="s">
        <v>19</v>
      </c>
      <c r="B5436" t="s">
        <v>54</v>
      </c>
      <c r="C5436" s="1">
        <v>46047.754861111112</v>
      </c>
      <c r="D5436" s="1">
        <v>46103.890972222223</v>
      </c>
      <c r="E5436" s="2">
        <f t="shared" si="84"/>
        <v>56.136111111110949</v>
      </c>
    </row>
    <row r="5437" spans="1:5" x14ac:dyDescent="0.25">
      <c r="A5437" t="s">
        <v>22</v>
      </c>
      <c r="B5437" t="s">
        <v>19</v>
      </c>
      <c r="C5437" s="1">
        <v>45803.65625</v>
      </c>
      <c r="D5437" s="1">
        <v>45854.040972222218</v>
      </c>
      <c r="E5437" s="2">
        <f t="shared" si="84"/>
        <v>50.384722222217533</v>
      </c>
    </row>
    <row r="5438" spans="1:5" x14ac:dyDescent="0.25">
      <c r="A5438" t="s">
        <v>6</v>
      </c>
      <c r="B5438" t="s">
        <v>8</v>
      </c>
      <c r="C5438" s="1">
        <v>45958.20416666667</v>
      </c>
      <c r="D5438" s="1">
        <v>45999.799305555563</v>
      </c>
      <c r="E5438" s="2">
        <f t="shared" si="84"/>
        <v>41.595138888893416</v>
      </c>
    </row>
    <row r="5439" spans="1:5" x14ac:dyDescent="0.25">
      <c r="A5439" t="s">
        <v>23</v>
      </c>
      <c r="B5439" t="s">
        <v>18</v>
      </c>
      <c r="C5439" s="1">
        <v>46041.916666666657</v>
      </c>
      <c r="D5439" s="1">
        <v>46087.666666666657</v>
      </c>
      <c r="E5439" s="2">
        <f t="shared" si="84"/>
        <v>45.75</v>
      </c>
    </row>
    <row r="5440" spans="1:5" x14ac:dyDescent="0.25">
      <c r="A5440" t="s">
        <v>22</v>
      </c>
      <c r="B5440" t="s">
        <v>19</v>
      </c>
      <c r="C5440" s="1">
        <v>46006.477777777778</v>
      </c>
      <c r="D5440" s="1">
        <v>46069.90625</v>
      </c>
      <c r="E5440" s="2">
        <f t="shared" si="84"/>
        <v>63.428472222221899</v>
      </c>
    </row>
    <row r="5441" spans="1:5" x14ac:dyDescent="0.25">
      <c r="A5441" t="s">
        <v>22</v>
      </c>
      <c r="B5441" t="s">
        <v>19</v>
      </c>
      <c r="C5441" s="1">
        <v>45781.9375</v>
      </c>
      <c r="D5441" s="1">
        <v>45832.886111111111</v>
      </c>
      <c r="E5441" s="2">
        <f t="shared" si="84"/>
        <v>50.948611111110949</v>
      </c>
    </row>
    <row r="5442" spans="1:5" x14ac:dyDescent="0.25">
      <c r="A5442" t="s">
        <v>6</v>
      </c>
      <c r="B5442" t="s">
        <v>8</v>
      </c>
      <c r="C5442" s="1">
        <v>46056.571527777778</v>
      </c>
      <c r="D5442" s="1">
        <v>46105.134722222218</v>
      </c>
      <c r="E5442" s="2">
        <f t="shared" ref="E5442:E5505" si="85">D5442-C5442</f>
        <v>48.563194444439432</v>
      </c>
    </row>
    <row r="5443" spans="1:5" x14ac:dyDescent="0.25">
      <c r="A5443" t="s">
        <v>15</v>
      </c>
      <c r="B5443" t="s">
        <v>6</v>
      </c>
      <c r="C5443" s="1">
        <v>45732.371527777781</v>
      </c>
      <c r="D5443" s="1">
        <v>45815.533333333333</v>
      </c>
      <c r="E5443" s="2">
        <f t="shared" si="85"/>
        <v>83.161805555551837</v>
      </c>
    </row>
    <row r="5444" spans="1:5" x14ac:dyDescent="0.25">
      <c r="A5444" t="s">
        <v>12</v>
      </c>
      <c r="B5444" t="s">
        <v>13</v>
      </c>
      <c r="C5444" s="1">
        <v>45887</v>
      </c>
      <c r="D5444" s="1">
        <v>45942.337500000001</v>
      </c>
      <c r="E5444" s="2">
        <f t="shared" si="85"/>
        <v>55.337500000001455</v>
      </c>
    </row>
    <row r="5445" spans="1:5" x14ac:dyDescent="0.25">
      <c r="A5445" t="s">
        <v>8</v>
      </c>
      <c r="B5445" t="s">
        <v>18</v>
      </c>
      <c r="C5445" s="1">
        <v>46199.770833333343</v>
      </c>
      <c r="D5445" s="1">
        <v>46241.870833333327</v>
      </c>
      <c r="E5445" s="2">
        <f t="shared" si="85"/>
        <v>42.099999999983993</v>
      </c>
    </row>
    <row r="5446" spans="1:5" x14ac:dyDescent="0.25">
      <c r="A5446" t="s">
        <v>16</v>
      </c>
      <c r="B5446" t="s">
        <v>13</v>
      </c>
      <c r="C5446" s="1">
        <v>45687.745833333327</v>
      </c>
      <c r="D5446" s="1">
        <v>45737.269444444442</v>
      </c>
      <c r="E5446" s="2">
        <f t="shared" si="85"/>
        <v>49.523611111115315</v>
      </c>
    </row>
    <row r="5447" spans="1:5" x14ac:dyDescent="0.25">
      <c r="A5447" t="s">
        <v>23</v>
      </c>
      <c r="B5447" t="s">
        <v>18</v>
      </c>
      <c r="C5447" s="1">
        <v>45974.5</v>
      </c>
      <c r="D5447" s="1">
        <v>46035.51666666667</v>
      </c>
      <c r="E5447" s="2">
        <f t="shared" si="85"/>
        <v>61.016666666670062</v>
      </c>
    </row>
    <row r="5448" spans="1:5" x14ac:dyDescent="0.25">
      <c r="A5448" t="s">
        <v>23</v>
      </c>
      <c r="B5448" t="s">
        <v>18</v>
      </c>
      <c r="C5448" s="1">
        <v>46028.7</v>
      </c>
      <c r="D5448" s="1">
        <v>46079.863888888889</v>
      </c>
      <c r="E5448" s="2">
        <f t="shared" si="85"/>
        <v>51.163888888891961</v>
      </c>
    </row>
    <row r="5449" spans="1:5" x14ac:dyDescent="0.25">
      <c r="A5449" t="s">
        <v>20</v>
      </c>
      <c r="B5449" t="s">
        <v>8</v>
      </c>
      <c r="C5449" s="1">
        <v>46048.366666666669</v>
      </c>
      <c r="D5449" s="1">
        <v>46085.457638888889</v>
      </c>
      <c r="E5449" s="2">
        <f t="shared" si="85"/>
        <v>37.090972222220444</v>
      </c>
    </row>
    <row r="5450" spans="1:5" x14ac:dyDescent="0.25">
      <c r="A5450" t="s">
        <v>12</v>
      </c>
      <c r="B5450" t="s">
        <v>18</v>
      </c>
      <c r="C5450" s="1">
        <v>45968.186111111107</v>
      </c>
      <c r="D5450" s="1">
        <v>46035.51666666667</v>
      </c>
      <c r="E5450" s="2">
        <f t="shared" si="85"/>
        <v>67.330555555563478</v>
      </c>
    </row>
    <row r="5451" spans="1:5" x14ac:dyDescent="0.25">
      <c r="A5451" t="s">
        <v>8</v>
      </c>
      <c r="B5451" t="s">
        <v>18</v>
      </c>
      <c r="C5451" s="1">
        <v>46149.661805555559</v>
      </c>
      <c r="D5451" s="1">
        <v>46195.804166666669</v>
      </c>
      <c r="E5451" s="2">
        <f t="shared" si="85"/>
        <v>46.142361111109494</v>
      </c>
    </row>
    <row r="5452" spans="1:5" x14ac:dyDescent="0.25">
      <c r="A5452" t="s">
        <v>8</v>
      </c>
      <c r="B5452" t="s">
        <v>6</v>
      </c>
      <c r="C5452" s="1">
        <v>45979.114583333343</v>
      </c>
      <c r="D5452" s="1">
        <v>46046.510416666657</v>
      </c>
      <c r="E5452" s="2">
        <f t="shared" si="85"/>
        <v>67.395833333313931</v>
      </c>
    </row>
    <row r="5453" spans="1:5" x14ac:dyDescent="0.25">
      <c r="A5453" t="s">
        <v>7</v>
      </c>
      <c r="B5453" t="s">
        <v>8</v>
      </c>
      <c r="C5453" s="1">
        <v>45785.595833333333</v>
      </c>
      <c r="D5453" s="1">
        <v>45818.433333333327</v>
      </c>
      <c r="E5453" s="2">
        <f t="shared" si="85"/>
        <v>32.837499999994179</v>
      </c>
    </row>
    <row r="5454" spans="1:5" x14ac:dyDescent="0.25">
      <c r="A5454" t="s">
        <v>10</v>
      </c>
      <c r="B5454" t="s">
        <v>11</v>
      </c>
      <c r="C5454" s="1">
        <v>45692.801770833343</v>
      </c>
      <c r="D5454" s="1">
        <v>45722.755555555559</v>
      </c>
      <c r="E5454" s="2">
        <f t="shared" si="85"/>
        <v>29.953784722216369</v>
      </c>
    </row>
    <row r="5455" spans="1:5" x14ac:dyDescent="0.25">
      <c r="A5455" t="s">
        <v>11</v>
      </c>
      <c r="B5455" t="s">
        <v>7</v>
      </c>
      <c r="C5455" s="1">
        <v>46106.054166666669</v>
      </c>
      <c r="D5455" s="1">
        <v>46183.583333333343</v>
      </c>
      <c r="E5455" s="2">
        <f t="shared" si="85"/>
        <v>77.529166666674428</v>
      </c>
    </row>
    <row r="5456" spans="1:5" x14ac:dyDescent="0.25">
      <c r="A5456" t="s">
        <v>28</v>
      </c>
      <c r="B5456" t="s">
        <v>30</v>
      </c>
      <c r="C5456" s="1">
        <v>45830.263888888891</v>
      </c>
      <c r="D5456" s="1">
        <v>45877.14166666667</v>
      </c>
      <c r="E5456" s="2">
        <f t="shared" si="85"/>
        <v>46.877777777779556</v>
      </c>
    </row>
    <row r="5457" spans="1:5" x14ac:dyDescent="0.25">
      <c r="A5457" t="s">
        <v>28</v>
      </c>
      <c r="B5457" t="s">
        <v>46</v>
      </c>
      <c r="C5457" s="1">
        <v>45904.94027777778</v>
      </c>
      <c r="D5457" s="1">
        <v>45938.695833333331</v>
      </c>
      <c r="E5457" s="2">
        <f t="shared" si="85"/>
        <v>33.755555555551837</v>
      </c>
    </row>
    <row r="5458" spans="1:5" x14ac:dyDescent="0.25">
      <c r="A5458" t="s">
        <v>14</v>
      </c>
      <c r="B5458" t="s">
        <v>22</v>
      </c>
      <c r="C5458" s="1">
        <v>46010.416666666657</v>
      </c>
      <c r="D5458" s="1">
        <v>46074.979166666657</v>
      </c>
      <c r="E5458" s="2">
        <f t="shared" si="85"/>
        <v>64.5625</v>
      </c>
    </row>
    <row r="5459" spans="1:5" x14ac:dyDescent="0.25">
      <c r="A5459" t="s">
        <v>12</v>
      </c>
      <c r="B5459" t="s">
        <v>13</v>
      </c>
      <c r="C5459" s="1">
        <v>45855.097222222219</v>
      </c>
      <c r="D5459" s="1">
        <v>45903.462500000001</v>
      </c>
      <c r="E5459" s="2">
        <f t="shared" si="85"/>
        <v>48.365277777782467</v>
      </c>
    </row>
    <row r="5460" spans="1:5" x14ac:dyDescent="0.25">
      <c r="A5460" t="s">
        <v>8</v>
      </c>
      <c r="B5460" t="s">
        <v>18</v>
      </c>
      <c r="C5460" s="1">
        <v>46192.1875</v>
      </c>
      <c r="D5460" s="1">
        <v>46227.5</v>
      </c>
      <c r="E5460" s="2">
        <f t="shared" si="85"/>
        <v>35.3125</v>
      </c>
    </row>
    <row r="5461" spans="1:5" x14ac:dyDescent="0.25">
      <c r="A5461" t="s">
        <v>15</v>
      </c>
      <c r="B5461" t="s">
        <v>18</v>
      </c>
      <c r="C5461" s="1">
        <v>45967.545138888891</v>
      </c>
      <c r="D5461" s="1">
        <v>46014.96597222222</v>
      </c>
      <c r="E5461" s="2">
        <f t="shared" si="85"/>
        <v>47.420833333329938</v>
      </c>
    </row>
    <row r="5462" spans="1:5" x14ac:dyDescent="0.25">
      <c r="A5462" t="s">
        <v>13</v>
      </c>
      <c r="B5462" t="s">
        <v>11</v>
      </c>
      <c r="C5462" s="1">
        <v>46011.845833333333</v>
      </c>
      <c r="D5462" s="1">
        <v>46049.9375</v>
      </c>
      <c r="E5462" s="2">
        <f t="shared" si="85"/>
        <v>38.091666666667152</v>
      </c>
    </row>
    <row r="5463" spans="1:5" x14ac:dyDescent="0.25">
      <c r="A5463" t="s">
        <v>22</v>
      </c>
      <c r="B5463" t="s">
        <v>14</v>
      </c>
      <c r="C5463" s="1">
        <v>46141.989583333343</v>
      </c>
      <c r="D5463" s="1">
        <v>46198.788888888892</v>
      </c>
      <c r="E5463" s="2">
        <f t="shared" si="85"/>
        <v>56.799305555548926</v>
      </c>
    </row>
    <row r="5464" spans="1:5" x14ac:dyDescent="0.25">
      <c r="A5464" t="s">
        <v>23</v>
      </c>
      <c r="B5464" t="s">
        <v>12</v>
      </c>
      <c r="C5464" s="1">
        <v>45979.431250000001</v>
      </c>
      <c r="D5464" s="1">
        <v>45991.53125</v>
      </c>
      <c r="E5464" s="2">
        <f t="shared" si="85"/>
        <v>12.099999999998545</v>
      </c>
    </row>
    <row r="5465" spans="1:5" x14ac:dyDescent="0.25">
      <c r="A5465" t="s">
        <v>26</v>
      </c>
      <c r="B5465" t="s">
        <v>21</v>
      </c>
      <c r="C5465" s="1">
        <v>46054.645833333343</v>
      </c>
      <c r="D5465" s="1">
        <v>46100.395833333343</v>
      </c>
      <c r="E5465" s="2">
        <f t="shared" si="85"/>
        <v>45.75</v>
      </c>
    </row>
    <row r="5466" spans="1:5" x14ac:dyDescent="0.25">
      <c r="A5466" t="s">
        <v>7</v>
      </c>
      <c r="B5466" t="s">
        <v>11</v>
      </c>
      <c r="C5466" s="1">
        <v>46109.013888888891</v>
      </c>
      <c r="D5466" s="1">
        <v>46182.275000000001</v>
      </c>
      <c r="E5466" s="2">
        <f t="shared" si="85"/>
        <v>73.261111111110949</v>
      </c>
    </row>
    <row r="5467" spans="1:5" x14ac:dyDescent="0.25">
      <c r="A5467" t="s">
        <v>42</v>
      </c>
      <c r="B5467" t="s">
        <v>13</v>
      </c>
      <c r="C5467" s="1">
        <v>46154.455555555563</v>
      </c>
      <c r="D5467" s="1">
        <v>46202.871527777781</v>
      </c>
      <c r="E5467" s="2">
        <f t="shared" si="85"/>
        <v>48.415972222217533</v>
      </c>
    </row>
    <row r="5468" spans="1:5" x14ac:dyDescent="0.25">
      <c r="A5468" t="s">
        <v>22</v>
      </c>
      <c r="B5468" t="s">
        <v>6</v>
      </c>
      <c r="C5468" s="1">
        <v>45679.180462962962</v>
      </c>
      <c r="D5468" s="1">
        <v>45769.199988425928</v>
      </c>
      <c r="E5468" s="2">
        <f t="shared" si="85"/>
        <v>90.019525462965248</v>
      </c>
    </row>
    <row r="5469" spans="1:5" x14ac:dyDescent="0.25">
      <c r="A5469" t="s">
        <v>22</v>
      </c>
      <c r="B5469" t="s">
        <v>14</v>
      </c>
      <c r="C5469" s="1">
        <v>45689.680555555547</v>
      </c>
      <c r="D5469" s="1">
        <v>45749.838888888888</v>
      </c>
      <c r="E5469" s="2">
        <f t="shared" si="85"/>
        <v>60.158333333340124</v>
      </c>
    </row>
    <row r="5470" spans="1:5" x14ac:dyDescent="0.25">
      <c r="A5470" t="s">
        <v>35</v>
      </c>
      <c r="B5470" t="s">
        <v>19</v>
      </c>
      <c r="C5470" s="1">
        <v>45887.762499999997</v>
      </c>
      <c r="D5470" s="1">
        <v>45925.678472222222</v>
      </c>
      <c r="E5470" s="2">
        <f t="shared" si="85"/>
        <v>37.915972222224809</v>
      </c>
    </row>
    <row r="5471" spans="1:5" x14ac:dyDescent="0.25">
      <c r="A5471" t="s">
        <v>5</v>
      </c>
      <c r="B5471" t="s">
        <v>8</v>
      </c>
      <c r="C5471" s="1">
        <v>46236.188888888893</v>
      </c>
      <c r="D5471" s="1">
        <v>46278.113888888889</v>
      </c>
      <c r="E5471" s="2">
        <f t="shared" si="85"/>
        <v>41.924999999995634</v>
      </c>
    </row>
    <row r="5472" spans="1:5" x14ac:dyDescent="0.25">
      <c r="A5472" t="s">
        <v>12</v>
      </c>
      <c r="B5472" t="s">
        <v>18</v>
      </c>
      <c r="C5472" s="1">
        <v>45667.296527777777</v>
      </c>
      <c r="D5472" s="1">
        <v>45727.680555555547</v>
      </c>
      <c r="E5472" s="2">
        <f t="shared" si="85"/>
        <v>60.384027777770825</v>
      </c>
    </row>
    <row r="5473" spans="1:5" x14ac:dyDescent="0.25">
      <c r="A5473" t="s">
        <v>8</v>
      </c>
      <c r="B5473" t="s">
        <v>18</v>
      </c>
      <c r="C5473" s="1">
        <v>46220.605555555558</v>
      </c>
      <c r="D5473" s="1">
        <v>46269.7</v>
      </c>
      <c r="E5473" s="2">
        <f t="shared" si="85"/>
        <v>49.094444444439432</v>
      </c>
    </row>
    <row r="5474" spans="1:5" x14ac:dyDescent="0.25">
      <c r="A5474" t="s">
        <v>15</v>
      </c>
      <c r="B5474" t="s">
        <v>6</v>
      </c>
      <c r="C5474" s="1">
        <v>45842.625</v>
      </c>
      <c r="D5474" s="1">
        <v>45915.70416666667</v>
      </c>
      <c r="E5474" s="2">
        <f t="shared" si="85"/>
        <v>73.079166666670062</v>
      </c>
    </row>
    <row r="5475" spans="1:5" x14ac:dyDescent="0.25">
      <c r="A5475" t="s">
        <v>34</v>
      </c>
      <c r="B5475" t="s">
        <v>8</v>
      </c>
      <c r="C5475" s="1">
        <v>45858.716666666667</v>
      </c>
      <c r="D5475" s="1">
        <v>45891.029166666667</v>
      </c>
      <c r="E5475" s="2">
        <f t="shared" si="85"/>
        <v>32.3125</v>
      </c>
    </row>
    <row r="5476" spans="1:5" x14ac:dyDescent="0.25">
      <c r="A5476" t="s">
        <v>7</v>
      </c>
      <c r="B5476" t="s">
        <v>20</v>
      </c>
      <c r="C5476" s="1">
        <v>45797.080555555563</v>
      </c>
      <c r="D5476" s="1">
        <v>45844.54583333333</v>
      </c>
      <c r="E5476" s="2">
        <f t="shared" si="85"/>
        <v>47.46527777776646</v>
      </c>
    </row>
    <row r="5477" spans="1:5" x14ac:dyDescent="0.25">
      <c r="A5477" t="s">
        <v>34</v>
      </c>
      <c r="B5477" t="s">
        <v>8</v>
      </c>
      <c r="C5477" s="1">
        <v>45871.892361111109</v>
      </c>
      <c r="D5477" s="1">
        <v>45904.829861111109</v>
      </c>
      <c r="E5477" s="2">
        <f t="shared" si="85"/>
        <v>32.9375</v>
      </c>
    </row>
    <row r="5478" spans="1:5" x14ac:dyDescent="0.25">
      <c r="A5478" t="s">
        <v>22</v>
      </c>
      <c r="B5478" t="s">
        <v>51</v>
      </c>
      <c r="C5478" s="1">
        <v>45790.489583333343</v>
      </c>
      <c r="D5478" s="1">
        <v>45845.291666666657</v>
      </c>
      <c r="E5478" s="2">
        <f t="shared" si="85"/>
        <v>54.802083333313931</v>
      </c>
    </row>
    <row r="5479" spans="1:5" x14ac:dyDescent="0.25">
      <c r="A5479" t="s">
        <v>7</v>
      </c>
      <c r="B5479" t="s">
        <v>18</v>
      </c>
      <c r="C5479" s="1">
        <v>46062.558761574073</v>
      </c>
      <c r="D5479" s="1">
        <v>46114.827453703707</v>
      </c>
      <c r="E5479" s="2">
        <f t="shared" si="85"/>
        <v>52.268692129633564</v>
      </c>
    </row>
    <row r="5480" spans="1:5" x14ac:dyDescent="0.25">
      <c r="A5480" t="s">
        <v>5</v>
      </c>
      <c r="B5480" t="s">
        <v>43</v>
      </c>
      <c r="C5480" s="1">
        <v>45989.675694444442</v>
      </c>
      <c r="D5480" s="1">
        <v>46037.031944444447</v>
      </c>
      <c r="E5480" s="2">
        <f t="shared" si="85"/>
        <v>47.356250000004366</v>
      </c>
    </row>
    <row r="5481" spans="1:5" x14ac:dyDescent="0.25">
      <c r="A5481" t="s">
        <v>22</v>
      </c>
      <c r="B5481" t="s">
        <v>19</v>
      </c>
      <c r="C5481" s="1">
        <v>46189.673611111109</v>
      </c>
      <c r="D5481" s="1">
        <v>46255.57916666667</v>
      </c>
      <c r="E5481" s="2">
        <f t="shared" si="85"/>
        <v>65.905555555560568</v>
      </c>
    </row>
    <row r="5482" spans="1:5" x14ac:dyDescent="0.25">
      <c r="A5482" t="s">
        <v>27</v>
      </c>
      <c r="B5482" t="s">
        <v>8</v>
      </c>
      <c r="C5482" s="1">
        <v>45961.458333333343</v>
      </c>
      <c r="D5482" s="1">
        <v>46004.9</v>
      </c>
      <c r="E5482" s="2">
        <f t="shared" si="85"/>
        <v>43.441666666658421</v>
      </c>
    </row>
    <row r="5483" spans="1:5" x14ac:dyDescent="0.25">
      <c r="A5483" t="s">
        <v>15</v>
      </c>
      <c r="B5483" t="s">
        <v>19</v>
      </c>
      <c r="C5483" s="1">
        <v>46089.415347222217</v>
      </c>
      <c r="D5483" s="1">
        <v>46124.852303240739</v>
      </c>
      <c r="E5483" s="2">
        <f t="shared" si="85"/>
        <v>35.436956018522324</v>
      </c>
    </row>
    <row r="5484" spans="1:5" x14ac:dyDescent="0.25">
      <c r="A5484" t="s">
        <v>41</v>
      </c>
      <c r="B5484" t="s">
        <v>43</v>
      </c>
      <c r="C5484" s="1">
        <v>46226.589583333327</v>
      </c>
      <c r="D5484" s="1">
        <v>46277.070138888892</v>
      </c>
      <c r="E5484" s="2">
        <f t="shared" si="85"/>
        <v>50.480555555564933</v>
      </c>
    </row>
    <row r="5485" spans="1:5" x14ac:dyDescent="0.25">
      <c r="A5485" t="s">
        <v>16</v>
      </c>
      <c r="B5485" t="s">
        <v>20</v>
      </c>
      <c r="C5485" s="1">
        <v>45687.745833333327</v>
      </c>
      <c r="D5485" s="1">
        <v>45739</v>
      </c>
      <c r="E5485" s="2">
        <f t="shared" si="85"/>
        <v>51.254166666672972</v>
      </c>
    </row>
    <row r="5486" spans="1:5" x14ac:dyDescent="0.25">
      <c r="A5486" t="s">
        <v>15</v>
      </c>
      <c r="B5486" t="s">
        <v>20</v>
      </c>
      <c r="C5486" s="1">
        <v>46198.806944444441</v>
      </c>
      <c r="D5486" s="1">
        <v>46258.07916666667</v>
      </c>
      <c r="E5486" s="2">
        <f t="shared" si="85"/>
        <v>59.272222222229175</v>
      </c>
    </row>
    <row r="5487" spans="1:5" x14ac:dyDescent="0.25">
      <c r="A5487" t="s">
        <v>15</v>
      </c>
      <c r="B5487" t="s">
        <v>8</v>
      </c>
      <c r="C5487" s="1">
        <v>46031.183333333327</v>
      </c>
      <c r="D5487" s="1">
        <v>46074.836805555547</v>
      </c>
      <c r="E5487" s="2">
        <f t="shared" si="85"/>
        <v>43.653472222220444</v>
      </c>
    </row>
    <row r="5488" spans="1:5" x14ac:dyDescent="0.25">
      <c r="A5488" t="s">
        <v>15</v>
      </c>
      <c r="B5488" t="s">
        <v>8</v>
      </c>
      <c r="C5488" s="1">
        <v>45752.875</v>
      </c>
      <c r="D5488" s="1">
        <v>45791.916666666657</v>
      </c>
      <c r="E5488" s="2">
        <f t="shared" si="85"/>
        <v>39.041666666656965</v>
      </c>
    </row>
    <row r="5489" spans="1:5" x14ac:dyDescent="0.25">
      <c r="A5489" t="s">
        <v>15</v>
      </c>
      <c r="B5489" t="s">
        <v>8</v>
      </c>
      <c r="C5489" s="1">
        <v>45927.916666666657</v>
      </c>
      <c r="D5489" s="1">
        <v>45977.614583333343</v>
      </c>
      <c r="E5489" s="2">
        <f t="shared" si="85"/>
        <v>49.697916666686069</v>
      </c>
    </row>
    <row r="5490" spans="1:5" x14ac:dyDescent="0.25">
      <c r="A5490" t="s">
        <v>15</v>
      </c>
      <c r="B5490" t="s">
        <v>8</v>
      </c>
      <c r="C5490" s="1">
        <v>46108.948611111111</v>
      </c>
      <c r="D5490" s="1">
        <v>46144.908333333333</v>
      </c>
      <c r="E5490" s="2">
        <f t="shared" si="85"/>
        <v>35.959722222221899</v>
      </c>
    </row>
    <row r="5491" spans="1:5" x14ac:dyDescent="0.25">
      <c r="A5491" t="s">
        <v>15</v>
      </c>
      <c r="B5491" t="s">
        <v>8</v>
      </c>
      <c r="C5491" s="1">
        <v>45702</v>
      </c>
      <c r="D5491" s="1">
        <v>45738.364583333343</v>
      </c>
      <c r="E5491" s="2">
        <f t="shared" si="85"/>
        <v>36.364583333343035</v>
      </c>
    </row>
    <row r="5492" spans="1:5" x14ac:dyDescent="0.25">
      <c r="A5492" t="s">
        <v>15</v>
      </c>
      <c r="B5492" t="s">
        <v>8</v>
      </c>
      <c r="C5492" s="1">
        <v>46042.207638888889</v>
      </c>
      <c r="D5492" s="1">
        <v>46082.083333333343</v>
      </c>
      <c r="E5492" s="2">
        <f t="shared" si="85"/>
        <v>39.875694444453984</v>
      </c>
    </row>
    <row r="5493" spans="1:5" x14ac:dyDescent="0.25">
      <c r="A5493" t="s">
        <v>15</v>
      </c>
      <c r="B5493" t="s">
        <v>38</v>
      </c>
      <c r="C5493" s="1">
        <v>46066.779861111107</v>
      </c>
      <c r="D5493" s="1">
        <v>46111.243750000001</v>
      </c>
      <c r="E5493" s="2">
        <f t="shared" si="85"/>
        <v>44.463888888894871</v>
      </c>
    </row>
    <row r="5494" spans="1:5" x14ac:dyDescent="0.25">
      <c r="A5494" t="s">
        <v>15</v>
      </c>
      <c r="B5494" t="s">
        <v>8</v>
      </c>
      <c r="C5494" s="1">
        <v>45874.927777777782</v>
      </c>
      <c r="D5494" s="1">
        <v>45923.416666666657</v>
      </c>
      <c r="E5494" s="2">
        <f t="shared" si="85"/>
        <v>48.488888888874499</v>
      </c>
    </row>
    <row r="5495" spans="1:5" x14ac:dyDescent="0.25">
      <c r="A5495" t="s">
        <v>15</v>
      </c>
      <c r="B5495" t="s">
        <v>8</v>
      </c>
      <c r="C5495" s="1">
        <v>45690.90625</v>
      </c>
      <c r="D5495" s="1">
        <v>45753.332638888889</v>
      </c>
      <c r="E5495" s="2">
        <f t="shared" si="85"/>
        <v>62.426388888889051</v>
      </c>
    </row>
    <row r="5496" spans="1:5" x14ac:dyDescent="0.25">
      <c r="A5496" t="s">
        <v>15</v>
      </c>
      <c r="B5496" t="s">
        <v>8</v>
      </c>
      <c r="C5496" s="1">
        <v>46006.65</v>
      </c>
      <c r="D5496" s="1">
        <v>46054.188194444447</v>
      </c>
      <c r="E5496" s="2">
        <f t="shared" si="85"/>
        <v>47.538194444445253</v>
      </c>
    </row>
    <row r="5497" spans="1:5" x14ac:dyDescent="0.25">
      <c r="A5497" t="s">
        <v>15</v>
      </c>
      <c r="B5497" t="s">
        <v>16</v>
      </c>
      <c r="C5497" s="1">
        <v>46069.149305555547</v>
      </c>
      <c r="D5497" s="1">
        <v>46081.958333333343</v>
      </c>
      <c r="E5497" s="2">
        <f t="shared" si="85"/>
        <v>12.809027777795563</v>
      </c>
    </row>
    <row r="5498" spans="1:5" x14ac:dyDescent="0.25">
      <c r="A5498" t="s">
        <v>15</v>
      </c>
      <c r="B5498" t="s">
        <v>8</v>
      </c>
      <c r="C5498" s="1">
        <v>45832.012499999997</v>
      </c>
      <c r="D5498" s="1">
        <v>45865.404861111107</v>
      </c>
      <c r="E5498" s="2">
        <f t="shared" si="85"/>
        <v>33.392361111109494</v>
      </c>
    </row>
    <row r="5499" spans="1:5" x14ac:dyDescent="0.25">
      <c r="A5499" t="s">
        <v>15</v>
      </c>
      <c r="B5499" t="s">
        <v>8</v>
      </c>
      <c r="C5499" s="1">
        <v>45998.874305555553</v>
      </c>
      <c r="D5499" s="1">
        <v>46033.208333333343</v>
      </c>
      <c r="E5499" s="2">
        <f t="shared" si="85"/>
        <v>34.334027777789743</v>
      </c>
    </row>
    <row r="5500" spans="1:5" x14ac:dyDescent="0.25">
      <c r="A5500" t="s">
        <v>15</v>
      </c>
      <c r="B5500" t="s">
        <v>8</v>
      </c>
      <c r="C5500" s="1">
        <v>46005.362500000003</v>
      </c>
      <c r="D5500" s="1">
        <v>46040.25</v>
      </c>
      <c r="E5500" s="2">
        <f t="shared" si="85"/>
        <v>34.88749999999709</v>
      </c>
    </row>
    <row r="5501" spans="1:5" x14ac:dyDescent="0.25">
      <c r="A5501" t="s">
        <v>15</v>
      </c>
      <c r="B5501" t="s">
        <v>8</v>
      </c>
      <c r="C5501" s="1">
        <v>45944.345833333333</v>
      </c>
      <c r="D5501" s="1">
        <v>45991</v>
      </c>
      <c r="E5501" s="2">
        <f t="shared" si="85"/>
        <v>46.654166666667152</v>
      </c>
    </row>
    <row r="5502" spans="1:5" x14ac:dyDescent="0.25">
      <c r="A5502" t="s">
        <v>15</v>
      </c>
      <c r="B5502" t="s">
        <v>8</v>
      </c>
      <c r="C5502" s="1">
        <v>46042.207638888889</v>
      </c>
      <c r="D5502" s="1">
        <v>46082.083333333343</v>
      </c>
      <c r="E5502" s="2">
        <f t="shared" si="85"/>
        <v>39.875694444453984</v>
      </c>
    </row>
    <row r="5503" spans="1:5" x14ac:dyDescent="0.25">
      <c r="A5503" t="s">
        <v>15</v>
      </c>
      <c r="B5503" t="s">
        <v>8</v>
      </c>
      <c r="C5503" s="1">
        <v>46067.473611111112</v>
      </c>
      <c r="D5503" s="1">
        <v>46110.377083333333</v>
      </c>
      <c r="E5503" s="2">
        <f t="shared" si="85"/>
        <v>42.903472222220444</v>
      </c>
    </row>
    <row r="5504" spans="1:5" x14ac:dyDescent="0.25">
      <c r="A5504" t="s">
        <v>15</v>
      </c>
      <c r="B5504" t="s">
        <v>8</v>
      </c>
      <c r="C5504" s="1">
        <v>45858.856249999997</v>
      </c>
      <c r="D5504" s="1">
        <v>45901.583333333343</v>
      </c>
      <c r="E5504" s="2">
        <f t="shared" si="85"/>
        <v>42.727083333345945</v>
      </c>
    </row>
    <row r="5505" spans="1:5" x14ac:dyDescent="0.25">
      <c r="A5505" t="s">
        <v>15</v>
      </c>
      <c r="B5505" t="s">
        <v>8</v>
      </c>
      <c r="C5505" s="1">
        <v>45927.916666666657</v>
      </c>
      <c r="D5505" s="1">
        <v>45977.614583333343</v>
      </c>
      <c r="E5505" s="2">
        <f t="shared" si="85"/>
        <v>49.697916666686069</v>
      </c>
    </row>
    <row r="5506" spans="1:5" x14ac:dyDescent="0.25">
      <c r="A5506" t="s">
        <v>15</v>
      </c>
      <c r="B5506" t="s">
        <v>38</v>
      </c>
      <c r="C5506" s="1">
        <v>46066.779861111107</v>
      </c>
      <c r="D5506" s="1">
        <v>46118.693749999999</v>
      </c>
      <c r="E5506" s="2">
        <f t="shared" ref="E5506:E5569" si="86">D5506-C5506</f>
        <v>51.913888888891961</v>
      </c>
    </row>
    <row r="5507" spans="1:5" x14ac:dyDescent="0.25">
      <c r="A5507" t="s">
        <v>15</v>
      </c>
      <c r="B5507" t="s">
        <v>38</v>
      </c>
      <c r="C5507" s="1">
        <v>46031.850393518522</v>
      </c>
      <c r="D5507" s="1">
        <v>46075.982638888891</v>
      </c>
      <c r="E5507" s="2">
        <f t="shared" si="86"/>
        <v>44.132245370368764</v>
      </c>
    </row>
    <row r="5508" spans="1:5" x14ac:dyDescent="0.25">
      <c r="A5508" t="s">
        <v>15</v>
      </c>
      <c r="B5508" t="s">
        <v>8</v>
      </c>
      <c r="C5508" s="1">
        <v>45858.856249999997</v>
      </c>
      <c r="D5508" s="1">
        <v>45901.583333333343</v>
      </c>
      <c r="E5508" s="2">
        <f t="shared" si="86"/>
        <v>42.727083333345945</v>
      </c>
    </row>
    <row r="5509" spans="1:5" x14ac:dyDescent="0.25">
      <c r="A5509" t="s">
        <v>15</v>
      </c>
      <c r="B5509" t="s">
        <v>8</v>
      </c>
      <c r="C5509" s="1">
        <v>45927.916666666657</v>
      </c>
      <c r="D5509" s="1">
        <v>45977.614583333343</v>
      </c>
      <c r="E5509" s="2">
        <f t="shared" si="86"/>
        <v>49.697916666686069</v>
      </c>
    </row>
    <row r="5510" spans="1:5" x14ac:dyDescent="0.25">
      <c r="A5510" t="s">
        <v>15</v>
      </c>
      <c r="B5510" t="s">
        <v>8</v>
      </c>
      <c r="C5510" s="1">
        <v>46031.183333333327</v>
      </c>
      <c r="D5510" s="1">
        <v>46074.836805555547</v>
      </c>
      <c r="E5510" s="2">
        <f t="shared" si="86"/>
        <v>43.653472222220444</v>
      </c>
    </row>
    <row r="5511" spans="1:5" x14ac:dyDescent="0.25">
      <c r="A5511" t="s">
        <v>15</v>
      </c>
      <c r="B5511" t="s">
        <v>8</v>
      </c>
      <c r="C5511" s="1">
        <v>45807.635416666657</v>
      </c>
      <c r="D5511" s="1">
        <v>45858.363888888889</v>
      </c>
      <c r="E5511" s="2">
        <f t="shared" si="86"/>
        <v>50.728472222232085</v>
      </c>
    </row>
    <row r="5512" spans="1:5" x14ac:dyDescent="0.25">
      <c r="A5512" t="s">
        <v>15</v>
      </c>
      <c r="B5512" t="s">
        <v>8</v>
      </c>
      <c r="C5512" s="1">
        <v>45847.030555555553</v>
      </c>
      <c r="D5512" s="1">
        <v>45884.25</v>
      </c>
      <c r="E5512" s="2">
        <f t="shared" si="86"/>
        <v>37.219444444446708</v>
      </c>
    </row>
    <row r="5513" spans="1:5" x14ac:dyDescent="0.25">
      <c r="A5513" t="s">
        <v>15</v>
      </c>
      <c r="B5513" t="s">
        <v>20</v>
      </c>
      <c r="C5513" s="1">
        <v>46220.508333333331</v>
      </c>
      <c r="D5513" s="1">
        <v>46258.07916666667</v>
      </c>
      <c r="E5513" s="2">
        <f t="shared" si="86"/>
        <v>37.570833333338669</v>
      </c>
    </row>
    <row r="5514" spans="1:5" x14ac:dyDescent="0.25">
      <c r="A5514" t="s">
        <v>15</v>
      </c>
      <c r="B5514" t="s">
        <v>8</v>
      </c>
      <c r="C5514" s="1">
        <v>45766.308333333327</v>
      </c>
      <c r="D5514" s="1">
        <v>45815.175694444442</v>
      </c>
      <c r="E5514" s="2">
        <f t="shared" si="86"/>
        <v>48.867361111115315</v>
      </c>
    </row>
    <row r="5515" spans="1:5" x14ac:dyDescent="0.25">
      <c r="A5515" t="s">
        <v>15</v>
      </c>
      <c r="B5515" t="s">
        <v>8</v>
      </c>
      <c r="C5515" s="1">
        <v>45944.345833333333</v>
      </c>
      <c r="D5515" s="1">
        <v>45991</v>
      </c>
      <c r="E5515" s="2">
        <f t="shared" si="86"/>
        <v>46.654166666667152</v>
      </c>
    </row>
    <row r="5516" spans="1:5" x14ac:dyDescent="0.25">
      <c r="A5516" t="s">
        <v>15</v>
      </c>
      <c r="B5516" t="s">
        <v>8</v>
      </c>
      <c r="C5516" s="1">
        <v>46108.948611111111</v>
      </c>
      <c r="D5516" s="1">
        <v>46144.908333333333</v>
      </c>
      <c r="E5516" s="2">
        <f t="shared" si="86"/>
        <v>35.959722222221899</v>
      </c>
    </row>
    <row r="5517" spans="1:5" x14ac:dyDescent="0.25">
      <c r="A5517" t="s">
        <v>15</v>
      </c>
      <c r="B5517" t="s">
        <v>8</v>
      </c>
      <c r="C5517" s="1">
        <v>45690.90625</v>
      </c>
      <c r="D5517" s="1">
        <v>45753.332638888889</v>
      </c>
      <c r="E5517" s="2">
        <f t="shared" si="86"/>
        <v>62.426388888889051</v>
      </c>
    </row>
    <row r="5518" spans="1:5" x14ac:dyDescent="0.25">
      <c r="A5518" t="s">
        <v>15</v>
      </c>
      <c r="B5518" t="s">
        <v>8</v>
      </c>
      <c r="C5518" s="1">
        <v>46108.948611111111</v>
      </c>
      <c r="D5518" s="1">
        <v>46144.908333333333</v>
      </c>
      <c r="E5518" s="2">
        <f t="shared" si="86"/>
        <v>35.959722222221899</v>
      </c>
    </row>
    <row r="5519" spans="1:5" x14ac:dyDescent="0.25">
      <c r="A5519" t="s">
        <v>15</v>
      </c>
      <c r="B5519" t="s">
        <v>20</v>
      </c>
      <c r="C5519" s="1">
        <v>46232.020833333343</v>
      </c>
      <c r="D5519" s="1">
        <v>46276.762499999997</v>
      </c>
      <c r="E5519" s="2">
        <f t="shared" si="86"/>
        <v>44.741666666654055</v>
      </c>
    </row>
    <row r="5520" spans="1:5" x14ac:dyDescent="0.25">
      <c r="A5520" t="s">
        <v>15</v>
      </c>
      <c r="B5520" t="s">
        <v>8</v>
      </c>
      <c r="C5520" s="1">
        <v>46067.473611111112</v>
      </c>
      <c r="D5520" s="1">
        <v>46110.377083333333</v>
      </c>
      <c r="E5520" s="2">
        <f t="shared" si="86"/>
        <v>42.903472222220444</v>
      </c>
    </row>
    <row r="5521" spans="1:5" x14ac:dyDescent="0.25">
      <c r="A5521" t="s">
        <v>15</v>
      </c>
      <c r="B5521" t="s">
        <v>8</v>
      </c>
      <c r="C5521" s="1">
        <v>46135.581250000003</v>
      </c>
      <c r="D5521" s="1">
        <v>46173.291666666657</v>
      </c>
      <c r="E5521" s="2">
        <f t="shared" si="86"/>
        <v>37.710416666654055</v>
      </c>
    </row>
    <row r="5522" spans="1:5" x14ac:dyDescent="0.25">
      <c r="A5522" t="s">
        <v>15</v>
      </c>
      <c r="B5522" t="s">
        <v>8</v>
      </c>
      <c r="C5522" s="1">
        <v>46229.473611111112</v>
      </c>
      <c r="D5522" s="1">
        <v>46268.117361111108</v>
      </c>
      <c r="E5522" s="2">
        <f t="shared" si="86"/>
        <v>38.643749999995634</v>
      </c>
    </row>
    <row r="5523" spans="1:5" x14ac:dyDescent="0.25">
      <c r="A5523" t="s">
        <v>15</v>
      </c>
      <c r="B5523" t="s">
        <v>8</v>
      </c>
      <c r="C5523" s="1">
        <v>46006.65</v>
      </c>
      <c r="D5523" s="1">
        <v>46054.188194444447</v>
      </c>
      <c r="E5523" s="2">
        <f t="shared" si="86"/>
        <v>47.538194444445253</v>
      </c>
    </row>
    <row r="5524" spans="1:5" x14ac:dyDescent="0.25">
      <c r="A5524" t="s">
        <v>15</v>
      </c>
      <c r="B5524" t="s">
        <v>16</v>
      </c>
      <c r="C5524" s="1">
        <v>46190.519444444442</v>
      </c>
      <c r="D5524" s="1">
        <v>46207.991666666669</v>
      </c>
      <c r="E5524" s="2">
        <f t="shared" si="86"/>
        <v>17.472222222226264</v>
      </c>
    </row>
    <row r="5525" spans="1:5" x14ac:dyDescent="0.25">
      <c r="A5525" t="s">
        <v>15</v>
      </c>
      <c r="B5525" t="s">
        <v>38</v>
      </c>
      <c r="C5525" s="1">
        <v>46205.640636574077</v>
      </c>
      <c r="D5525" s="1">
        <v>46266.483865740738</v>
      </c>
      <c r="E5525" s="2">
        <f t="shared" si="86"/>
        <v>60.843229166661331</v>
      </c>
    </row>
    <row r="5526" spans="1:5" x14ac:dyDescent="0.25">
      <c r="A5526" t="s">
        <v>15</v>
      </c>
      <c r="B5526" t="s">
        <v>8</v>
      </c>
      <c r="C5526" s="1">
        <v>46108.948611111111</v>
      </c>
      <c r="D5526" s="1">
        <v>46144.908333333333</v>
      </c>
      <c r="E5526" s="2">
        <f t="shared" si="86"/>
        <v>35.959722222221899</v>
      </c>
    </row>
    <row r="5527" spans="1:5" x14ac:dyDescent="0.25">
      <c r="A5527" t="s">
        <v>15</v>
      </c>
      <c r="B5527" t="s">
        <v>8</v>
      </c>
      <c r="C5527" s="1">
        <v>46031.183333333327</v>
      </c>
      <c r="D5527" s="1">
        <v>46074.836805555547</v>
      </c>
      <c r="E5527" s="2">
        <f t="shared" si="86"/>
        <v>43.653472222220444</v>
      </c>
    </row>
    <row r="5528" spans="1:5" x14ac:dyDescent="0.25">
      <c r="A5528" t="s">
        <v>15</v>
      </c>
      <c r="B5528" t="s">
        <v>8</v>
      </c>
      <c r="C5528" s="1">
        <v>45954.459722222222</v>
      </c>
      <c r="D5528" s="1">
        <v>45991.530555555553</v>
      </c>
      <c r="E5528" s="2">
        <f t="shared" si="86"/>
        <v>37.070833333331393</v>
      </c>
    </row>
    <row r="5529" spans="1:5" x14ac:dyDescent="0.25">
      <c r="A5529" t="s">
        <v>15</v>
      </c>
      <c r="B5529" t="s">
        <v>8</v>
      </c>
      <c r="C5529" s="1">
        <v>45838.1</v>
      </c>
      <c r="D5529" s="1">
        <v>45889.556944444441</v>
      </c>
      <c r="E5529" s="2">
        <f t="shared" si="86"/>
        <v>51.456944444442343</v>
      </c>
    </row>
    <row r="5530" spans="1:5" x14ac:dyDescent="0.25">
      <c r="A5530" t="s">
        <v>15</v>
      </c>
      <c r="B5530" t="s">
        <v>8</v>
      </c>
      <c r="C5530" s="1">
        <v>46184.899305555547</v>
      </c>
      <c r="D5530" s="1">
        <v>46225.791666666657</v>
      </c>
      <c r="E5530" s="2">
        <f t="shared" si="86"/>
        <v>40.892361111109494</v>
      </c>
    </row>
    <row r="5531" spans="1:5" x14ac:dyDescent="0.25">
      <c r="A5531" t="s">
        <v>15</v>
      </c>
      <c r="B5531" t="s">
        <v>38</v>
      </c>
      <c r="C5531" s="1">
        <v>46101.166666666657</v>
      </c>
      <c r="D5531" s="1">
        <v>46145.947916666657</v>
      </c>
      <c r="E5531" s="2">
        <f t="shared" si="86"/>
        <v>44.78125</v>
      </c>
    </row>
    <row r="5532" spans="1:5" x14ac:dyDescent="0.25">
      <c r="A5532" t="s">
        <v>15</v>
      </c>
      <c r="B5532" t="s">
        <v>8</v>
      </c>
      <c r="C5532" s="1">
        <v>46042.207638888889</v>
      </c>
      <c r="D5532" s="1">
        <v>46082.083333333343</v>
      </c>
      <c r="E5532" s="2">
        <f t="shared" si="86"/>
        <v>39.875694444453984</v>
      </c>
    </row>
    <row r="5533" spans="1:5" x14ac:dyDescent="0.25">
      <c r="A5533" t="s">
        <v>15</v>
      </c>
      <c r="B5533" t="s">
        <v>8</v>
      </c>
      <c r="C5533" s="1">
        <v>45791.95</v>
      </c>
      <c r="D5533" s="1">
        <v>45873</v>
      </c>
      <c r="E5533" s="2">
        <f t="shared" si="86"/>
        <v>81.05000000000291</v>
      </c>
    </row>
    <row r="5534" spans="1:5" x14ac:dyDescent="0.25">
      <c r="A5534" t="s">
        <v>15</v>
      </c>
      <c r="B5534" t="s">
        <v>38</v>
      </c>
      <c r="C5534" s="1">
        <v>46218.135567129633</v>
      </c>
      <c r="D5534" s="1">
        <v>46274.2421875</v>
      </c>
      <c r="E5534" s="2">
        <f t="shared" si="86"/>
        <v>56.106620370366727</v>
      </c>
    </row>
    <row r="5535" spans="1:5" x14ac:dyDescent="0.25">
      <c r="A5535" t="s">
        <v>15</v>
      </c>
      <c r="B5535" t="s">
        <v>8</v>
      </c>
      <c r="C5535" s="1">
        <v>45858.856249999997</v>
      </c>
      <c r="D5535" s="1">
        <v>45901.583333333343</v>
      </c>
      <c r="E5535" s="2">
        <f t="shared" si="86"/>
        <v>42.727083333345945</v>
      </c>
    </row>
    <row r="5536" spans="1:5" x14ac:dyDescent="0.25">
      <c r="A5536" t="s">
        <v>15</v>
      </c>
      <c r="B5536" t="s">
        <v>8</v>
      </c>
      <c r="C5536" s="1">
        <v>46031.183333333327</v>
      </c>
      <c r="D5536" s="1">
        <v>46074.836805555547</v>
      </c>
      <c r="E5536" s="2">
        <f t="shared" si="86"/>
        <v>43.653472222220444</v>
      </c>
    </row>
    <row r="5537" spans="1:5" x14ac:dyDescent="0.25">
      <c r="A5537" t="s">
        <v>15</v>
      </c>
      <c r="B5537" t="s">
        <v>38</v>
      </c>
      <c r="C5537" s="1">
        <v>46218.135567129633</v>
      </c>
      <c r="D5537" s="1">
        <v>46274.261631944442</v>
      </c>
      <c r="E5537" s="2">
        <f t="shared" si="86"/>
        <v>56.12606481480907</v>
      </c>
    </row>
    <row r="5538" spans="1:5" x14ac:dyDescent="0.25">
      <c r="A5538" t="s">
        <v>15</v>
      </c>
      <c r="B5538" t="s">
        <v>8</v>
      </c>
      <c r="C5538" s="1">
        <v>45896.723611111112</v>
      </c>
      <c r="D5538" s="1">
        <v>45935.75277777778</v>
      </c>
      <c r="E5538" s="2">
        <f t="shared" si="86"/>
        <v>39.029166666667152</v>
      </c>
    </row>
    <row r="5539" spans="1:5" x14ac:dyDescent="0.25">
      <c r="A5539" t="s">
        <v>15</v>
      </c>
      <c r="B5539" t="s">
        <v>38</v>
      </c>
      <c r="C5539" s="1">
        <v>46101.166666666657</v>
      </c>
      <c r="D5539" s="1">
        <v>46145.947916666657</v>
      </c>
      <c r="E5539" s="2">
        <f t="shared" si="86"/>
        <v>44.78125</v>
      </c>
    </row>
    <row r="5540" spans="1:5" x14ac:dyDescent="0.25">
      <c r="A5540" t="s">
        <v>15</v>
      </c>
      <c r="B5540" t="s">
        <v>8</v>
      </c>
      <c r="C5540" s="1">
        <v>45822.490972222222</v>
      </c>
      <c r="D5540" s="1">
        <v>45873.418749999997</v>
      </c>
      <c r="E5540" s="2">
        <f t="shared" si="86"/>
        <v>50.927777777775191</v>
      </c>
    </row>
    <row r="5541" spans="1:5" x14ac:dyDescent="0.25">
      <c r="A5541" t="s">
        <v>15</v>
      </c>
      <c r="B5541" t="s">
        <v>19</v>
      </c>
      <c r="C5541" s="1">
        <v>45880.416932870372</v>
      </c>
      <c r="D5541" s="1">
        <v>45920.332800925928</v>
      </c>
      <c r="E5541" s="2">
        <f t="shared" si="86"/>
        <v>39.91586805555562</v>
      </c>
    </row>
    <row r="5542" spans="1:5" x14ac:dyDescent="0.25">
      <c r="A5542" t="s">
        <v>15</v>
      </c>
      <c r="B5542" t="s">
        <v>8</v>
      </c>
      <c r="C5542" s="1">
        <v>46099.179166666669</v>
      </c>
      <c r="D5542" s="1">
        <v>46138.175000000003</v>
      </c>
      <c r="E5542" s="2">
        <f t="shared" si="86"/>
        <v>38.995833333334303</v>
      </c>
    </row>
    <row r="5543" spans="1:5" x14ac:dyDescent="0.25">
      <c r="A5543" t="s">
        <v>15</v>
      </c>
      <c r="B5543" t="s">
        <v>38</v>
      </c>
      <c r="C5543" s="1">
        <v>46047.075694444437</v>
      </c>
      <c r="D5543" s="1">
        <v>46091.270833333343</v>
      </c>
      <c r="E5543" s="2">
        <f t="shared" si="86"/>
        <v>44.195138888906513</v>
      </c>
    </row>
    <row r="5544" spans="1:5" x14ac:dyDescent="0.25">
      <c r="A5544" t="s">
        <v>15</v>
      </c>
      <c r="B5544" t="s">
        <v>8</v>
      </c>
      <c r="C5544" s="1">
        <v>45766.308333333327</v>
      </c>
      <c r="D5544" s="1">
        <v>45815.175694444442</v>
      </c>
      <c r="E5544" s="2">
        <f t="shared" si="86"/>
        <v>48.867361111115315</v>
      </c>
    </row>
    <row r="5545" spans="1:5" x14ac:dyDescent="0.25">
      <c r="A5545" t="s">
        <v>15</v>
      </c>
      <c r="B5545" t="s">
        <v>38</v>
      </c>
      <c r="C5545" s="1">
        <v>46218.135567129633</v>
      </c>
      <c r="D5545" s="1">
        <v>46274.261631944442</v>
      </c>
      <c r="E5545" s="2">
        <f t="shared" si="86"/>
        <v>56.12606481480907</v>
      </c>
    </row>
    <row r="5546" spans="1:5" x14ac:dyDescent="0.25">
      <c r="A5546" t="s">
        <v>15</v>
      </c>
      <c r="B5546" t="s">
        <v>8</v>
      </c>
      <c r="C5546" s="1">
        <v>45791.95</v>
      </c>
      <c r="D5546" s="1">
        <v>45873</v>
      </c>
      <c r="E5546" s="2">
        <f t="shared" si="86"/>
        <v>81.05000000000291</v>
      </c>
    </row>
    <row r="5547" spans="1:5" x14ac:dyDescent="0.25">
      <c r="A5547" t="s">
        <v>15</v>
      </c>
      <c r="B5547" t="s">
        <v>8</v>
      </c>
      <c r="C5547" s="1">
        <v>46099.179166666669</v>
      </c>
      <c r="D5547" s="1">
        <v>46138.175000000003</v>
      </c>
      <c r="E5547" s="2">
        <f t="shared" si="86"/>
        <v>38.995833333334303</v>
      </c>
    </row>
    <row r="5548" spans="1:5" x14ac:dyDescent="0.25">
      <c r="A5548" t="s">
        <v>15</v>
      </c>
      <c r="B5548" t="s">
        <v>8</v>
      </c>
      <c r="C5548" s="1">
        <v>45838.1</v>
      </c>
      <c r="D5548" s="1">
        <v>45889.556944444441</v>
      </c>
      <c r="E5548" s="2">
        <f t="shared" si="86"/>
        <v>51.456944444442343</v>
      </c>
    </row>
    <row r="5549" spans="1:5" x14ac:dyDescent="0.25">
      <c r="A5549" t="s">
        <v>15</v>
      </c>
      <c r="B5549" t="s">
        <v>38</v>
      </c>
      <c r="C5549" s="1">
        <v>46037.900694444441</v>
      </c>
      <c r="D5549" s="1">
        <v>46083.218055555553</v>
      </c>
      <c r="E5549" s="2">
        <f t="shared" si="86"/>
        <v>45.317361111112405</v>
      </c>
    </row>
    <row r="5550" spans="1:5" x14ac:dyDescent="0.25">
      <c r="A5550" t="s">
        <v>15</v>
      </c>
      <c r="B5550" t="s">
        <v>8</v>
      </c>
      <c r="C5550" s="1">
        <v>45874.927777777782</v>
      </c>
      <c r="D5550" s="1">
        <v>45923.416666666657</v>
      </c>
      <c r="E5550" s="2">
        <f t="shared" si="86"/>
        <v>48.488888888874499</v>
      </c>
    </row>
    <row r="5551" spans="1:5" x14ac:dyDescent="0.25">
      <c r="A5551" t="s">
        <v>15</v>
      </c>
      <c r="B5551" t="s">
        <v>8</v>
      </c>
      <c r="C5551" s="1">
        <v>45908.253472222219</v>
      </c>
      <c r="D5551" s="1">
        <v>45955.75</v>
      </c>
      <c r="E5551" s="2">
        <f t="shared" si="86"/>
        <v>47.496527777781012</v>
      </c>
    </row>
    <row r="5552" spans="1:5" x14ac:dyDescent="0.25">
      <c r="A5552" t="s">
        <v>15</v>
      </c>
      <c r="B5552" t="s">
        <v>8</v>
      </c>
      <c r="C5552" s="1">
        <v>45807.635416666657</v>
      </c>
      <c r="D5552" s="1">
        <v>45858.363888888889</v>
      </c>
      <c r="E5552" s="2">
        <f t="shared" si="86"/>
        <v>50.728472222232085</v>
      </c>
    </row>
    <row r="5553" spans="1:5" x14ac:dyDescent="0.25">
      <c r="A5553" t="s">
        <v>15</v>
      </c>
      <c r="B5553" t="s">
        <v>8</v>
      </c>
      <c r="C5553" s="1">
        <v>46128.64166666667</v>
      </c>
      <c r="D5553" s="1">
        <v>46175.798611111109</v>
      </c>
      <c r="E5553" s="2">
        <f t="shared" si="86"/>
        <v>47.156944444439432</v>
      </c>
    </row>
    <row r="5554" spans="1:5" x14ac:dyDescent="0.25">
      <c r="A5554" t="s">
        <v>15</v>
      </c>
      <c r="B5554" t="s">
        <v>8</v>
      </c>
      <c r="C5554" s="1">
        <v>46229.473611111112</v>
      </c>
      <c r="D5554" s="1">
        <v>46268.117361111108</v>
      </c>
      <c r="E5554" s="2">
        <f t="shared" si="86"/>
        <v>38.643749999995634</v>
      </c>
    </row>
    <row r="5555" spans="1:5" x14ac:dyDescent="0.25">
      <c r="A5555" t="s">
        <v>15</v>
      </c>
      <c r="B5555" t="s">
        <v>16</v>
      </c>
      <c r="C5555" s="1">
        <v>46165.148611111108</v>
      </c>
      <c r="D5555" s="1">
        <v>46183.720833333333</v>
      </c>
      <c r="E5555" s="2">
        <f t="shared" si="86"/>
        <v>18.572222222224809</v>
      </c>
    </row>
    <row r="5556" spans="1:5" x14ac:dyDescent="0.25">
      <c r="A5556" t="s">
        <v>34</v>
      </c>
      <c r="B5556" t="s">
        <v>8</v>
      </c>
      <c r="C5556" s="1">
        <v>46025.618750000001</v>
      </c>
      <c r="D5556" s="1">
        <v>46058.763194444437</v>
      </c>
      <c r="E5556" s="2">
        <f t="shared" si="86"/>
        <v>33.144444444435067</v>
      </c>
    </row>
    <row r="5557" spans="1:5" x14ac:dyDescent="0.25">
      <c r="A5557" t="s">
        <v>22</v>
      </c>
      <c r="B5557" t="s">
        <v>19</v>
      </c>
      <c r="C5557" s="1">
        <v>45803.65625</v>
      </c>
      <c r="D5557" s="1">
        <v>45854.040972222218</v>
      </c>
      <c r="E5557" s="2">
        <f t="shared" si="86"/>
        <v>50.384722222217533</v>
      </c>
    </row>
    <row r="5558" spans="1:5" x14ac:dyDescent="0.25">
      <c r="A5558" t="s">
        <v>7</v>
      </c>
      <c r="B5558" t="s">
        <v>25</v>
      </c>
      <c r="C5558" s="1">
        <v>46125.725694444453</v>
      </c>
      <c r="D5558" s="1">
        <v>46189.911805555559</v>
      </c>
      <c r="E5558" s="2">
        <f t="shared" si="86"/>
        <v>64.186111111106584</v>
      </c>
    </row>
    <row r="5559" spans="1:5" x14ac:dyDescent="0.25">
      <c r="A5559" t="s">
        <v>15</v>
      </c>
      <c r="B5559" t="s">
        <v>8</v>
      </c>
      <c r="C5559" s="1">
        <v>46240.884722222218</v>
      </c>
      <c r="D5559" s="1">
        <v>46278.113888888889</v>
      </c>
      <c r="E5559" s="2">
        <f t="shared" si="86"/>
        <v>37.229166666671517</v>
      </c>
    </row>
    <row r="5560" spans="1:5" x14ac:dyDescent="0.25">
      <c r="A5560" t="s">
        <v>15</v>
      </c>
      <c r="B5560" t="s">
        <v>16</v>
      </c>
      <c r="C5560" s="1">
        <v>46163.05972222222</v>
      </c>
      <c r="D5560" s="1">
        <v>46179.949305555558</v>
      </c>
      <c r="E5560" s="2">
        <f t="shared" si="86"/>
        <v>16.889583333337214</v>
      </c>
    </row>
    <row r="5561" spans="1:5" x14ac:dyDescent="0.25">
      <c r="A5561" t="s">
        <v>15</v>
      </c>
      <c r="B5561" t="s">
        <v>8</v>
      </c>
      <c r="C5561" s="1">
        <v>46031.183333333327</v>
      </c>
      <c r="D5561" s="1">
        <v>46074.836805555547</v>
      </c>
      <c r="E5561" s="2">
        <f t="shared" si="86"/>
        <v>43.653472222220444</v>
      </c>
    </row>
    <row r="5562" spans="1:5" x14ac:dyDescent="0.25">
      <c r="A5562" t="s">
        <v>22</v>
      </c>
      <c r="B5562" t="s">
        <v>14</v>
      </c>
      <c r="C5562" s="1">
        <v>45666.694444444453</v>
      </c>
      <c r="D5562" s="1">
        <v>45736.569444444453</v>
      </c>
      <c r="E5562" s="2">
        <f t="shared" si="86"/>
        <v>69.875</v>
      </c>
    </row>
    <row r="5563" spans="1:5" x14ac:dyDescent="0.25">
      <c r="A5563" t="s">
        <v>7</v>
      </c>
      <c r="B5563" t="s">
        <v>8</v>
      </c>
      <c r="C5563" s="1">
        <v>45792.854166666657</v>
      </c>
      <c r="D5563" s="1">
        <v>45839.333333333343</v>
      </c>
      <c r="E5563" s="2">
        <f t="shared" si="86"/>
        <v>46.479166666686069</v>
      </c>
    </row>
    <row r="5564" spans="1:5" x14ac:dyDescent="0.25">
      <c r="A5564" t="s">
        <v>41</v>
      </c>
      <c r="B5564" t="s">
        <v>8</v>
      </c>
      <c r="C5564" s="1">
        <v>46226.589583333327</v>
      </c>
      <c r="D5564" s="1">
        <v>46267.742361111108</v>
      </c>
      <c r="E5564" s="2">
        <f t="shared" si="86"/>
        <v>41.152777777781012</v>
      </c>
    </row>
    <row r="5565" spans="1:5" x14ac:dyDescent="0.25">
      <c r="A5565" t="s">
        <v>8</v>
      </c>
      <c r="B5565" t="s">
        <v>27</v>
      </c>
      <c r="C5565" s="1">
        <v>45761.47152777778</v>
      </c>
      <c r="D5565" s="1">
        <v>45812.776388888888</v>
      </c>
      <c r="E5565" s="2">
        <f t="shared" si="86"/>
        <v>51.304861111108039</v>
      </c>
    </row>
    <row r="5566" spans="1:5" x14ac:dyDescent="0.25">
      <c r="A5566" t="s">
        <v>19</v>
      </c>
      <c r="B5566" t="s">
        <v>8</v>
      </c>
      <c r="C5566" s="1">
        <v>45694.916666666657</v>
      </c>
      <c r="D5566" s="1">
        <v>45733.46875</v>
      </c>
      <c r="E5566" s="2">
        <f t="shared" si="86"/>
        <v>38.552083333343035</v>
      </c>
    </row>
    <row r="5567" spans="1:5" x14ac:dyDescent="0.25">
      <c r="A5567" t="s">
        <v>7</v>
      </c>
      <c r="B5567" t="s">
        <v>8</v>
      </c>
      <c r="C5567" s="1">
        <v>45891.654166666667</v>
      </c>
      <c r="D5567" s="1">
        <v>45938.662499999999</v>
      </c>
      <c r="E5567" s="2">
        <f t="shared" si="86"/>
        <v>47.008333333331393</v>
      </c>
    </row>
    <row r="5568" spans="1:5" x14ac:dyDescent="0.25">
      <c r="A5568" t="s">
        <v>5</v>
      </c>
      <c r="B5568" t="s">
        <v>8</v>
      </c>
      <c r="C5568" s="1">
        <v>45982.8</v>
      </c>
      <c r="D5568" s="1">
        <v>46017.370833333327</v>
      </c>
      <c r="E5568" s="2">
        <f t="shared" si="86"/>
        <v>34.570833333324117</v>
      </c>
    </row>
    <row r="5569" spans="1:5" x14ac:dyDescent="0.25">
      <c r="A5569" t="s">
        <v>7</v>
      </c>
      <c r="B5569" t="s">
        <v>8</v>
      </c>
      <c r="C5569" s="1">
        <v>45822.8</v>
      </c>
      <c r="D5569" s="1">
        <v>45875.612500000003</v>
      </c>
      <c r="E5569" s="2">
        <f t="shared" si="86"/>
        <v>52.8125</v>
      </c>
    </row>
    <row r="5570" spans="1:5" x14ac:dyDescent="0.25">
      <c r="A5570" t="s">
        <v>15</v>
      </c>
      <c r="B5570" t="s">
        <v>18</v>
      </c>
      <c r="C5570" s="1">
        <v>45979.25</v>
      </c>
      <c r="D5570" s="1">
        <v>46031.791666666657</v>
      </c>
      <c r="E5570" s="2">
        <f t="shared" ref="E5570:E5633" si="87">D5570-C5570</f>
        <v>52.541666666656965</v>
      </c>
    </row>
    <row r="5571" spans="1:5" x14ac:dyDescent="0.25">
      <c r="A5571" t="s">
        <v>28</v>
      </c>
      <c r="B5571" t="s">
        <v>24</v>
      </c>
      <c r="C5571" s="1">
        <v>45862.888888888891</v>
      </c>
      <c r="D5571" s="1">
        <v>45931.979166666657</v>
      </c>
      <c r="E5571" s="2">
        <f t="shared" si="87"/>
        <v>69.09027777776646</v>
      </c>
    </row>
    <row r="5572" spans="1:5" x14ac:dyDescent="0.25">
      <c r="A5572" t="s">
        <v>7</v>
      </c>
      <c r="B5572" t="s">
        <v>11</v>
      </c>
      <c r="C5572" s="1">
        <v>45722.26666666667</v>
      </c>
      <c r="D5572" s="1">
        <v>45798.572916666657</v>
      </c>
      <c r="E5572" s="2">
        <f t="shared" si="87"/>
        <v>76.306249999986903</v>
      </c>
    </row>
    <row r="5573" spans="1:5" x14ac:dyDescent="0.25">
      <c r="A5573" t="s">
        <v>23</v>
      </c>
      <c r="B5573" t="s">
        <v>18</v>
      </c>
      <c r="C5573" s="1">
        <v>45919.554166666669</v>
      </c>
      <c r="D5573" s="1">
        <v>45970.963194444441</v>
      </c>
      <c r="E5573" s="2">
        <f t="shared" si="87"/>
        <v>51.40902777777228</v>
      </c>
    </row>
    <row r="5574" spans="1:5" x14ac:dyDescent="0.25">
      <c r="A5574" t="s">
        <v>11</v>
      </c>
      <c r="B5574" t="s">
        <v>37</v>
      </c>
      <c r="C5574" s="1">
        <v>46105.210416666669</v>
      </c>
      <c r="D5574" s="1">
        <v>46120.533935185187</v>
      </c>
      <c r="E5574" s="2">
        <f t="shared" si="87"/>
        <v>15.32351851851854</v>
      </c>
    </row>
    <row r="5575" spans="1:5" x14ac:dyDescent="0.25">
      <c r="A5575" t="s">
        <v>28</v>
      </c>
      <c r="B5575" t="s">
        <v>8</v>
      </c>
      <c r="C5575" s="1">
        <v>45883.958333333343</v>
      </c>
      <c r="D5575" s="1">
        <v>45976.125</v>
      </c>
      <c r="E5575" s="2">
        <f t="shared" si="87"/>
        <v>92.166666666656965</v>
      </c>
    </row>
    <row r="5576" spans="1:5" x14ac:dyDescent="0.25">
      <c r="A5576" t="s">
        <v>7</v>
      </c>
      <c r="B5576" t="s">
        <v>11</v>
      </c>
      <c r="C5576" s="1">
        <v>45738.083333333343</v>
      </c>
      <c r="D5576" s="1">
        <v>45819.366666666669</v>
      </c>
      <c r="E5576" s="2">
        <f t="shared" si="87"/>
        <v>81.283333333325572</v>
      </c>
    </row>
    <row r="5577" spans="1:5" x14ac:dyDescent="0.25">
      <c r="A5577" t="s">
        <v>16</v>
      </c>
      <c r="B5577" t="s">
        <v>13</v>
      </c>
      <c r="C5577" s="1">
        <v>45674.50277777778</v>
      </c>
      <c r="D5577" s="1">
        <v>45714.583333333343</v>
      </c>
      <c r="E5577" s="2">
        <f t="shared" si="87"/>
        <v>40.080555555563478</v>
      </c>
    </row>
    <row r="5578" spans="1:5" x14ac:dyDescent="0.25">
      <c r="A5578" t="s">
        <v>12</v>
      </c>
      <c r="B5578" t="s">
        <v>13</v>
      </c>
      <c r="C5578" s="1">
        <v>45859.895833333343</v>
      </c>
      <c r="D5578" s="1">
        <v>45906.245833333327</v>
      </c>
      <c r="E5578" s="2">
        <f t="shared" si="87"/>
        <v>46.349999999983993</v>
      </c>
    </row>
    <row r="5579" spans="1:5" x14ac:dyDescent="0.25">
      <c r="A5579" t="s">
        <v>11</v>
      </c>
      <c r="B5579" t="s">
        <v>21</v>
      </c>
      <c r="C5579" s="1">
        <v>46087.958333333343</v>
      </c>
      <c r="D5579" s="1">
        <v>46098.816666666673</v>
      </c>
      <c r="E5579" s="2">
        <f t="shared" si="87"/>
        <v>10.858333333329938</v>
      </c>
    </row>
    <row r="5580" spans="1:5" x14ac:dyDescent="0.25">
      <c r="A5580" t="s">
        <v>7</v>
      </c>
      <c r="B5580" t="s">
        <v>8</v>
      </c>
      <c r="C5580" s="1">
        <v>45911.283333333333</v>
      </c>
      <c r="D5580" s="1">
        <v>45949.068055555559</v>
      </c>
      <c r="E5580" s="2">
        <f t="shared" si="87"/>
        <v>37.784722222226264</v>
      </c>
    </row>
    <row r="5581" spans="1:5" x14ac:dyDescent="0.25">
      <c r="A5581" t="s">
        <v>7</v>
      </c>
      <c r="B5581" t="s">
        <v>8</v>
      </c>
      <c r="C5581" s="1">
        <v>45792.854166666657</v>
      </c>
      <c r="D5581" s="1">
        <v>45839.3125</v>
      </c>
      <c r="E5581" s="2">
        <f t="shared" si="87"/>
        <v>46.458333333343035</v>
      </c>
    </row>
    <row r="5582" spans="1:5" x14ac:dyDescent="0.25">
      <c r="A5582" t="s">
        <v>5</v>
      </c>
      <c r="B5582" t="s">
        <v>8</v>
      </c>
      <c r="C5582" s="1">
        <v>46072.658333333333</v>
      </c>
      <c r="D5582" s="1">
        <v>46107.929166666669</v>
      </c>
      <c r="E5582" s="2">
        <f t="shared" si="87"/>
        <v>35.270833333335759</v>
      </c>
    </row>
    <row r="5583" spans="1:5" x14ac:dyDescent="0.25">
      <c r="A5583" t="s">
        <v>7</v>
      </c>
      <c r="B5583" t="s">
        <v>11</v>
      </c>
      <c r="C5583" s="1">
        <v>45836.792361111111</v>
      </c>
      <c r="D5583" s="1">
        <v>45909.995833333327</v>
      </c>
      <c r="E5583" s="2">
        <f t="shared" si="87"/>
        <v>73.203472222216078</v>
      </c>
    </row>
    <row r="5584" spans="1:5" x14ac:dyDescent="0.25">
      <c r="A5584" t="s">
        <v>7</v>
      </c>
      <c r="B5584" t="s">
        <v>13</v>
      </c>
      <c r="C5584" s="1">
        <v>46056.75</v>
      </c>
      <c r="D5584" s="1">
        <v>46107</v>
      </c>
      <c r="E5584" s="2">
        <f t="shared" si="87"/>
        <v>50.25</v>
      </c>
    </row>
    <row r="5585" spans="1:5" x14ac:dyDescent="0.25">
      <c r="A5585" t="s">
        <v>16</v>
      </c>
      <c r="B5585" t="s">
        <v>13</v>
      </c>
      <c r="C5585" s="1">
        <v>45744.76666666667</v>
      </c>
      <c r="D5585" s="1">
        <v>45785.365972222222</v>
      </c>
      <c r="E5585" s="2">
        <f t="shared" si="87"/>
        <v>40.599305555551837</v>
      </c>
    </row>
    <row r="5586" spans="1:5" x14ac:dyDescent="0.25">
      <c r="A5586" t="s">
        <v>22</v>
      </c>
      <c r="B5586" t="s">
        <v>14</v>
      </c>
      <c r="C5586" s="1">
        <v>45679.180462962962</v>
      </c>
      <c r="D5586" s="1">
        <v>45735.804166666669</v>
      </c>
      <c r="E5586" s="2">
        <f t="shared" si="87"/>
        <v>56.623703703706269</v>
      </c>
    </row>
    <row r="5587" spans="1:5" x14ac:dyDescent="0.25">
      <c r="A5587" t="s">
        <v>5</v>
      </c>
      <c r="B5587" t="s">
        <v>8</v>
      </c>
      <c r="C5587" s="1">
        <v>46025.436111111107</v>
      </c>
      <c r="D5587" s="1">
        <v>46071.058333333327</v>
      </c>
      <c r="E5587" s="2">
        <f t="shared" si="87"/>
        <v>45.622222222220444</v>
      </c>
    </row>
    <row r="5588" spans="1:5" x14ac:dyDescent="0.25">
      <c r="A5588" t="s">
        <v>5</v>
      </c>
      <c r="B5588" t="s">
        <v>8</v>
      </c>
      <c r="C5588" s="1">
        <v>46088.612500000003</v>
      </c>
      <c r="D5588" s="1">
        <v>46141.354166666657</v>
      </c>
      <c r="E5588" s="2">
        <f t="shared" si="87"/>
        <v>52.741666666654055</v>
      </c>
    </row>
    <row r="5589" spans="1:5" x14ac:dyDescent="0.25">
      <c r="A5589" t="s">
        <v>5</v>
      </c>
      <c r="B5589" t="s">
        <v>8</v>
      </c>
      <c r="C5589" s="1">
        <v>46018.725694444453</v>
      </c>
      <c r="D5589" s="1">
        <v>46071.058333333327</v>
      </c>
      <c r="E5589" s="2">
        <f t="shared" si="87"/>
        <v>52.332638888874499</v>
      </c>
    </row>
    <row r="5590" spans="1:5" x14ac:dyDescent="0.25">
      <c r="A5590" t="s">
        <v>5</v>
      </c>
      <c r="B5590" t="s">
        <v>8</v>
      </c>
      <c r="C5590" s="1">
        <v>46128.754166666673</v>
      </c>
      <c r="D5590" s="1">
        <v>46162.866666666669</v>
      </c>
      <c r="E5590" s="2">
        <f t="shared" si="87"/>
        <v>34.112499999995634</v>
      </c>
    </row>
    <row r="5591" spans="1:5" x14ac:dyDescent="0.25">
      <c r="A5591" t="s">
        <v>7</v>
      </c>
      <c r="B5591" t="s">
        <v>8</v>
      </c>
      <c r="C5591" s="1">
        <v>45911.604166666657</v>
      </c>
      <c r="D5591" s="1">
        <v>45948.104166666657</v>
      </c>
      <c r="E5591" s="2">
        <f t="shared" si="87"/>
        <v>36.5</v>
      </c>
    </row>
    <row r="5592" spans="1:5" x14ac:dyDescent="0.25">
      <c r="A5592" t="s">
        <v>7</v>
      </c>
      <c r="B5592" t="s">
        <v>8</v>
      </c>
      <c r="C5592" s="1">
        <v>45911.604166666657</v>
      </c>
      <c r="D5592" s="1">
        <v>45948.104166666657</v>
      </c>
      <c r="E5592" s="2">
        <f t="shared" si="87"/>
        <v>36.5</v>
      </c>
    </row>
    <row r="5593" spans="1:5" x14ac:dyDescent="0.25">
      <c r="A5593" t="s">
        <v>15</v>
      </c>
      <c r="B5593" t="s">
        <v>38</v>
      </c>
      <c r="C5593" s="1">
        <v>46192.579826388886</v>
      </c>
      <c r="D5593" s="1">
        <v>46246.558333333327</v>
      </c>
      <c r="E5593" s="2">
        <f t="shared" si="87"/>
        <v>53.978506944440596</v>
      </c>
    </row>
    <row r="5594" spans="1:5" x14ac:dyDescent="0.25">
      <c r="A5594" t="s">
        <v>7</v>
      </c>
      <c r="B5594" t="s">
        <v>8</v>
      </c>
      <c r="C5594" s="1">
        <v>45843.85</v>
      </c>
      <c r="D5594" s="1">
        <v>45910.25</v>
      </c>
      <c r="E5594" s="2">
        <f t="shared" si="87"/>
        <v>66.400000000001455</v>
      </c>
    </row>
    <row r="5595" spans="1:5" x14ac:dyDescent="0.25">
      <c r="A5595" t="s">
        <v>15</v>
      </c>
      <c r="B5595" t="s">
        <v>38</v>
      </c>
      <c r="C5595" s="1">
        <v>46145.363888888889</v>
      </c>
      <c r="D5595" s="1">
        <v>46190.424305555563</v>
      </c>
      <c r="E5595" s="2">
        <f t="shared" si="87"/>
        <v>45.060416666674428</v>
      </c>
    </row>
    <row r="5596" spans="1:5" x14ac:dyDescent="0.25">
      <c r="A5596" t="s">
        <v>10</v>
      </c>
      <c r="B5596" t="s">
        <v>11</v>
      </c>
      <c r="C5596" s="1">
        <v>45825.221238425933</v>
      </c>
      <c r="D5596" s="1">
        <v>45853.879166666673</v>
      </c>
      <c r="E5596" s="2">
        <f t="shared" si="87"/>
        <v>28.657928240740148</v>
      </c>
    </row>
    <row r="5597" spans="1:5" x14ac:dyDescent="0.25">
      <c r="A5597" t="s">
        <v>5</v>
      </c>
      <c r="B5597" t="s">
        <v>8</v>
      </c>
      <c r="C5597" s="1">
        <v>46049.5</v>
      </c>
      <c r="D5597" s="1">
        <v>46091.345833333333</v>
      </c>
      <c r="E5597" s="2">
        <f t="shared" si="87"/>
        <v>41.845833333332848</v>
      </c>
    </row>
    <row r="5598" spans="1:5" x14ac:dyDescent="0.25">
      <c r="A5598" t="s">
        <v>14</v>
      </c>
      <c r="B5598" t="s">
        <v>22</v>
      </c>
      <c r="C5598" s="1">
        <v>45750.891493055547</v>
      </c>
      <c r="D5598" s="1">
        <v>45802.333333333343</v>
      </c>
      <c r="E5598" s="2">
        <f t="shared" si="87"/>
        <v>51.441840277795563</v>
      </c>
    </row>
    <row r="5599" spans="1:5" x14ac:dyDescent="0.25">
      <c r="A5599" t="s">
        <v>7</v>
      </c>
      <c r="B5599" t="s">
        <v>13</v>
      </c>
      <c r="C5599" s="1">
        <v>45869.5</v>
      </c>
      <c r="D5599" s="1">
        <v>45919</v>
      </c>
      <c r="E5599" s="2">
        <f t="shared" si="87"/>
        <v>49.5</v>
      </c>
    </row>
    <row r="5600" spans="1:5" x14ac:dyDescent="0.25">
      <c r="A5600" t="s">
        <v>13</v>
      </c>
      <c r="B5600" t="s">
        <v>8</v>
      </c>
      <c r="C5600" s="1">
        <v>45929.5</v>
      </c>
      <c r="D5600" s="1">
        <v>45957.322222222218</v>
      </c>
      <c r="E5600" s="2">
        <f t="shared" si="87"/>
        <v>27.822222222217533</v>
      </c>
    </row>
    <row r="5601" spans="1:5" x14ac:dyDescent="0.25">
      <c r="A5601" t="s">
        <v>7</v>
      </c>
      <c r="B5601" t="s">
        <v>8</v>
      </c>
      <c r="C5601" s="1">
        <v>45903.083333333343</v>
      </c>
      <c r="D5601" s="1">
        <v>45938.662499999999</v>
      </c>
      <c r="E5601" s="2">
        <f t="shared" si="87"/>
        <v>35.57916666665551</v>
      </c>
    </row>
    <row r="5602" spans="1:5" x14ac:dyDescent="0.25">
      <c r="A5602" t="s">
        <v>11</v>
      </c>
      <c r="B5602" t="s">
        <v>19</v>
      </c>
      <c r="C5602" s="1">
        <v>46157.958333333343</v>
      </c>
      <c r="D5602" s="1">
        <v>46221.254166666673</v>
      </c>
      <c r="E5602" s="2">
        <f t="shared" si="87"/>
        <v>63.295833333329938</v>
      </c>
    </row>
    <row r="5603" spans="1:5" x14ac:dyDescent="0.25">
      <c r="A5603" t="s">
        <v>7</v>
      </c>
      <c r="B5603" t="s">
        <v>11</v>
      </c>
      <c r="C5603" s="1">
        <v>46005.17083333333</v>
      </c>
      <c r="D5603" s="1">
        <v>46092.324999999997</v>
      </c>
      <c r="E5603" s="2">
        <f t="shared" si="87"/>
        <v>87.154166666667152</v>
      </c>
    </row>
    <row r="5604" spans="1:5" x14ac:dyDescent="0.25">
      <c r="A5604" t="s">
        <v>7</v>
      </c>
      <c r="B5604" t="s">
        <v>8</v>
      </c>
      <c r="C5604" s="1">
        <v>45822.8</v>
      </c>
      <c r="D5604" s="1">
        <v>45875.612500000003</v>
      </c>
      <c r="E5604" s="2">
        <f t="shared" si="87"/>
        <v>52.8125</v>
      </c>
    </row>
    <row r="5605" spans="1:5" x14ac:dyDescent="0.25">
      <c r="A5605" t="s">
        <v>10</v>
      </c>
      <c r="B5605" t="s">
        <v>11</v>
      </c>
      <c r="C5605" s="1">
        <v>45737.888275462959</v>
      </c>
      <c r="D5605" s="1">
        <v>45769.287499999999</v>
      </c>
      <c r="E5605" s="2">
        <f t="shared" si="87"/>
        <v>31.399224537039117</v>
      </c>
    </row>
    <row r="5606" spans="1:5" x14ac:dyDescent="0.25">
      <c r="A5606" t="s">
        <v>7</v>
      </c>
      <c r="B5606" t="s">
        <v>8</v>
      </c>
      <c r="C5606" s="1">
        <v>45882.166666666657</v>
      </c>
      <c r="D5606" s="1">
        <v>45938.662499999999</v>
      </c>
      <c r="E5606" s="2">
        <f t="shared" si="87"/>
        <v>56.495833333341579</v>
      </c>
    </row>
    <row r="5607" spans="1:5" x14ac:dyDescent="0.25">
      <c r="A5607" t="s">
        <v>7</v>
      </c>
      <c r="B5607" t="s">
        <v>8</v>
      </c>
      <c r="C5607" s="1">
        <v>45940.345833333333</v>
      </c>
      <c r="D5607" s="1">
        <v>45989.166666666657</v>
      </c>
      <c r="E5607" s="2">
        <f t="shared" si="87"/>
        <v>48.820833333324117</v>
      </c>
    </row>
    <row r="5608" spans="1:5" x14ac:dyDescent="0.25">
      <c r="A5608" t="s">
        <v>5</v>
      </c>
      <c r="B5608" t="s">
        <v>8</v>
      </c>
      <c r="C5608" s="1">
        <v>46088.612500000003</v>
      </c>
      <c r="D5608" s="1">
        <v>46141.354166666657</v>
      </c>
      <c r="E5608" s="2">
        <f t="shared" si="87"/>
        <v>52.741666666654055</v>
      </c>
    </row>
    <row r="5609" spans="1:5" x14ac:dyDescent="0.25">
      <c r="A5609" t="s">
        <v>7</v>
      </c>
      <c r="B5609" t="s">
        <v>11</v>
      </c>
      <c r="C5609" s="1">
        <v>45751.771527777782</v>
      </c>
      <c r="D5609" s="1">
        <v>45840.291666666657</v>
      </c>
      <c r="E5609" s="2">
        <f t="shared" si="87"/>
        <v>88.520138888874499</v>
      </c>
    </row>
    <row r="5610" spans="1:5" x14ac:dyDescent="0.25">
      <c r="A5610" t="s">
        <v>12</v>
      </c>
      <c r="B5610" t="s">
        <v>13</v>
      </c>
      <c r="C5610" s="1">
        <v>45859.895833333343</v>
      </c>
      <c r="D5610" s="1">
        <v>45906.245833333327</v>
      </c>
      <c r="E5610" s="2">
        <f t="shared" si="87"/>
        <v>46.349999999983993</v>
      </c>
    </row>
    <row r="5611" spans="1:5" x14ac:dyDescent="0.25">
      <c r="A5611" t="s">
        <v>7</v>
      </c>
      <c r="B5611" t="s">
        <v>8</v>
      </c>
      <c r="C5611" s="1">
        <v>45891.654166666667</v>
      </c>
      <c r="D5611" s="1">
        <v>45938.662499999999</v>
      </c>
      <c r="E5611" s="2">
        <f t="shared" si="87"/>
        <v>47.008333333331393</v>
      </c>
    </row>
    <row r="5612" spans="1:5" x14ac:dyDescent="0.25">
      <c r="A5612" t="s">
        <v>7</v>
      </c>
      <c r="B5612" t="s">
        <v>8</v>
      </c>
      <c r="C5612" s="1">
        <v>45911.604166666657</v>
      </c>
      <c r="D5612" s="1">
        <v>45948.104166666657</v>
      </c>
      <c r="E5612" s="2">
        <f t="shared" si="87"/>
        <v>36.5</v>
      </c>
    </row>
    <row r="5613" spans="1:5" x14ac:dyDescent="0.25">
      <c r="A5613" t="s">
        <v>8</v>
      </c>
      <c r="B5613" t="s">
        <v>13</v>
      </c>
      <c r="C5613" s="1">
        <v>46127.597222222219</v>
      </c>
      <c r="D5613" s="1">
        <v>46165.245138888888</v>
      </c>
      <c r="E5613" s="2">
        <f t="shared" si="87"/>
        <v>37.647916666668607</v>
      </c>
    </row>
    <row r="5614" spans="1:5" x14ac:dyDescent="0.25">
      <c r="A5614" t="s">
        <v>61</v>
      </c>
      <c r="B5614" t="s">
        <v>62</v>
      </c>
      <c r="C5614" s="1">
        <v>45975.57203703704</v>
      </c>
      <c r="D5614" s="1">
        <v>46029.710416666669</v>
      </c>
      <c r="E5614" s="2">
        <f t="shared" si="87"/>
        <v>54.138379629628616</v>
      </c>
    </row>
    <row r="5615" spans="1:5" x14ac:dyDescent="0.25">
      <c r="A5615" t="s">
        <v>7</v>
      </c>
      <c r="B5615" t="s">
        <v>8</v>
      </c>
      <c r="C5615" s="1">
        <v>45931.208333333343</v>
      </c>
      <c r="D5615" s="1">
        <v>45966.508333333331</v>
      </c>
      <c r="E5615" s="2">
        <f t="shared" si="87"/>
        <v>35.299999999988358</v>
      </c>
    </row>
    <row r="5616" spans="1:5" x14ac:dyDescent="0.25">
      <c r="A5616" t="s">
        <v>5</v>
      </c>
      <c r="B5616" t="s">
        <v>8</v>
      </c>
      <c r="C5616" s="1">
        <v>46072.658333333333</v>
      </c>
      <c r="D5616" s="1">
        <v>46107.929166666669</v>
      </c>
      <c r="E5616" s="2">
        <f t="shared" si="87"/>
        <v>35.270833333335759</v>
      </c>
    </row>
    <row r="5617" spans="1:5" x14ac:dyDescent="0.25">
      <c r="A5617" t="s">
        <v>12</v>
      </c>
      <c r="B5617" t="s">
        <v>13</v>
      </c>
      <c r="C5617" s="1">
        <v>45911.45416666667</v>
      </c>
      <c r="D5617" s="1">
        <v>45958.50277777778</v>
      </c>
      <c r="E5617" s="2">
        <f t="shared" si="87"/>
        <v>47.048611111109494</v>
      </c>
    </row>
    <row r="5618" spans="1:5" x14ac:dyDescent="0.25">
      <c r="A5618" t="s">
        <v>5</v>
      </c>
      <c r="B5618" t="s">
        <v>8</v>
      </c>
      <c r="C5618" s="1">
        <v>46072.658333333333</v>
      </c>
      <c r="D5618" s="1">
        <v>46107.929166666669</v>
      </c>
      <c r="E5618" s="2">
        <f t="shared" si="87"/>
        <v>35.270833333335759</v>
      </c>
    </row>
    <row r="5619" spans="1:5" x14ac:dyDescent="0.25">
      <c r="A5619" t="s">
        <v>5</v>
      </c>
      <c r="B5619" t="s">
        <v>8</v>
      </c>
      <c r="C5619" s="1">
        <v>46049.5</v>
      </c>
      <c r="D5619" s="1">
        <v>46091.345833333333</v>
      </c>
      <c r="E5619" s="2">
        <f t="shared" si="87"/>
        <v>41.845833333332848</v>
      </c>
    </row>
    <row r="5620" spans="1:5" x14ac:dyDescent="0.25">
      <c r="A5620" t="s">
        <v>7</v>
      </c>
      <c r="B5620" t="s">
        <v>8</v>
      </c>
      <c r="C5620" s="1">
        <v>45891.654166666667</v>
      </c>
      <c r="D5620" s="1">
        <v>45938.662499999999</v>
      </c>
      <c r="E5620" s="2">
        <f t="shared" si="87"/>
        <v>47.008333333331393</v>
      </c>
    </row>
    <row r="5621" spans="1:5" x14ac:dyDescent="0.25">
      <c r="A5621" t="s">
        <v>5</v>
      </c>
      <c r="B5621" t="s">
        <v>8</v>
      </c>
      <c r="C5621" s="1">
        <v>46078.916666666657</v>
      </c>
      <c r="D5621" s="1">
        <v>46113.395833333343</v>
      </c>
      <c r="E5621" s="2">
        <f t="shared" si="87"/>
        <v>34.479166666686069</v>
      </c>
    </row>
    <row r="5622" spans="1:5" x14ac:dyDescent="0.25">
      <c r="A5622" t="s">
        <v>5</v>
      </c>
      <c r="B5622" t="s">
        <v>8</v>
      </c>
      <c r="C5622" s="1">
        <v>45958.999305555553</v>
      </c>
      <c r="D5622" s="1">
        <v>45993.345833333333</v>
      </c>
      <c r="E5622" s="2">
        <f t="shared" si="87"/>
        <v>34.346527777779556</v>
      </c>
    </row>
    <row r="5623" spans="1:5" x14ac:dyDescent="0.25">
      <c r="A5623" t="s">
        <v>5</v>
      </c>
      <c r="B5623" t="s">
        <v>8</v>
      </c>
      <c r="C5623" s="1">
        <v>46088.612500000003</v>
      </c>
      <c r="D5623" s="1">
        <v>46141.354166666657</v>
      </c>
      <c r="E5623" s="2">
        <f t="shared" si="87"/>
        <v>52.741666666654055</v>
      </c>
    </row>
    <row r="5624" spans="1:5" x14ac:dyDescent="0.25">
      <c r="A5624" t="s">
        <v>22</v>
      </c>
      <c r="B5624" t="s">
        <v>14</v>
      </c>
      <c r="C5624" s="1">
        <v>45768.991863425923</v>
      </c>
      <c r="D5624" s="1">
        <v>45822.563888888893</v>
      </c>
      <c r="E5624" s="2">
        <f t="shared" si="87"/>
        <v>53.572025462970487</v>
      </c>
    </row>
    <row r="5625" spans="1:5" x14ac:dyDescent="0.25">
      <c r="A5625" t="s">
        <v>23</v>
      </c>
      <c r="B5625" t="s">
        <v>30</v>
      </c>
      <c r="C5625" s="1">
        <v>45908.715277777781</v>
      </c>
      <c r="D5625" s="1">
        <v>45947.677083333343</v>
      </c>
      <c r="E5625" s="2">
        <f t="shared" si="87"/>
        <v>38.961805555562023</v>
      </c>
    </row>
    <row r="5626" spans="1:5" x14ac:dyDescent="0.25">
      <c r="A5626" t="s">
        <v>16</v>
      </c>
      <c r="B5626" t="s">
        <v>11</v>
      </c>
      <c r="C5626" s="1">
        <v>46167.924305555563</v>
      </c>
      <c r="D5626" s="1">
        <v>46229.322916666657</v>
      </c>
      <c r="E5626" s="2">
        <f t="shared" si="87"/>
        <v>61.398611111093487</v>
      </c>
    </row>
    <row r="5627" spans="1:5" x14ac:dyDescent="0.25">
      <c r="A5627" t="s">
        <v>23</v>
      </c>
      <c r="B5627" t="s">
        <v>24</v>
      </c>
      <c r="C5627" s="1">
        <v>46050.504166666673</v>
      </c>
      <c r="D5627" s="1">
        <v>46112.487500000003</v>
      </c>
      <c r="E5627" s="2">
        <f t="shared" si="87"/>
        <v>61.983333333329938</v>
      </c>
    </row>
    <row r="5628" spans="1:5" x14ac:dyDescent="0.25">
      <c r="A5628" t="s">
        <v>17</v>
      </c>
      <c r="B5628" t="s">
        <v>18</v>
      </c>
      <c r="C5628" s="1">
        <v>45750.791666666657</v>
      </c>
      <c r="D5628" s="1">
        <v>45800.666666666657</v>
      </c>
      <c r="E5628" s="2">
        <f t="shared" si="87"/>
        <v>49.875</v>
      </c>
    </row>
    <row r="5629" spans="1:5" x14ac:dyDescent="0.25">
      <c r="A5629" t="s">
        <v>22</v>
      </c>
      <c r="B5629" t="s">
        <v>14</v>
      </c>
      <c r="C5629" s="1">
        <v>46141.989583333343</v>
      </c>
      <c r="D5629" s="1">
        <v>46198.788888888892</v>
      </c>
      <c r="E5629" s="2">
        <f t="shared" si="87"/>
        <v>56.799305555548926</v>
      </c>
    </row>
    <row r="5630" spans="1:5" x14ac:dyDescent="0.25">
      <c r="A5630" t="s">
        <v>23</v>
      </c>
      <c r="B5630" t="s">
        <v>8</v>
      </c>
      <c r="C5630" s="1">
        <v>46207.002083333333</v>
      </c>
      <c r="D5630" s="1">
        <v>46249.788194444453</v>
      </c>
      <c r="E5630" s="2">
        <f t="shared" si="87"/>
        <v>42.786111111119681</v>
      </c>
    </row>
    <row r="5631" spans="1:5" x14ac:dyDescent="0.25">
      <c r="A5631" t="s">
        <v>22</v>
      </c>
      <c r="B5631" t="s">
        <v>19</v>
      </c>
      <c r="C5631" s="1">
        <v>45896.181435185194</v>
      </c>
      <c r="D5631" s="1">
        <v>45938.941678240742</v>
      </c>
      <c r="E5631" s="2">
        <f t="shared" si="87"/>
        <v>42.760243055548926</v>
      </c>
    </row>
    <row r="5632" spans="1:5" x14ac:dyDescent="0.25">
      <c r="A5632" t="s">
        <v>11</v>
      </c>
      <c r="B5632" t="s">
        <v>7</v>
      </c>
      <c r="C5632" s="1">
        <v>46077.962500000001</v>
      </c>
      <c r="D5632" s="1">
        <v>46140.270833333343</v>
      </c>
      <c r="E5632" s="2">
        <f t="shared" si="87"/>
        <v>62.308333333341579</v>
      </c>
    </row>
    <row r="5633" spans="1:5" x14ac:dyDescent="0.25">
      <c r="A5633" t="s">
        <v>6</v>
      </c>
      <c r="B5633" t="s">
        <v>8</v>
      </c>
      <c r="C5633" s="1">
        <v>45768</v>
      </c>
      <c r="D5633" s="1">
        <v>45812.668749999997</v>
      </c>
      <c r="E5633" s="2">
        <f t="shared" si="87"/>
        <v>44.66874999999709</v>
      </c>
    </row>
    <row r="5634" spans="1:5" x14ac:dyDescent="0.25">
      <c r="A5634" t="s">
        <v>17</v>
      </c>
      <c r="B5634" t="s">
        <v>18</v>
      </c>
      <c r="C5634" s="1">
        <v>45681.708333333343</v>
      </c>
      <c r="D5634" s="1">
        <v>45732.921527777777</v>
      </c>
      <c r="E5634" s="2">
        <f t="shared" ref="E5634:E5697" si="88">D5634-C5634</f>
        <v>51.213194444433611</v>
      </c>
    </row>
    <row r="5635" spans="1:5" x14ac:dyDescent="0.25">
      <c r="A5635" t="s">
        <v>27</v>
      </c>
      <c r="B5635" t="s">
        <v>8</v>
      </c>
      <c r="C5635" s="1">
        <v>45748.5625</v>
      </c>
      <c r="D5635" s="1">
        <v>45809.359027777777</v>
      </c>
      <c r="E5635" s="2">
        <f t="shared" si="88"/>
        <v>60.796527777776646</v>
      </c>
    </row>
    <row r="5636" spans="1:5" x14ac:dyDescent="0.25">
      <c r="A5636" t="s">
        <v>11</v>
      </c>
      <c r="B5636" t="s">
        <v>19</v>
      </c>
      <c r="C5636" s="1">
        <v>45864.327777777777</v>
      </c>
      <c r="D5636" s="1">
        <v>45906.116666666669</v>
      </c>
      <c r="E5636" s="2">
        <f t="shared" si="88"/>
        <v>41.788888888891961</v>
      </c>
    </row>
    <row r="5637" spans="1:5" x14ac:dyDescent="0.25">
      <c r="A5637" t="s">
        <v>15</v>
      </c>
      <c r="B5637" t="s">
        <v>18</v>
      </c>
      <c r="C5637" s="1">
        <v>46044.765277777777</v>
      </c>
      <c r="D5637" s="1">
        <v>46094.081250000003</v>
      </c>
      <c r="E5637" s="2">
        <f t="shared" si="88"/>
        <v>49.315972222226264</v>
      </c>
    </row>
    <row r="5638" spans="1:5" x14ac:dyDescent="0.25">
      <c r="A5638" t="s">
        <v>13</v>
      </c>
      <c r="B5638" t="s">
        <v>8</v>
      </c>
      <c r="C5638" s="1">
        <v>46102.775000000001</v>
      </c>
      <c r="D5638" s="1">
        <v>46127.65902777778</v>
      </c>
      <c r="E5638" s="2">
        <f t="shared" si="88"/>
        <v>24.884027777778101</v>
      </c>
    </row>
    <row r="5639" spans="1:5" x14ac:dyDescent="0.25">
      <c r="A5639" t="s">
        <v>15</v>
      </c>
      <c r="B5639" t="s">
        <v>13</v>
      </c>
      <c r="C5639" s="1">
        <v>46041.837500000001</v>
      </c>
      <c r="D5639" s="1">
        <v>46079.787499999999</v>
      </c>
      <c r="E5639" s="2">
        <f t="shared" si="88"/>
        <v>37.94999999999709</v>
      </c>
    </row>
    <row r="5640" spans="1:5" x14ac:dyDescent="0.25">
      <c r="A5640" t="s">
        <v>8</v>
      </c>
      <c r="B5640" t="s">
        <v>18</v>
      </c>
      <c r="C5640" s="1">
        <v>46212.760416666657</v>
      </c>
      <c r="D5640" s="1">
        <v>46269.7</v>
      </c>
      <c r="E5640" s="2">
        <f t="shared" si="88"/>
        <v>56.939583333340124</v>
      </c>
    </row>
    <row r="5641" spans="1:5" x14ac:dyDescent="0.25">
      <c r="A5641" t="s">
        <v>22</v>
      </c>
      <c r="B5641" t="s">
        <v>19</v>
      </c>
      <c r="C5641" s="1">
        <v>45740.175000000003</v>
      </c>
      <c r="D5641" s="1">
        <v>45816.841666666667</v>
      </c>
      <c r="E5641" s="2">
        <f t="shared" si="88"/>
        <v>76.666666666664241</v>
      </c>
    </row>
    <row r="5642" spans="1:5" x14ac:dyDescent="0.25">
      <c r="A5642" t="s">
        <v>11</v>
      </c>
      <c r="B5642" t="s">
        <v>7</v>
      </c>
      <c r="C5642" s="1">
        <v>45902.663888888892</v>
      </c>
      <c r="D5642" s="1">
        <v>46015.145833333343</v>
      </c>
      <c r="E5642" s="2">
        <f t="shared" si="88"/>
        <v>112.48194444445107</v>
      </c>
    </row>
    <row r="5643" spans="1:5" x14ac:dyDescent="0.25">
      <c r="A5643" t="s">
        <v>41</v>
      </c>
      <c r="B5643" t="s">
        <v>43</v>
      </c>
      <c r="C5643" s="1">
        <v>46024.335416666669</v>
      </c>
      <c r="D5643" s="1">
        <v>46062.616666666669</v>
      </c>
      <c r="E5643" s="2">
        <f t="shared" si="88"/>
        <v>38.28125</v>
      </c>
    </row>
    <row r="5644" spans="1:5" x14ac:dyDescent="0.25">
      <c r="A5644" t="s">
        <v>41</v>
      </c>
      <c r="B5644" t="s">
        <v>8</v>
      </c>
      <c r="C5644" s="1">
        <v>46217.678472222222</v>
      </c>
      <c r="D5644" s="1">
        <v>46267.742361111108</v>
      </c>
      <c r="E5644" s="2">
        <f t="shared" si="88"/>
        <v>50.06388888888614</v>
      </c>
    </row>
    <row r="5645" spans="1:5" x14ac:dyDescent="0.25">
      <c r="A5645" t="s">
        <v>22</v>
      </c>
      <c r="B5645" t="s">
        <v>14</v>
      </c>
      <c r="C5645" s="1">
        <v>45702.159722222219</v>
      </c>
      <c r="D5645" s="1">
        <v>45756.791666666657</v>
      </c>
      <c r="E5645" s="2">
        <f t="shared" si="88"/>
        <v>54.631944444437977</v>
      </c>
    </row>
    <row r="5646" spans="1:5" x14ac:dyDescent="0.25">
      <c r="A5646" t="s">
        <v>57</v>
      </c>
      <c r="B5646" t="s">
        <v>8</v>
      </c>
      <c r="C5646" s="1">
        <v>46209.966666666667</v>
      </c>
      <c r="D5646" s="1">
        <v>46242.5625</v>
      </c>
      <c r="E5646" s="2">
        <f t="shared" si="88"/>
        <v>32.595833333332848</v>
      </c>
    </row>
    <row r="5647" spans="1:5" x14ac:dyDescent="0.25">
      <c r="A5647" t="s">
        <v>22</v>
      </c>
      <c r="B5647" t="s">
        <v>6</v>
      </c>
      <c r="C5647" s="1">
        <v>46209.154166666667</v>
      </c>
      <c r="D5647" s="1">
        <v>46273.88958333333</v>
      </c>
      <c r="E5647" s="2">
        <f t="shared" si="88"/>
        <v>64.735416666662786</v>
      </c>
    </row>
    <row r="5648" spans="1:5" x14ac:dyDescent="0.25">
      <c r="A5648" t="s">
        <v>27</v>
      </c>
      <c r="B5648" t="s">
        <v>8</v>
      </c>
      <c r="C5648" s="1">
        <v>45915.629166666673</v>
      </c>
      <c r="D5648" s="1">
        <v>45970.688888888893</v>
      </c>
      <c r="E5648" s="2">
        <f t="shared" si="88"/>
        <v>55.059722222220444</v>
      </c>
    </row>
    <row r="5649" spans="1:5" x14ac:dyDescent="0.25">
      <c r="A5649" t="s">
        <v>5</v>
      </c>
      <c r="B5649" t="s">
        <v>43</v>
      </c>
      <c r="C5649" s="1">
        <v>45935.678472222222</v>
      </c>
      <c r="D5649" s="1">
        <v>45995.576388888891</v>
      </c>
      <c r="E5649" s="2">
        <f t="shared" si="88"/>
        <v>59.897916666668607</v>
      </c>
    </row>
    <row r="5650" spans="1:5" x14ac:dyDescent="0.25">
      <c r="A5650" t="s">
        <v>12</v>
      </c>
      <c r="B5650" t="s">
        <v>18</v>
      </c>
      <c r="C5650" s="1">
        <v>45879</v>
      </c>
      <c r="D5650" s="1">
        <v>45948</v>
      </c>
      <c r="E5650" s="2">
        <f t="shared" si="88"/>
        <v>69</v>
      </c>
    </row>
    <row r="5651" spans="1:5" x14ac:dyDescent="0.25">
      <c r="A5651" t="s">
        <v>22</v>
      </c>
      <c r="B5651" t="s">
        <v>19</v>
      </c>
      <c r="C5651" s="1">
        <v>46186.177083333343</v>
      </c>
      <c r="D5651" s="1">
        <v>46255.57916666667</v>
      </c>
      <c r="E5651" s="2">
        <f t="shared" si="88"/>
        <v>69.402083333327028</v>
      </c>
    </row>
    <row r="5652" spans="1:5" x14ac:dyDescent="0.25">
      <c r="A5652" t="s">
        <v>7</v>
      </c>
      <c r="B5652" t="s">
        <v>8</v>
      </c>
      <c r="C5652" s="1">
        <v>45891.654166666667</v>
      </c>
      <c r="D5652" s="1">
        <v>45938.662499999999</v>
      </c>
      <c r="E5652" s="2">
        <f t="shared" si="88"/>
        <v>47.008333333331393</v>
      </c>
    </row>
    <row r="5653" spans="1:5" x14ac:dyDescent="0.25">
      <c r="A5653" t="s">
        <v>9</v>
      </c>
      <c r="B5653" t="s">
        <v>8</v>
      </c>
      <c r="C5653" s="1">
        <v>45869.991666666669</v>
      </c>
      <c r="D5653" s="1">
        <v>45912.762499999997</v>
      </c>
      <c r="E5653" s="2">
        <f t="shared" si="88"/>
        <v>42.770833333328483</v>
      </c>
    </row>
    <row r="5654" spans="1:5" x14ac:dyDescent="0.25">
      <c r="A5654" t="s">
        <v>7</v>
      </c>
      <c r="B5654" t="s">
        <v>8</v>
      </c>
      <c r="C5654" s="1">
        <v>45807.791666666657</v>
      </c>
      <c r="D5654" s="1">
        <v>45853.816666666673</v>
      </c>
      <c r="E5654" s="2">
        <f t="shared" si="88"/>
        <v>46.025000000016007</v>
      </c>
    </row>
    <row r="5655" spans="1:5" x14ac:dyDescent="0.25">
      <c r="A5655" t="s">
        <v>5</v>
      </c>
      <c r="B5655" t="s">
        <v>8</v>
      </c>
      <c r="C5655" s="1">
        <v>45967.658333333333</v>
      </c>
      <c r="D5655" s="1">
        <v>46003.89166666667</v>
      </c>
      <c r="E5655" s="2">
        <f t="shared" si="88"/>
        <v>36.233333333337214</v>
      </c>
    </row>
    <row r="5656" spans="1:5" x14ac:dyDescent="0.25">
      <c r="A5656" t="s">
        <v>7</v>
      </c>
      <c r="B5656" t="s">
        <v>8</v>
      </c>
      <c r="C5656" s="1">
        <v>45847.879166666673</v>
      </c>
      <c r="D5656" s="1">
        <v>45910.25</v>
      </c>
      <c r="E5656" s="2">
        <f t="shared" si="88"/>
        <v>62.370833333327028</v>
      </c>
    </row>
    <row r="5657" spans="1:5" x14ac:dyDescent="0.25">
      <c r="A5657" t="s">
        <v>5</v>
      </c>
      <c r="B5657" t="s">
        <v>8</v>
      </c>
      <c r="C5657" s="1">
        <v>46065.004166666673</v>
      </c>
      <c r="D5657" s="1">
        <v>46099.525000000001</v>
      </c>
      <c r="E5657" s="2">
        <f t="shared" si="88"/>
        <v>34.520833333328483</v>
      </c>
    </row>
    <row r="5658" spans="1:5" x14ac:dyDescent="0.25">
      <c r="A5658" t="s">
        <v>7</v>
      </c>
      <c r="B5658" t="s">
        <v>8</v>
      </c>
      <c r="C5658" s="1">
        <v>45931.208333333343</v>
      </c>
      <c r="D5658" s="1">
        <v>45966.508333333331</v>
      </c>
      <c r="E5658" s="2">
        <f t="shared" si="88"/>
        <v>35.299999999988358</v>
      </c>
    </row>
    <row r="5659" spans="1:5" x14ac:dyDescent="0.25">
      <c r="A5659" t="s">
        <v>7</v>
      </c>
      <c r="B5659" t="s">
        <v>8</v>
      </c>
      <c r="C5659" s="1">
        <v>45843.85</v>
      </c>
      <c r="D5659" s="1">
        <v>45910.25</v>
      </c>
      <c r="E5659" s="2">
        <f t="shared" si="88"/>
        <v>66.400000000001455</v>
      </c>
    </row>
    <row r="5660" spans="1:5" x14ac:dyDescent="0.25">
      <c r="A5660" t="s">
        <v>7</v>
      </c>
      <c r="B5660" t="s">
        <v>8</v>
      </c>
      <c r="C5660" s="1">
        <v>45911.675000000003</v>
      </c>
      <c r="D5660" s="1">
        <v>45948.104166666657</v>
      </c>
      <c r="E5660" s="2">
        <f t="shared" si="88"/>
        <v>36.429166666654055</v>
      </c>
    </row>
    <row r="5661" spans="1:5" x14ac:dyDescent="0.25">
      <c r="A5661" t="s">
        <v>34</v>
      </c>
      <c r="B5661" t="s">
        <v>8</v>
      </c>
      <c r="C5661" s="1">
        <v>45866.291666666657</v>
      </c>
      <c r="D5661" s="1">
        <v>45912.762499999997</v>
      </c>
      <c r="E5661" s="2">
        <f t="shared" si="88"/>
        <v>46.470833333340124</v>
      </c>
    </row>
    <row r="5662" spans="1:5" x14ac:dyDescent="0.25">
      <c r="A5662" t="s">
        <v>5</v>
      </c>
      <c r="B5662" t="s">
        <v>8</v>
      </c>
      <c r="C5662" s="1">
        <v>46093.616666666669</v>
      </c>
      <c r="D5662" s="1">
        <v>46141.354166666657</v>
      </c>
      <c r="E5662" s="2">
        <f t="shared" si="88"/>
        <v>47.737499999988358</v>
      </c>
    </row>
    <row r="5663" spans="1:5" x14ac:dyDescent="0.25">
      <c r="A5663" t="s">
        <v>22</v>
      </c>
      <c r="B5663" t="s">
        <v>14</v>
      </c>
      <c r="C5663" s="1">
        <v>46077.739583333343</v>
      </c>
      <c r="D5663" s="1">
        <v>46169.621527777781</v>
      </c>
      <c r="E5663" s="2">
        <f t="shared" si="88"/>
        <v>91.881944444437977</v>
      </c>
    </row>
    <row r="5664" spans="1:5" x14ac:dyDescent="0.25">
      <c r="A5664" t="s">
        <v>22</v>
      </c>
      <c r="B5664" t="s">
        <v>51</v>
      </c>
      <c r="C5664" s="1">
        <v>45763.166666666657</v>
      </c>
      <c r="D5664" s="1">
        <v>45815</v>
      </c>
      <c r="E5664" s="2">
        <f t="shared" si="88"/>
        <v>51.833333333343035</v>
      </c>
    </row>
    <row r="5665" spans="1:5" x14ac:dyDescent="0.25">
      <c r="A5665" t="s">
        <v>9</v>
      </c>
      <c r="B5665" t="s">
        <v>8</v>
      </c>
      <c r="C5665" s="1">
        <v>46162.8</v>
      </c>
      <c r="D5665" s="1">
        <v>46235.826388888891</v>
      </c>
      <c r="E5665" s="2">
        <f t="shared" si="88"/>
        <v>73.026388888887595</v>
      </c>
    </row>
    <row r="5666" spans="1:5" x14ac:dyDescent="0.25">
      <c r="A5666" t="s">
        <v>14</v>
      </c>
      <c r="B5666" t="s">
        <v>22</v>
      </c>
      <c r="C5666" s="1">
        <v>45828.304166666669</v>
      </c>
      <c r="D5666" s="1">
        <v>45883.676388888889</v>
      </c>
      <c r="E5666" s="2">
        <f t="shared" si="88"/>
        <v>55.372222222220444</v>
      </c>
    </row>
    <row r="5667" spans="1:5" x14ac:dyDescent="0.25">
      <c r="A5667" t="s">
        <v>12</v>
      </c>
      <c r="B5667" t="s">
        <v>13</v>
      </c>
      <c r="C5667" s="1">
        <v>45994.375</v>
      </c>
      <c r="D5667" s="1">
        <v>46042.833333333343</v>
      </c>
      <c r="E5667" s="2">
        <f t="shared" si="88"/>
        <v>48.458333333343035</v>
      </c>
    </row>
    <row r="5668" spans="1:5" x14ac:dyDescent="0.25">
      <c r="A5668" t="s">
        <v>10</v>
      </c>
      <c r="B5668" t="s">
        <v>11</v>
      </c>
      <c r="C5668" s="1">
        <v>46059.586805555547</v>
      </c>
      <c r="D5668" s="1">
        <v>46091.859027777777</v>
      </c>
      <c r="E5668" s="2">
        <f t="shared" si="88"/>
        <v>32.272222222229175</v>
      </c>
    </row>
    <row r="5669" spans="1:5" x14ac:dyDescent="0.25">
      <c r="A5669" t="s">
        <v>11</v>
      </c>
      <c r="B5669" t="s">
        <v>37</v>
      </c>
      <c r="C5669" s="1">
        <v>45888.89166666667</v>
      </c>
      <c r="D5669" s="1">
        <v>45902.29583333333</v>
      </c>
      <c r="E5669" s="2">
        <f t="shared" si="88"/>
        <v>13.404166666659876</v>
      </c>
    </row>
    <row r="5670" spans="1:5" x14ac:dyDescent="0.25">
      <c r="A5670" t="s">
        <v>15</v>
      </c>
      <c r="B5670" t="s">
        <v>38</v>
      </c>
      <c r="C5670" s="1">
        <v>46218.020833333343</v>
      </c>
      <c r="D5670" s="1">
        <v>46263.936111111107</v>
      </c>
      <c r="E5670" s="2">
        <f t="shared" si="88"/>
        <v>45.915277777763549</v>
      </c>
    </row>
    <row r="5671" spans="1:5" x14ac:dyDescent="0.25">
      <c r="A5671" t="s">
        <v>34</v>
      </c>
      <c r="B5671" t="s">
        <v>13</v>
      </c>
      <c r="C5671" s="1">
        <v>45900.654166666667</v>
      </c>
      <c r="D5671" s="1">
        <v>45926.012499999997</v>
      </c>
      <c r="E5671" s="2">
        <f t="shared" si="88"/>
        <v>25.358333333329938</v>
      </c>
    </row>
    <row r="5672" spans="1:5" x14ac:dyDescent="0.25">
      <c r="A5672" t="s">
        <v>22</v>
      </c>
      <c r="B5672" t="s">
        <v>14</v>
      </c>
      <c r="C5672" s="1">
        <v>45748.209074074082</v>
      </c>
      <c r="D5672" s="1">
        <v>45791.824999999997</v>
      </c>
      <c r="E5672" s="2">
        <f t="shared" si="88"/>
        <v>43.61592592591478</v>
      </c>
    </row>
    <row r="5673" spans="1:5" x14ac:dyDescent="0.25">
      <c r="A5673" t="s">
        <v>12</v>
      </c>
      <c r="B5673" t="s">
        <v>13</v>
      </c>
      <c r="C5673" s="1">
        <v>45740.831944444442</v>
      </c>
      <c r="D5673" s="1">
        <v>45785.365972222222</v>
      </c>
      <c r="E5673" s="2">
        <f t="shared" si="88"/>
        <v>44.534027777779556</v>
      </c>
    </row>
    <row r="5674" spans="1:5" x14ac:dyDescent="0.25">
      <c r="A5674" t="s">
        <v>14</v>
      </c>
      <c r="B5674" t="s">
        <v>22</v>
      </c>
      <c r="C5674" s="1">
        <v>45968.87222222222</v>
      </c>
      <c r="D5674" s="1">
        <v>46047.783333333333</v>
      </c>
      <c r="E5674" s="2">
        <f t="shared" si="88"/>
        <v>78.911111111112405</v>
      </c>
    </row>
    <row r="5675" spans="1:5" x14ac:dyDescent="0.25">
      <c r="A5675" t="s">
        <v>16</v>
      </c>
      <c r="B5675" t="s">
        <v>8</v>
      </c>
      <c r="C5675" s="1">
        <v>45687.745833333327</v>
      </c>
      <c r="D5675" s="1">
        <v>45729.704861111109</v>
      </c>
      <c r="E5675" s="2">
        <f t="shared" si="88"/>
        <v>41.959027777782467</v>
      </c>
    </row>
    <row r="5676" spans="1:5" x14ac:dyDescent="0.25">
      <c r="A5676" t="s">
        <v>34</v>
      </c>
      <c r="B5676" t="s">
        <v>13</v>
      </c>
      <c r="C5676" s="1">
        <v>45964.320833333331</v>
      </c>
      <c r="D5676" s="1">
        <v>45988.991724537038</v>
      </c>
      <c r="E5676" s="2">
        <f t="shared" si="88"/>
        <v>24.67089120370656</v>
      </c>
    </row>
    <row r="5677" spans="1:5" x14ac:dyDescent="0.25">
      <c r="A5677" t="s">
        <v>22</v>
      </c>
      <c r="B5677" t="s">
        <v>14</v>
      </c>
      <c r="C5677" s="1">
        <v>46141.989583333343</v>
      </c>
      <c r="D5677" s="1">
        <v>46198.788888888892</v>
      </c>
      <c r="E5677" s="2">
        <f t="shared" si="88"/>
        <v>56.799305555548926</v>
      </c>
    </row>
    <row r="5678" spans="1:5" x14ac:dyDescent="0.25">
      <c r="A5678" t="s">
        <v>28</v>
      </c>
      <c r="B5678" t="s">
        <v>24</v>
      </c>
      <c r="C5678" s="1">
        <v>45879.111111111109</v>
      </c>
      <c r="D5678" s="1">
        <v>45956.57916666667</v>
      </c>
      <c r="E5678" s="2">
        <f t="shared" si="88"/>
        <v>77.468055555560568</v>
      </c>
    </row>
    <row r="5679" spans="1:5" x14ac:dyDescent="0.25">
      <c r="A5679" t="s">
        <v>10</v>
      </c>
      <c r="B5679" t="s">
        <v>11</v>
      </c>
      <c r="C5679" s="1">
        <v>45685.074374999997</v>
      </c>
      <c r="D5679" s="1">
        <v>45714.666666666657</v>
      </c>
      <c r="E5679" s="2">
        <f t="shared" si="88"/>
        <v>29.592291666660458</v>
      </c>
    </row>
    <row r="5680" spans="1:5" x14ac:dyDescent="0.25">
      <c r="A5680" t="s">
        <v>9</v>
      </c>
      <c r="B5680" t="s">
        <v>11</v>
      </c>
      <c r="C5680" s="1">
        <v>45758.351388888892</v>
      </c>
      <c r="D5680" s="1">
        <v>45840.291666666657</v>
      </c>
      <c r="E5680" s="2">
        <f t="shared" si="88"/>
        <v>81.940277777765004</v>
      </c>
    </row>
    <row r="5681" spans="1:5" x14ac:dyDescent="0.25">
      <c r="A5681" t="s">
        <v>61</v>
      </c>
      <c r="B5681" t="s">
        <v>13</v>
      </c>
      <c r="C5681" s="1">
        <v>45975.54583333333</v>
      </c>
      <c r="D5681" s="1">
        <v>46025.690972222219</v>
      </c>
      <c r="E5681" s="2">
        <f t="shared" si="88"/>
        <v>50.145138888889051</v>
      </c>
    </row>
    <row r="5682" spans="1:5" x14ac:dyDescent="0.25">
      <c r="A5682" t="s">
        <v>15</v>
      </c>
      <c r="B5682" t="s">
        <v>18</v>
      </c>
      <c r="C5682" s="1">
        <v>45709.132638888892</v>
      </c>
      <c r="D5682" s="1">
        <v>45752.457638888889</v>
      </c>
      <c r="E5682" s="2">
        <f t="shared" si="88"/>
        <v>43.32499999999709</v>
      </c>
    </row>
    <row r="5683" spans="1:5" x14ac:dyDescent="0.25">
      <c r="A5683" t="s">
        <v>5</v>
      </c>
      <c r="B5683" t="s">
        <v>8</v>
      </c>
      <c r="C5683" s="1">
        <v>46260.259722222218</v>
      </c>
      <c r="D5683" s="1">
        <v>46285.342361111107</v>
      </c>
      <c r="E5683" s="2">
        <f t="shared" si="88"/>
        <v>25.082638888889051</v>
      </c>
    </row>
    <row r="5684" spans="1:5" x14ac:dyDescent="0.25">
      <c r="A5684" t="s">
        <v>12</v>
      </c>
      <c r="B5684" t="s">
        <v>13</v>
      </c>
      <c r="C5684" s="1">
        <v>46065.302083333343</v>
      </c>
      <c r="D5684" s="1">
        <v>46115.175000000003</v>
      </c>
      <c r="E5684" s="2">
        <f t="shared" si="88"/>
        <v>49.872916666659876</v>
      </c>
    </row>
    <row r="5685" spans="1:5" x14ac:dyDescent="0.25">
      <c r="A5685" t="s">
        <v>34</v>
      </c>
      <c r="B5685" t="s">
        <v>13</v>
      </c>
      <c r="C5685" s="1">
        <v>45914.462500000001</v>
      </c>
      <c r="D5685" s="1">
        <v>45939.720833333333</v>
      </c>
      <c r="E5685" s="2">
        <f t="shared" si="88"/>
        <v>25.258333333331393</v>
      </c>
    </row>
    <row r="5686" spans="1:5" x14ac:dyDescent="0.25">
      <c r="A5686" t="s">
        <v>22</v>
      </c>
      <c r="B5686" t="s">
        <v>6</v>
      </c>
      <c r="C5686" s="1">
        <v>45844.217361111107</v>
      </c>
      <c r="D5686" s="1">
        <v>45907.225694444453</v>
      </c>
      <c r="E5686" s="2">
        <f t="shared" si="88"/>
        <v>63.008333333345945</v>
      </c>
    </row>
    <row r="5687" spans="1:5" x14ac:dyDescent="0.25">
      <c r="A5687" t="s">
        <v>12</v>
      </c>
      <c r="B5687" t="s">
        <v>18</v>
      </c>
      <c r="C5687" s="1">
        <v>45782.196527777778</v>
      </c>
      <c r="D5687" s="1">
        <v>45847.017361111109</v>
      </c>
      <c r="E5687" s="2">
        <f t="shared" si="88"/>
        <v>64.820833333331393</v>
      </c>
    </row>
    <row r="5688" spans="1:5" x14ac:dyDescent="0.25">
      <c r="A5688" t="s">
        <v>9</v>
      </c>
      <c r="B5688" t="s">
        <v>11</v>
      </c>
      <c r="C5688" s="1">
        <v>45693.213194444441</v>
      </c>
      <c r="D5688" s="1">
        <v>45769.241666666669</v>
      </c>
      <c r="E5688" s="2">
        <f t="shared" si="88"/>
        <v>76.02847222222772</v>
      </c>
    </row>
    <row r="5689" spans="1:5" x14ac:dyDescent="0.25">
      <c r="A5689" t="s">
        <v>22</v>
      </c>
      <c r="B5689" t="s">
        <v>14</v>
      </c>
      <c r="C5689" s="1">
        <v>45723.222222222219</v>
      </c>
      <c r="D5689" s="1">
        <v>45781.121527777781</v>
      </c>
      <c r="E5689" s="2">
        <f t="shared" si="88"/>
        <v>57.899305555562023</v>
      </c>
    </row>
    <row r="5690" spans="1:5" x14ac:dyDescent="0.25">
      <c r="A5690" t="s">
        <v>15</v>
      </c>
      <c r="B5690" t="s">
        <v>13</v>
      </c>
      <c r="C5690" s="1">
        <v>45862.302974537037</v>
      </c>
      <c r="D5690" s="1">
        <v>45899.534722222219</v>
      </c>
      <c r="E5690" s="2">
        <f t="shared" si="88"/>
        <v>37.231747685182199</v>
      </c>
    </row>
    <row r="5691" spans="1:5" x14ac:dyDescent="0.25">
      <c r="A5691" t="s">
        <v>22</v>
      </c>
      <c r="B5691" t="s">
        <v>14</v>
      </c>
      <c r="C5691" s="1">
        <v>45740.175000000003</v>
      </c>
      <c r="D5691" s="1">
        <v>45784.834722222222</v>
      </c>
      <c r="E5691" s="2">
        <f t="shared" si="88"/>
        <v>44.659722222218988</v>
      </c>
    </row>
    <row r="5692" spans="1:5" x14ac:dyDescent="0.25">
      <c r="A5692" t="s">
        <v>5</v>
      </c>
      <c r="B5692" t="s">
        <v>8</v>
      </c>
      <c r="C5692" s="1">
        <v>46121.404166666667</v>
      </c>
      <c r="D5692" s="1">
        <v>46162.866666666669</v>
      </c>
      <c r="E5692" s="2">
        <f t="shared" si="88"/>
        <v>41.462500000001455</v>
      </c>
    </row>
    <row r="5693" spans="1:5" x14ac:dyDescent="0.25">
      <c r="A5693" t="s">
        <v>7</v>
      </c>
      <c r="B5693" t="s">
        <v>8</v>
      </c>
      <c r="C5693" s="1">
        <v>45843.85</v>
      </c>
      <c r="D5693" s="1">
        <v>45910.25</v>
      </c>
      <c r="E5693" s="2">
        <f t="shared" si="88"/>
        <v>66.400000000001455</v>
      </c>
    </row>
    <row r="5694" spans="1:5" x14ac:dyDescent="0.25">
      <c r="A5694" t="s">
        <v>5</v>
      </c>
      <c r="B5694" t="s">
        <v>8</v>
      </c>
      <c r="C5694" s="1">
        <v>46236.188888888893</v>
      </c>
      <c r="D5694" s="1">
        <v>46278.113888888889</v>
      </c>
      <c r="E5694" s="2">
        <f t="shared" si="88"/>
        <v>41.924999999995634</v>
      </c>
    </row>
    <row r="5695" spans="1:5" x14ac:dyDescent="0.25">
      <c r="A5695" t="s">
        <v>12</v>
      </c>
      <c r="B5695" t="s">
        <v>13</v>
      </c>
      <c r="C5695" s="1">
        <v>45770.025000000001</v>
      </c>
      <c r="D5695" s="1">
        <v>45817.291666666657</v>
      </c>
      <c r="E5695" s="2">
        <f t="shared" si="88"/>
        <v>47.26666666665551</v>
      </c>
    </row>
    <row r="5696" spans="1:5" x14ac:dyDescent="0.25">
      <c r="A5696" t="s">
        <v>7</v>
      </c>
      <c r="B5696" t="s">
        <v>8</v>
      </c>
      <c r="C5696" s="1">
        <v>45903.083333333343</v>
      </c>
      <c r="D5696" s="1">
        <v>45938.662499999999</v>
      </c>
      <c r="E5696" s="2">
        <f t="shared" si="88"/>
        <v>35.57916666665551</v>
      </c>
    </row>
    <row r="5697" spans="1:5" x14ac:dyDescent="0.25">
      <c r="A5697" t="s">
        <v>12</v>
      </c>
      <c r="B5697" t="s">
        <v>18</v>
      </c>
      <c r="C5697" s="1">
        <v>45895.17083333333</v>
      </c>
      <c r="D5697" s="1">
        <v>45964.081944444442</v>
      </c>
      <c r="E5697" s="2">
        <f t="shared" si="88"/>
        <v>68.911111111112405</v>
      </c>
    </row>
    <row r="5698" spans="1:5" x14ac:dyDescent="0.25">
      <c r="A5698" t="s">
        <v>11</v>
      </c>
      <c r="B5698" t="s">
        <v>21</v>
      </c>
      <c r="C5698" s="1">
        <v>45681.399305555547</v>
      </c>
      <c r="D5698" s="1">
        <v>45694.270833333343</v>
      </c>
      <c r="E5698" s="2">
        <f t="shared" ref="E5698:E5761" si="89">D5698-C5698</f>
        <v>12.871527777795563</v>
      </c>
    </row>
    <row r="5699" spans="1:5" x14ac:dyDescent="0.25">
      <c r="A5699" t="s">
        <v>15</v>
      </c>
      <c r="B5699" t="s">
        <v>18</v>
      </c>
      <c r="C5699" s="1">
        <v>45967.545138888891</v>
      </c>
      <c r="D5699" s="1">
        <v>46014.96597222222</v>
      </c>
      <c r="E5699" s="2">
        <f t="shared" si="89"/>
        <v>47.420833333329938</v>
      </c>
    </row>
    <row r="5700" spans="1:5" x14ac:dyDescent="0.25">
      <c r="A5700" t="s">
        <v>22</v>
      </c>
      <c r="B5700" t="s">
        <v>14</v>
      </c>
      <c r="C5700" s="1">
        <v>45972.739583333343</v>
      </c>
      <c r="D5700" s="1">
        <v>46025.461805555547</v>
      </c>
      <c r="E5700" s="2">
        <f t="shared" si="89"/>
        <v>52.722222222204437</v>
      </c>
    </row>
    <row r="5701" spans="1:5" x14ac:dyDescent="0.25">
      <c r="A5701" t="s">
        <v>12</v>
      </c>
      <c r="B5701" t="s">
        <v>13</v>
      </c>
      <c r="C5701" s="1">
        <v>45986.5</v>
      </c>
      <c r="D5701" s="1">
        <v>46035.51666666667</v>
      </c>
      <c r="E5701" s="2">
        <f t="shared" si="89"/>
        <v>49.016666666670062</v>
      </c>
    </row>
    <row r="5702" spans="1:5" x14ac:dyDescent="0.25">
      <c r="A5702" t="s">
        <v>23</v>
      </c>
      <c r="B5702" t="s">
        <v>30</v>
      </c>
      <c r="C5702" s="1">
        <v>45908.715277777781</v>
      </c>
      <c r="D5702" s="1">
        <v>45947.677083333343</v>
      </c>
      <c r="E5702" s="2">
        <f t="shared" si="89"/>
        <v>38.961805555562023</v>
      </c>
    </row>
    <row r="5703" spans="1:5" x14ac:dyDescent="0.25">
      <c r="A5703" t="s">
        <v>7</v>
      </c>
      <c r="B5703" t="s">
        <v>8</v>
      </c>
      <c r="C5703" s="1">
        <v>45822.8</v>
      </c>
      <c r="D5703" s="1">
        <v>45875.612500000003</v>
      </c>
      <c r="E5703" s="2">
        <f t="shared" si="89"/>
        <v>52.8125</v>
      </c>
    </row>
    <row r="5704" spans="1:5" x14ac:dyDescent="0.25">
      <c r="A5704" t="s">
        <v>8</v>
      </c>
      <c r="B5704" t="s">
        <v>13</v>
      </c>
      <c r="C5704" s="1">
        <v>45720</v>
      </c>
      <c r="D5704" s="1">
        <v>45758</v>
      </c>
      <c r="E5704" s="2">
        <f t="shared" si="89"/>
        <v>38</v>
      </c>
    </row>
    <row r="5705" spans="1:5" x14ac:dyDescent="0.25">
      <c r="A5705" t="s">
        <v>7</v>
      </c>
      <c r="B5705" t="s">
        <v>8</v>
      </c>
      <c r="C5705" s="1">
        <v>45843.85</v>
      </c>
      <c r="D5705" s="1">
        <v>45910.25</v>
      </c>
      <c r="E5705" s="2">
        <f t="shared" si="89"/>
        <v>66.400000000001455</v>
      </c>
    </row>
    <row r="5706" spans="1:5" x14ac:dyDescent="0.25">
      <c r="A5706" t="s">
        <v>22</v>
      </c>
      <c r="B5706" t="s">
        <v>14</v>
      </c>
      <c r="C5706" s="1">
        <v>45809.54583333333</v>
      </c>
      <c r="D5706" s="1">
        <v>45854.8125</v>
      </c>
      <c r="E5706" s="2">
        <f t="shared" si="89"/>
        <v>45.266666666670062</v>
      </c>
    </row>
    <row r="5707" spans="1:5" x14ac:dyDescent="0.25">
      <c r="A5707" t="s">
        <v>22</v>
      </c>
      <c r="B5707" t="s">
        <v>19</v>
      </c>
      <c r="C5707" s="1">
        <v>45719.029166666667</v>
      </c>
      <c r="D5707" s="1">
        <v>45794</v>
      </c>
      <c r="E5707" s="2">
        <f t="shared" si="89"/>
        <v>74.970833333332848</v>
      </c>
    </row>
    <row r="5708" spans="1:5" x14ac:dyDescent="0.25">
      <c r="A5708" t="s">
        <v>22</v>
      </c>
      <c r="B5708" t="s">
        <v>14</v>
      </c>
      <c r="C5708" s="1">
        <v>46141.989583333343</v>
      </c>
      <c r="D5708" s="1">
        <v>46198.788888888892</v>
      </c>
      <c r="E5708" s="2">
        <f t="shared" si="89"/>
        <v>56.799305555548926</v>
      </c>
    </row>
    <row r="5709" spans="1:5" x14ac:dyDescent="0.25">
      <c r="A5709" t="s">
        <v>26</v>
      </c>
      <c r="B5709" t="s">
        <v>21</v>
      </c>
      <c r="C5709" s="1">
        <v>46135.666666666657</v>
      </c>
      <c r="D5709" s="1">
        <v>46177.158333333333</v>
      </c>
      <c r="E5709" s="2">
        <f t="shared" si="89"/>
        <v>41.491666666675883</v>
      </c>
    </row>
    <row r="5710" spans="1:5" x14ac:dyDescent="0.25">
      <c r="A5710" t="s">
        <v>12</v>
      </c>
      <c r="B5710" t="s">
        <v>13</v>
      </c>
      <c r="C5710" s="1">
        <v>45836.675000000003</v>
      </c>
      <c r="D5710" s="1">
        <v>45884.808333333327</v>
      </c>
      <c r="E5710" s="2">
        <f t="shared" si="89"/>
        <v>48.133333333324117</v>
      </c>
    </row>
    <row r="5711" spans="1:5" x14ac:dyDescent="0.25">
      <c r="A5711" t="s">
        <v>13</v>
      </c>
      <c r="B5711" t="s">
        <v>8</v>
      </c>
      <c r="C5711" s="1">
        <v>45912.958333333343</v>
      </c>
      <c r="D5711" s="1">
        <v>45937.5</v>
      </c>
      <c r="E5711" s="2">
        <f t="shared" si="89"/>
        <v>24.541666666656965</v>
      </c>
    </row>
    <row r="5712" spans="1:5" x14ac:dyDescent="0.25">
      <c r="A5712" t="s">
        <v>12</v>
      </c>
      <c r="B5712" t="s">
        <v>13</v>
      </c>
      <c r="C5712" s="1">
        <v>45865.176388888889</v>
      </c>
      <c r="D5712" s="1">
        <v>45912.715277777781</v>
      </c>
      <c r="E5712" s="2">
        <f t="shared" si="89"/>
        <v>47.538888888891961</v>
      </c>
    </row>
    <row r="5713" spans="1:5" x14ac:dyDescent="0.25">
      <c r="A5713" t="s">
        <v>22</v>
      </c>
      <c r="B5713" t="s">
        <v>14</v>
      </c>
      <c r="C5713" s="1">
        <v>46006.15625</v>
      </c>
      <c r="D5713" s="1">
        <v>46097.111111111109</v>
      </c>
      <c r="E5713" s="2">
        <f t="shared" si="89"/>
        <v>90.954861111109494</v>
      </c>
    </row>
    <row r="5714" spans="1:5" x14ac:dyDescent="0.25">
      <c r="A5714" t="s">
        <v>12</v>
      </c>
      <c r="B5714" t="s">
        <v>13</v>
      </c>
      <c r="C5714" s="1">
        <v>46139.915972222218</v>
      </c>
      <c r="D5714" s="1">
        <v>46192.916666666657</v>
      </c>
      <c r="E5714" s="2">
        <f t="shared" si="89"/>
        <v>53.000694444439432</v>
      </c>
    </row>
    <row r="5715" spans="1:5" x14ac:dyDescent="0.25">
      <c r="A5715" t="s">
        <v>5</v>
      </c>
      <c r="B5715" t="s">
        <v>8</v>
      </c>
      <c r="C5715" s="1">
        <v>46121.404166666667</v>
      </c>
      <c r="D5715" s="1">
        <v>46162.866666666669</v>
      </c>
      <c r="E5715" s="2">
        <f t="shared" si="89"/>
        <v>41.462500000001455</v>
      </c>
    </row>
    <row r="5716" spans="1:5" x14ac:dyDescent="0.25">
      <c r="A5716" t="s">
        <v>8</v>
      </c>
      <c r="B5716" t="s">
        <v>13</v>
      </c>
      <c r="C5716" s="1">
        <v>45687</v>
      </c>
      <c r="D5716" s="1">
        <v>45723.224999999999</v>
      </c>
      <c r="E5716" s="2">
        <f t="shared" si="89"/>
        <v>36.224999999998545</v>
      </c>
    </row>
    <row r="5717" spans="1:5" x14ac:dyDescent="0.25">
      <c r="A5717" t="s">
        <v>15</v>
      </c>
      <c r="B5717" t="s">
        <v>18</v>
      </c>
      <c r="C5717" s="1">
        <v>45974.59375</v>
      </c>
      <c r="D5717" s="1">
        <v>46019.857638888891</v>
      </c>
      <c r="E5717" s="2">
        <f t="shared" si="89"/>
        <v>45.263888888890506</v>
      </c>
    </row>
    <row r="5718" spans="1:5" x14ac:dyDescent="0.25">
      <c r="A5718" t="s">
        <v>12</v>
      </c>
      <c r="B5718" t="s">
        <v>13</v>
      </c>
      <c r="C5718" s="1">
        <v>45749.412499999999</v>
      </c>
      <c r="D5718" s="1">
        <v>45797.95</v>
      </c>
      <c r="E5718" s="2">
        <f t="shared" si="89"/>
        <v>48.537499999998545</v>
      </c>
    </row>
    <row r="5719" spans="1:5" x14ac:dyDescent="0.25">
      <c r="A5719" t="s">
        <v>11</v>
      </c>
      <c r="B5719" t="s">
        <v>37</v>
      </c>
      <c r="C5719" s="1">
        <v>46053.289583333331</v>
      </c>
      <c r="D5719" s="1">
        <v>46071.635416666657</v>
      </c>
      <c r="E5719" s="2">
        <f t="shared" si="89"/>
        <v>18.345833333325572</v>
      </c>
    </row>
    <row r="5720" spans="1:5" x14ac:dyDescent="0.25">
      <c r="A5720" t="s">
        <v>41</v>
      </c>
      <c r="B5720" t="s">
        <v>8</v>
      </c>
      <c r="C5720" s="1">
        <v>46201.175694444442</v>
      </c>
      <c r="D5720" s="1">
        <v>46237.043749999997</v>
      </c>
      <c r="E5720" s="2">
        <f t="shared" si="89"/>
        <v>35.868055555554747</v>
      </c>
    </row>
    <row r="5721" spans="1:5" x14ac:dyDescent="0.25">
      <c r="A5721" t="s">
        <v>12</v>
      </c>
      <c r="B5721" t="s">
        <v>18</v>
      </c>
      <c r="C5721" s="1">
        <v>45879.837500000001</v>
      </c>
      <c r="D5721" s="1">
        <v>45964.081944444442</v>
      </c>
      <c r="E5721" s="2">
        <f t="shared" si="89"/>
        <v>84.244444444440887</v>
      </c>
    </row>
    <row r="5722" spans="1:5" x14ac:dyDescent="0.25">
      <c r="A5722" t="s">
        <v>9</v>
      </c>
      <c r="B5722" t="s">
        <v>11</v>
      </c>
      <c r="C5722" s="1">
        <v>45742.15347222222</v>
      </c>
      <c r="D5722" s="1">
        <v>45825.958333333343</v>
      </c>
      <c r="E5722" s="2">
        <f t="shared" si="89"/>
        <v>83.804861111122591</v>
      </c>
    </row>
    <row r="5723" spans="1:5" x14ac:dyDescent="0.25">
      <c r="A5723" t="s">
        <v>27</v>
      </c>
      <c r="B5723" t="s">
        <v>8</v>
      </c>
      <c r="C5723" s="1">
        <v>45850.216666666667</v>
      </c>
      <c r="D5723" s="1">
        <v>45906.5</v>
      </c>
      <c r="E5723" s="2">
        <f t="shared" si="89"/>
        <v>56.283333333332848</v>
      </c>
    </row>
    <row r="5724" spans="1:5" x14ac:dyDescent="0.25">
      <c r="A5724" t="s">
        <v>7</v>
      </c>
      <c r="B5724" t="s">
        <v>8</v>
      </c>
      <c r="C5724" s="1">
        <v>45785.595833333333</v>
      </c>
      <c r="D5724" s="1">
        <v>45818.433333333327</v>
      </c>
      <c r="E5724" s="2">
        <f t="shared" si="89"/>
        <v>32.837499999994179</v>
      </c>
    </row>
    <row r="5725" spans="1:5" x14ac:dyDescent="0.25">
      <c r="A5725" t="s">
        <v>9</v>
      </c>
      <c r="B5725" t="s">
        <v>11</v>
      </c>
      <c r="C5725" s="1">
        <v>45845.945833333331</v>
      </c>
      <c r="D5725" s="1">
        <v>45923.237500000003</v>
      </c>
      <c r="E5725" s="2">
        <f t="shared" si="89"/>
        <v>77.291666666671517</v>
      </c>
    </row>
    <row r="5726" spans="1:5" x14ac:dyDescent="0.25">
      <c r="A5726" t="s">
        <v>7</v>
      </c>
      <c r="B5726" t="s">
        <v>8</v>
      </c>
      <c r="C5726" s="1">
        <v>45822.8</v>
      </c>
      <c r="D5726" s="1">
        <v>45875.612500000003</v>
      </c>
      <c r="E5726" s="2">
        <f t="shared" si="89"/>
        <v>52.8125</v>
      </c>
    </row>
    <row r="5727" spans="1:5" x14ac:dyDescent="0.25">
      <c r="A5727" t="s">
        <v>15</v>
      </c>
      <c r="B5727" t="s">
        <v>16</v>
      </c>
      <c r="C5727" s="1">
        <v>46129.458333333343</v>
      </c>
      <c r="D5727" s="1">
        <v>46145.75</v>
      </c>
      <c r="E5727" s="2">
        <f t="shared" si="89"/>
        <v>16.291666666656965</v>
      </c>
    </row>
    <row r="5728" spans="1:5" x14ac:dyDescent="0.25">
      <c r="A5728" t="s">
        <v>8</v>
      </c>
      <c r="B5728" t="s">
        <v>18</v>
      </c>
      <c r="C5728" s="1">
        <v>46220.605555555558</v>
      </c>
      <c r="D5728" s="1">
        <v>46269.7</v>
      </c>
      <c r="E5728" s="2">
        <f t="shared" si="89"/>
        <v>49.094444444439432</v>
      </c>
    </row>
    <row r="5729" spans="1:5" x14ac:dyDescent="0.25">
      <c r="A5729" t="s">
        <v>15</v>
      </c>
      <c r="B5729" t="s">
        <v>13</v>
      </c>
      <c r="C5729" s="1">
        <v>46253.96875</v>
      </c>
      <c r="D5729" s="1">
        <v>46284.414583333331</v>
      </c>
      <c r="E5729" s="2">
        <f t="shared" si="89"/>
        <v>30.445833333331393</v>
      </c>
    </row>
    <row r="5730" spans="1:5" x14ac:dyDescent="0.25">
      <c r="A5730" t="s">
        <v>7</v>
      </c>
      <c r="B5730" t="s">
        <v>8</v>
      </c>
      <c r="C5730" s="1">
        <v>45882.166666666657</v>
      </c>
      <c r="D5730" s="1">
        <v>45938.662499999999</v>
      </c>
      <c r="E5730" s="2">
        <f t="shared" si="89"/>
        <v>56.495833333341579</v>
      </c>
    </row>
    <row r="5731" spans="1:5" x14ac:dyDescent="0.25">
      <c r="A5731" t="s">
        <v>12</v>
      </c>
      <c r="B5731" t="s">
        <v>18</v>
      </c>
      <c r="C5731" s="1">
        <v>45779.633333333331</v>
      </c>
      <c r="D5731" s="1">
        <v>45847.017361111109</v>
      </c>
      <c r="E5731" s="2">
        <f t="shared" si="89"/>
        <v>67.384027777778101</v>
      </c>
    </row>
    <row r="5732" spans="1:5" x14ac:dyDescent="0.25">
      <c r="A5732" t="s">
        <v>17</v>
      </c>
      <c r="B5732" t="s">
        <v>18</v>
      </c>
      <c r="C5732" s="1">
        <v>45694.875</v>
      </c>
      <c r="D5732" s="1">
        <v>45759.888194444437</v>
      </c>
      <c r="E5732" s="2">
        <f t="shared" si="89"/>
        <v>65.013194444436522</v>
      </c>
    </row>
    <row r="5733" spans="1:5" x14ac:dyDescent="0.25">
      <c r="A5733" t="s">
        <v>27</v>
      </c>
      <c r="B5733" t="s">
        <v>20</v>
      </c>
      <c r="C5733" s="1">
        <v>45697.027083333327</v>
      </c>
      <c r="D5733" s="1">
        <v>45769</v>
      </c>
      <c r="E5733" s="2">
        <f t="shared" si="89"/>
        <v>71.972916666672972</v>
      </c>
    </row>
    <row r="5734" spans="1:5" x14ac:dyDescent="0.25">
      <c r="A5734" t="s">
        <v>12</v>
      </c>
      <c r="B5734" t="s">
        <v>13</v>
      </c>
      <c r="C5734" s="1">
        <v>46012.541666666657</v>
      </c>
      <c r="D5734" s="1">
        <v>46059.751388888893</v>
      </c>
      <c r="E5734" s="2">
        <f t="shared" si="89"/>
        <v>47.209722222236451</v>
      </c>
    </row>
    <row r="5735" spans="1:5" x14ac:dyDescent="0.25">
      <c r="A5735" t="s">
        <v>6</v>
      </c>
      <c r="B5735" t="s">
        <v>8</v>
      </c>
      <c r="C5735" s="1">
        <v>46217.395833333343</v>
      </c>
      <c r="D5735" s="1">
        <v>46275.291666666657</v>
      </c>
      <c r="E5735" s="2">
        <f t="shared" si="89"/>
        <v>57.895833333313931</v>
      </c>
    </row>
    <row r="5736" spans="1:5" x14ac:dyDescent="0.25">
      <c r="A5736" t="s">
        <v>8</v>
      </c>
      <c r="B5736" t="s">
        <v>18</v>
      </c>
      <c r="C5736" s="1">
        <v>46206.283333333333</v>
      </c>
      <c r="D5736" s="1">
        <v>46251.208333333343</v>
      </c>
      <c r="E5736" s="2">
        <f t="shared" si="89"/>
        <v>44.925000000010186</v>
      </c>
    </row>
    <row r="5737" spans="1:5" x14ac:dyDescent="0.25">
      <c r="A5737" t="s">
        <v>12</v>
      </c>
      <c r="B5737" t="s">
        <v>18</v>
      </c>
      <c r="C5737" s="1">
        <v>45706.92083333333</v>
      </c>
      <c r="D5737" s="1">
        <v>45757.104166666657</v>
      </c>
      <c r="E5737" s="2">
        <f t="shared" si="89"/>
        <v>50.183333333327028</v>
      </c>
    </row>
    <row r="5738" spans="1:5" x14ac:dyDescent="0.25">
      <c r="A5738" t="s">
        <v>12</v>
      </c>
      <c r="B5738" t="s">
        <v>13</v>
      </c>
      <c r="C5738" s="1">
        <v>45981.336111111108</v>
      </c>
      <c r="D5738" s="1">
        <v>46035.51666666667</v>
      </c>
      <c r="E5738" s="2">
        <f t="shared" si="89"/>
        <v>54.180555555562023</v>
      </c>
    </row>
    <row r="5739" spans="1:5" x14ac:dyDescent="0.25">
      <c r="A5739" t="s">
        <v>27</v>
      </c>
      <c r="B5739" t="s">
        <v>20</v>
      </c>
      <c r="C5739" s="1">
        <v>45732.020833333343</v>
      </c>
      <c r="D5739" s="1">
        <v>45803.364583333343</v>
      </c>
      <c r="E5739" s="2">
        <f t="shared" si="89"/>
        <v>71.34375</v>
      </c>
    </row>
    <row r="5740" spans="1:5" x14ac:dyDescent="0.25">
      <c r="A5740" t="s">
        <v>13</v>
      </c>
      <c r="B5740" t="s">
        <v>8</v>
      </c>
      <c r="C5740" s="1">
        <v>45778.083333333343</v>
      </c>
      <c r="D5740" s="1">
        <v>45803.341666666667</v>
      </c>
      <c r="E5740" s="2">
        <f t="shared" si="89"/>
        <v>25.258333333324117</v>
      </c>
    </row>
    <row r="5741" spans="1:5" x14ac:dyDescent="0.25">
      <c r="A5741" t="s">
        <v>12</v>
      </c>
      <c r="B5741" t="s">
        <v>13</v>
      </c>
      <c r="C5741" s="1">
        <v>45838.333333333343</v>
      </c>
      <c r="D5741" s="1">
        <v>45884.808333333327</v>
      </c>
      <c r="E5741" s="2">
        <f t="shared" si="89"/>
        <v>46.474999999983993</v>
      </c>
    </row>
    <row r="5742" spans="1:5" x14ac:dyDescent="0.25">
      <c r="A5742" t="s">
        <v>6</v>
      </c>
      <c r="B5742" t="s">
        <v>8</v>
      </c>
      <c r="C5742" s="1">
        <v>46029.194444444453</v>
      </c>
      <c r="D5742" s="1">
        <v>46078.697916666657</v>
      </c>
      <c r="E5742" s="2">
        <f t="shared" si="89"/>
        <v>49.503472222204437</v>
      </c>
    </row>
    <row r="5743" spans="1:5" x14ac:dyDescent="0.25">
      <c r="A5743" t="s">
        <v>7</v>
      </c>
      <c r="B5743" t="s">
        <v>8</v>
      </c>
      <c r="C5743" s="1">
        <v>45808.775000000001</v>
      </c>
      <c r="D5743" s="1">
        <v>45853.816666666673</v>
      </c>
      <c r="E5743" s="2">
        <f t="shared" si="89"/>
        <v>45.041666666671517</v>
      </c>
    </row>
    <row r="5744" spans="1:5" x14ac:dyDescent="0.25">
      <c r="A5744" t="s">
        <v>7</v>
      </c>
      <c r="B5744" t="s">
        <v>8</v>
      </c>
      <c r="C5744" s="1">
        <v>46002.212500000001</v>
      </c>
      <c r="D5744" s="1">
        <v>46047.712500000001</v>
      </c>
      <c r="E5744" s="2">
        <f t="shared" si="89"/>
        <v>45.5</v>
      </c>
    </row>
    <row r="5745" spans="1:5" x14ac:dyDescent="0.25">
      <c r="A5745" t="s">
        <v>5</v>
      </c>
      <c r="B5745" t="s">
        <v>8</v>
      </c>
      <c r="C5745" s="1">
        <v>46065.004166666673</v>
      </c>
      <c r="D5745" s="1">
        <v>46099.525000000001</v>
      </c>
      <c r="E5745" s="2">
        <f t="shared" si="89"/>
        <v>34.520833333328483</v>
      </c>
    </row>
    <row r="5746" spans="1:5" x14ac:dyDescent="0.25">
      <c r="A5746" t="s">
        <v>8</v>
      </c>
      <c r="B5746" t="s">
        <v>7</v>
      </c>
      <c r="C5746" s="1">
        <v>46151.513888888891</v>
      </c>
      <c r="D5746" s="1">
        <v>46206.541666666657</v>
      </c>
      <c r="E5746" s="2">
        <f t="shared" si="89"/>
        <v>55.02777777776646</v>
      </c>
    </row>
    <row r="5747" spans="1:5" x14ac:dyDescent="0.25">
      <c r="A5747" t="s">
        <v>28</v>
      </c>
      <c r="B5747" t="s">
        <v>13</v>
      </c>
      <c r="C5747" s="1">
        <v>46038.068055555559</v>
      </c>
      <c r="D5747" s="1">
        <v>46102.833333333343</v>
      </c>
      <c r="E5747" s="2">
        <f t="shared" si="89"/>
        <v>64.765277777783922</v>
      </c>
    </row>
    <row r="5748" spans="1:5" x14ac:dyDescent="0.25">
      <c r="A5748" t="s">
        <v>28</v>
      </c>
      <c r="B5748" t="s">
        <v>18</v>
      </c>
      <c r="C5748" s="1">
        <v>45803.540277777778</v>
      </c>
      <c r="D5748" s="1">
        <v>45875.361805555563</v>
      </c>
      <c r="E5748" s="2">
        <f t="shared" si="89"/>
        <v>71.821527777785377</v>
      </c>
    </row>
    <row r="5749" spans="1:5" x14ac:dyDescent="0.25">
      <c r="A5749" t="s">
        <v>7</v>
      </c>
      <c r="B5749" t="s">
        <v>8</v>
      </c>
      <c r="C5749" s="1">
        <v>45843.85</v>
      </c>
      <c r="D5749" s="1">
        <v>45910.25</v>
      </c>
      <c r="E5749" s="2">
        <f t="shared" si="89"/>
        <v>66.400000000001455</v>
      </c>
    </row>
    <row r="5750" spans="1:5" x14ac:dyDescent="0.25">
      <c r="A5750" t="s">
        <v>14</v>
      </c>
      <c r="B5750" t="s">
        <v>22</v>
      </c>
      <c r="C5750" s="1">
        <v>45750.891493055547</v>
      </c>
      <c r="D5750" s="1">
        <v>45802.333333333343</v>
      </c>
      <c r="E5750" s="2">
        <f t="shared" si="89"/>
        <v>51.441840277795563</v>
      </c>
    </row>
    <row r="5751" spans="1:5" x14ac:dyDescent="0.25">
      <c r="A5751" t="s">
        <v>7</v>
      </c>
      <c r="B5751" t="s">
        <v>8</v>
      </c>
      <c r="C5751" s="1">
        <v>45911.604166666657</v>
      </c>
      <c r="D5751" s="1">
        <v>45948.104166666657</v>
      </c>
      <c r="E5751" s="2">
        <f t="shared" si="89"/>
        <v>36.5</v>
      </c>
    </row>
    <row r="5752" spans="1:5" x14ac:dyDescent="0.25">
      <c r="A5752" t="s">
        <v>5</v>
      </c>
      <c r="B5752" t="s">
        <v>8</v>
      </c>
      <c r="C5752" s="1">
        <v>46072.658333333333</v>
      </c>
      <c r="D5752" s="1">
        <v>46107.929166666669</v>
      </c>
      <c r="E5752" s="2">
        <f t="shared" si="89"/>
        <v>35.270833333335759</v>
      </c>
    </row>
    <row r="5753" spans="1:5" x14ac:dyDescent="0.25">
      <c r="A5753" t="s">
        <v>11</v>
      </c>
      <c r="B5753" t="s">
        <v>37</v>
      </c>
      <c r="C5753" s="1">
        <v>45752.929166666669</v>
      </c>
      <c r="D5753" s="1">
        <v>45771.879166666673</v>
      </c>
      <c r="E5753" s="2">
        <f t="shared" si="89"/>
        <v>18.950000000004366</v>
      </c>
    </row>
    <row r="5754" spans="1:5" x14ac:dyDescent="0.25">
      <c r="A5754" t="s">
        <v>5</v>
      </c>
      <c r="B5754" t="s">
        <v>6</v>
      </c>
      <c r="C5754" s="1">
        <v>46018.725694444453</v>
      </c>
      <c r="D5754" s="1">
        <v>46070.787499999999</v>
      </c>
      <c r="E5754" s="2">
        <f t="shared" si="89"/>
        <v>52.061805555546016</v>
      </c>
    </row>
    <row r="5755" spans="1:5" x14ac:dyDescent="0.25">
      <c r="A5755" t="s">
        <v>5</v>
      </c>
      <c r="B5755" t="s">
        <v>8</v>
      </c>
      <c r="C5755" s="1">
        <v>46025.436111111107</v>
      </c>
      <c r="D5755" s="1">
        <v>46071.058333333327</v>
      </c>
      <c r="E5755" s="2">
        <f t="shared" si="89"/>
        <v>45.622222222220444</v>
      </c>
    </row>
    <row r="5756" spans="1:5" x14ac:dyDescent="0.25">
      <c r="A5756" t="s">
        <v>34</v>
      </c>
      <c r="B5756" t="s">
        <v>13</v>
      </c>
      <c r="C5756" s="1">
        <v>46069.268055555563</v>
      </c>
      <c r="D5756" s="1">
        <v>46092.604166666657</v>
      </c>
      <c r="E5756" s="2">
        <f t="shared" si="89"/>
        <v>23.336111111093487</v>
      </c>
    </row>
    <row r="5757" spans="1:5" x14ac:dyDescent="0.25">
      <c r="A5757" t="s">
        <v>11</v>
      </c>
      <c r="B5757" t="s">
        <v>37</v>
      </c>
      <c r="C5757" s="1">
        <v>45971.175902777781</v>
      </c>
      <c r="D5757" s="1">
        <v>45992.474999999999</v>
      </c>
      <c r="E5757" s="2">
        <f t="shared" si="89"/>
        <v>21.299097222217824</v>
      </c>
    </row>
    <row r="5758" spans="1:5" x14ac:dyDescent="0.25">
      <c r="A5758" t="s">
        <v>16</v>
      </c>
      <c r="B5758" t="s">
        <v>8</v>
      </c>
      <c r="C5758" s="1">
        <v>45744.76666666667</v>
      </c>
      <c r="D5758" s="1">
        <v>45791.914583333331</v>
      </c>
      <c r="E5758" s="2">
        <f t="shared" si="89"/>
        <v>47.147916666661331</v>
      </c>
    </row>
    <row r="5759" spans="1:5" x14ac:dyDescent="0.25">
      <c r="A5759" t="s">
        <v>34</v>
      </c>
      <c r="B5759" t="s">
        <v>8</v>
      </c>
      <c r="C5759" s="1">
        <v>45844.324999999997</v>
      </c>
      <c r="D5759" s="1">
        <v>45879.787499999999</v>
      </c>
      <c r="E5759" s="2">
        <f t="shared" si="89"/>
        <v>35.462500000001455</v>
      </c>
    </row>
    <row r="5760" spans="1:5" x14ac:dyDescent="0.25">
      <c r="A5760" t="s">
        <v>7</v>
      </c>
      <c r="B5760" t="s">
        <v>8</v>
      </c>
      <c r="C5760" s="1">
        <v>45847.879166666673</v>
      </c>
      <c r="D5760" s="1">
        <v>45910.25</v>
      </c>
      <c r="E5760" s="2">
        <f t="shared" si="89"/>
        <v>62.370833333327028</v>
      </c>
    </row>
    <row r="5761" spans="1:5" x14ac:dyDescent="0.25">
      <c r="A5761" t="s">
        <v>35</v>
      </c>
      <c r="B5761" t="s">
        <v>13</v>
      </c>
      <c r="C5761" s="1">
        <v>46135.091666666667</v>
      </c>
      <c r="D5761" s="1">
        <v>46181.066666666673</v>
      </c>
      <c r="E5761" s="2">
        <f t="shared" si="89"/>
        <v>45.975000000005821</v>
      </c>
    </row>
    <row r="5762" spans="1:5" x14ac:dyDescent="0.25">
      <c r="A5762" t="s">
        <v>5</v>
      </c>
      <c r="B5762" t="s">
        <v>8</v>
      </c>
      <c r="C5762" s="1">
        <v>45967.658333333333</v>
      </c>
      <c r="D5762" s="1">
        <v>46003.89166666667</v>
      </c>
      <c r="E5762" s="2">
        <f t="shared" ref="E5762:E5825" si="90">D5762-C5762</f>
        <v>36.233333333337214</v>
      </c>
    </row>
    <row r="5763" spans="1:5" x14ac:dyDescent="0.25">
      <c r="A5763" t="s">
        <v>11</v>
      </c>
      <c r="B5763" t="s">
        <v>21</v>
      </c>
      <c r="C5763" s="1">
        <v>46234.800127314818</v>
      </c>
      <c r="D5763" s="1">
        <v>46245.600694444453</v>
      </c>
      <c r="E5763" s="2">
        <f t="shared" si="90"/>
        <v>10.800567129634146</v>
      </c>
    </row>
    <row r="5764" spans="1:5" x14ac:dyDescent="0.25">
      <c r="A5764" t="s">
        <v>5</v>
      </c>
      <c r="B5764" t="s">
        <v>8</v>
      </c>
      <c r="C5764" s="1">
        <v>46115.977094907408</v>
      </c>
      <c r="D5764" s="1">
        <v>46139.37164351852</v>
      </c>
      <c r="E5764" s="2">
        <f t="shared" si="90"/>
        <v>23.394548611111531</v>
      </c>
    </row>
    <row r="5765" spans="1:5" x14ac:dyDescent="0.25">
      <c r="A5765" t="s">
        <v>22</v>
      </c>
      <c r="B5765" t="s">
        <v>19</v>
      </c>
      <c r="C5765" s="1">
        <v>45859.168055555558</v>
      </c>
      <c r="D5765" s="1">
        <v>45920.620833333327</v>
      </c>
      <c r="E5765" s="2">
        <f t="shared" si="90"/>
        <v>61.45277777776937</v>
      </c>
    </row>
    <row r="5766" spans="1:5" x14ac:dyDescent="0.25">
      <c r="A5766" t="s">
        <v>8</v>
      </c>
      <c r="B5766" t="s">
        <v>13</v>
      </c>
      <c r="C5766" s="1">
        <v>45729.666666666657</v>
      </c>
      <c r="D5766" s="1">
        <v>45739.095833333333</v>
      </c>
      <c r="E5766" s="2">
        <f t="shared" si="90"/>
        <v>9.4291666666758829</v>
      </c>
    </row>
    <row r="5767" spans="1:5" x14ac:dyDescent="0.25">
      <c r="A5767" t="s">
        <v>5</v>
      </c>
      <c r="B5767" t="s">
        <v>8</v>
      </c>
      <c r="C5767" s="1">
        <v>45722.095833333333</v>
      </c>
      <c r="D5767" s="1">
        <v>45749.925694444442</v>
      </c>
      <c r="E5767" s="2">
        <f t="shared" si="90"/>
        <v>27.829861111109494</v>
      </c>
    </row>
    <row r="5768" spans="1:5" x14ac:dyDescent="0.25">
      <c r="A5768" t="s">
        <v>19</v>
      </c>
      <c r="B5768" t="s">
        <v>11</v>
      </c>
      <c r="C5768" s="1">
        <v>46124.2</v>
      </c>
      <c r="D5768" s="1">
        <v>46162.446527777778</v>
      </c>
      <c r="E5768" s="2">
        <f t="shared" si="90"/>
        <v>38.246527777781012</v>
      </c>
    </row>
    <row r="5769" spans="1:5" x14ac:dyDescent="0.25">
      <c r="A5769" t="s">
        <v>22</v>
      </c>
      <c r="B5769" t="s">
        <v>14</v>
      </c>
      <c r="C5769" s="1">
        <v>45754.15</v>
      </c>
      <c r="D5769" s="1">
        <v>45812.804861111108</v>
      </c>
      <c r="E5769" s="2">
        <f t="shared" si="90"/>
        <v>58.654861111106584</v>
      </c>
    </row>
    <row r="5770" spans="1:5" x14ac:dyDescent="0.25">
      <c r="A5770" t="s">
        <v>22</v>
      </c>
      <c r="B5770" t="s">
        <v>19</v>
      </c>
      <c r="C5770" s="1">
        <v>45726.157638888893</v>
      </c>
      <c r="D5770" s="1">
        <v>45794.54583333333</v>
      </c>
      <c r="E5770" s="2">
        <f t="shared" si="90"/>
        <v>68.388194444436522</v>
      </c>
    </row>
    <row r="5771" spans="1:5" x14ac:dyDescent="0.25">
      <c r="A5771" t="s">
        <v>10</v>
      </c>
      <c r="B5771" t="s">
        <v>11</v>
      </c>
      <c r="C5771" s="1">
        <v>45753.804166666669</v>
      </c>
      <c r="D5771" s="1">
        <v>45783.9</v>
      </c>
      <c r="E5771" s="2">
        <f t="shared" si="90"/>
        <v>30.095833333332848</v>
      </c>
    </row>
    <row r="5772" spans="1:5" x14ac:dyDescent="0.25">
      <c r="A5772" t="s">
        <v>22</v>
      </c>
      <c r="B5772" t="s">
        <v>19</v>
      </c>
      <c r="C5772" s="1">
        <v>46103.772916666669</v>
      </c>
      <c r="D5772" s="1">
        <v>46162.300694444442</v>
      </c>
      <c r="E5772" s="2">
        <f t="shared" si="90"/>
        <v>58.527777777773736</v>
      </c>
    </row>
    <row r="5773" spans="1:5" x14ac:dyDescent="0.25">
      <c r="A5773" t="s">
        <v>22</v>
      </c>
      <c r="B5773" t="s">
        <v>19</v>
      </c>
      <c r="C5773" s="1">
        <v>45673.75</v>
      </c>
      <c r="D5773" s="1">
        <v>45742.020833333343</v>
      </c>
      <c r="E5773" s="2">
        <f t="shared" si="90"/>
        <v>68.270833333343035</v>
      </c>
    </row>
    <row r="5774" spans="1:5" x14ac:dyDescent="0.25">
      <c r="A5774" t="s">
        <v>17</v>
      </c>
      <c r="B5774" t="s">
        <v>18</v>
      </c>
      <c r="C5774" s="1">
        <v>45676</v>
      </c>
      <c r="D5774" s="1">
        <v>45728.043749999997</v>
      </c>
      <c r="E5774" s="2">
        <f t="shared" si="90"/>
        <v>52.04374999999709</v>
      </c>
    </row>
    <row r="5775" spans="1:5" x14ac:dyDescent="0.25">
      <c r="A5775" t="s">
        <v>6</v>
      </c>
      <c r="B5775" t="s">
        <v>8</v>
      </c>
      <c r="C5775" s="1">
        <v>45885.320138888892</v>
      </c>
      <c r="D5775" s="1">
        <v>45922.663194444453</v>
      </c>
      <c r="E5775" s="2">
        <f t="shared" si="90"/>
        <v>37.343055555560568</v>
      </c>
    </row>
    <row r="5776" spans="1:5" x14ac:dyDescent="0.25">
      <c r="A5776" t="s">
        <v>8</v>
      </c>
      <c r="B5776" t="s">
        <v>18</v>
      </c>
      <c r="C5776" s="1">
        <v>46241.460416666669</v>
      </c>
      <c r="D5776" s="1">
        <v>46284.76666666667</v>
      </c>
      <c r="E5776" s="2">
        <f t="shared" si="90"/>
        <v>43.306250000001455</v>
      </c>
    </row>
    <row r="5777" spans="1:5" x14ac:dyDescent="0.25">
      <c r="A5777" t="s">
        <v>11</v>
      </c>
      <c r="B5777" t="s">
        <v>37</v>
      </c>
      <c r="C5777" s="1">
        <v>46026.289583333331</v>
      </c>
      <c r="D5777" s="1">
        <v>46043.29</v>
      </c>
      <c r="E5777" s="2">
        <f t="shared" si="90"/>
        <v>17.00041666666948</v>
      </c>
    </row>
    <row r="5778" spans="1:5" x14ac:dyDescent="0.25">
      <c r="A5778" t="s">
        <v>5</v>
      </c>
      <c r="B5778" t="s">
        <v>8</v>
      </c>
      <c r="C5778" s="1">
        <v>46035.520833333343</v>
      </c>
      <c r="D5778" s="1">
        <v>46073.45416666667</v>
      </c>
      <c r="E5778" s="2">
        <f t="shared" si="90"/>
        <v>37.933333333327028</v>
      </c>
    </row>
    <row r="5779" spans="1:5" x14ac:dyDescent="0.25">
      <c r="A5779" t="s">
        <v>15</v>
      </c>
      <c r="B5779" t="s">
        <v>38</v>
      </c>
      <c r="C5779" s="1">
        <v>46232.938194444447</v>
      </c>
      <c r="D5779" s="1">
        <v>46279.83085648148</v>
      </c>
      <c r="E5779" s="2">
        <f t="shared" si="90"/>
        <v>46.892662037033006</v>
      </c>
    </row>
    <row r="5780" spans="1:5" x14ac:dyDescent="0.25">
      <c r="A5780" t="s">
        <v>5</v>
      </c>
      <c r="B5780" t="s">
        <v>8</v>
      </c>
      <c r="C5780" s="1">
        <v>46038.558333333327</v>
      </c>
      <c r="D5780" s="1">
        <v>46073.45416666667</v>
      </c>
      <c r="E5780" s="2">
        <f t="shared" si="90"/>
        <v>34.895833333343035</v>
      </c>
    </row>
    <row r="5781" spans="1:5" x14ac:dyDescent="0.25">
      <c r="A5781" t="s">
        <v>46</v>
      </c>
      <c r="B5781" t="s">
        <v>11</v>
      </c>
      <c r="C5781" s="1">
        <v>46137.497118055559</v>
      </c>
      <c r="D5781" s="1">
        <v>46148.359027777777</v>
      </c>
      <c r="E5781" s="2">
        <f t="shared" si="90"/>
        <v>10.861909722218115</v>
      </c>
    </row>
    <row r="5782" spans="1:5" x14ac:dyDescent="0.25">
      <c r="A5782" t="s">
        <v>19</v>
      </c>
      <c r="B5782" t="s">
        <v>8</v>
      </c>
      <c r="C5782" s="1">
        <v>46156.138888888891</v>
      </c>
      <c r="D5782" s="1">
        <v>46180.861805555563</v>
      </c>
      <c r="E5782" s="2">
        <f t="shared" si="90"/>
        <v>24.722916666672972</v>
      </c>
    </row>
    <row r="5783" spans="1:5" x14ac:dyDescent="0.25">
      <c r="A5783" t="s">
        <v>5</v>
      </c>
      <c r="B5783" t="s">
        <v>8</v>
      </c>
      <c r="C5783" s="1">
        <v>46049.5</v>
      </c>
      <c r="D5783" s="1">
        <v>46091.345833333333</v>
      </c>
      <c r="E5783" s="2">
        <f t="shared" si="90"/>
        <v>41.845833333332848</v>
      </c>
    </row>
    <row r="5784" spans="1:5" x14ac:dyDescent="0.25">
      <c r="A5784" t="s">
        <v>27</v>
      </c>
      <c r="B5784" t="s">
        <v>18</v>
      </c>
      <c r="C5784" s="1">
        <v>45782.501388888893</v>
      </c>
      <c r="D5784" s="1">
        <v>45847.017361111109</v>
      </c>
      <c r="E5784" s="2">
        <f t="shared" si="90"/>
        <v>64.515972222216078</v>
      </c>
    </row>
    <row r="5785" spans="1:5" x14ac:dyDescent="0.25">
      <c r="A5785" t="s">
        <v>8</v>
      </c>
      <c r="B5785" t="s">
        <v>18</v>
      </c>
      <c r="C5785" s="1">
        <v>46234.25</v>
      </c>
      <c r="D5785" s="1">
        <v>46284.76666666667</v>
      </c>
      <c r="E5785" s="2">
        <f t="shared" si="90"/>
        <v>50.516666666670062</v>
      </c>
    </row>
    <row r="5786" spans="1:5" x14ac:dyDescent="0.25">
      <c r="A5786" t="s">
        <v>12</v>
      </c>
      <c r="B5786" t="s">
        <v>13</v>
      </c>
      <c r="C5786" s="1">
        <v>45895.17083333333</v>
      </c>
      <c r="D5786" s="1">
        <v>45949.119444444441</v>
      </c>
      <c r="E5786" s="2">
        <f t="shared" si="90"/>
        <v>53.948611111110949</v>
      </c>
    </row>
    <row r="5787" spans="1:5" x14ac:dyDescent="0.25">
      <c r="A5787" t="s">
        <v>7</v>
      </c>
      <c r="B5787" t="s">
        <v>8</v>
      </c>
      <c r="C5787" s="1">
        <v>45891.654166666667</v>
      </c>
      <c r="D5787" s="1">
        <v>45938.662499999999</v>
      </c>
      <c r="E5787" s="2">
        <f t="shared" si="90"/>
        <v>47.008333333331393</v>
      </c>
    </row>
    <row r="5788" spans="1:5" x14ac:dyDescent="0.25">
      <c r="A5788" t="s">
        <v>7</v>
      </c>
      <c r="B5788" t="s">
        <v>8</v>
      </c>
      <c r="C5788" s="1">
        <v>45903.083333333343</v>
      </c>
      <c r="D5788" s="1">
        <v>45938.662499999999</v>
      </c>
      <c r="E5788" s="2">
        <f t="shared" si="90"/>
        <v>35.57916666665551</v>
      </c>
    </row>
    <row r="5789" spans="1:5" x14ac:dyDescent="0.25">
      <c r="A5789" t="s">
        <v>23</v>
      </c>
      <c r="B5789" t="s">
        <v>18</v>
      </c>
      <c r="C5789" s="1">
        <v>45919.554166666669</v>
      </c>
      <c r="D5789" s="1">
        <v>45970.963194444441</v>
      </c>
      <c r="E5789" s="2">
        <f t="shared" si="90"/>
        <v>51.40902777777228</v>
      </c>
    </row>
    <row r="5790" spans="1:5" x14ac:dyDescent="0.25">
      <c r="A5790" t="s">
        <v>8</v>
      </c>
      <c r="B5790" t="s">
        <v>5</v>
      </c>
      <c r="C5790" s="1">
        <v>45780.583333333343</v>
      </c>
      <c r="D5790" s="1">
        <v>45826.125</v>
      </c>
      <c r="E5790" s="2">
        <f t="shared" si="90"/>
        <v>45.541666666656965</v>
      </c>
    </row>
    <row r="5791" spans="1:5" x14ac:dyDescent="0.25">
      <c r="A5791" t="s">
        <v>15</v>
      </c>
      <c r="B5791" t="s">
        <v>18</v>
      </c>
      <c r="C5791" s="1">
        <v>46047.854166666657</v>
      </c>
      <c r="D5791" s="1">
        <v>46100.083333333343</v>
      </c>
      <c r="E5791" s="2">
        <f t="shared" si="90"/>
        <v>52.229166666686069</v>
      </c>
    </row>
    <row r="5792" spans="1:5" x14ac:dyDescent="0.25">
      <c r="A5792" t="s">
        <v>9</v>
      </c>
      <c r="B5792" t="s">
        <v>11</v>
      </c>
      <c r="C5792" s="1">
        <v>45770.607638888891</v>
      </c>
      <c r="D5792" s="1">
        <v>45853.879166666673</v>
      </c>
      <c r="E5792" s="2">
        <f t="shared" si="90"/>
        <v>83.271527777782467</v>
      </c>
    </row>
    <row r="5793" spans="1:5" x14ac:dyDescent="0.25">
      <c r="A5793" t="s">
        <v>5</v>
      </c>
      <c r="B5793" t="s">
        <v>8</v>
      </c>
      <c r="C5793" s="1">
        <v>45945.658333333333</v>
      </c>
      <c r="D5793" s="1">
        <v>45993.345833333333</v>
      </c>
      <c r="E5793" s="2">
        <f t="shared" si="90"/>
        <v>47.6875</v>
      </c>
    </row>
    <row r="5794" spans="1:5" x14ac:dyDescent="0.25">
      <c r="A5794" t="s">
        <v>15</v>
      </c>
      <c r="B5794" t="s">
        <v>18</v>
      </c>
      <c r="C5794" s="1">
        <v>45915.945833333331</v>
      </c>
      <c r="D5794" s="1">
        <v>45970.963194444441</v>
      </c>
      <c r="E5794" s="2">
        <f t="shared" si="90"/>
        <v>55.017361111109494</v>
      </c>
    </row>
    <row r="5795" spans="1:5" x14ac:dyDescent="0.25">
      <c r="A5795" t="s">
        <v>26</v>
      </c>
      <c r="B5795" t="s">
        <v>21</v>
      </c>
      <c r="C5795" s="1">
        <v>46073.8125</v>
      </c>
      <c r="D5795" s="1">
        <v>46114.208333333343</v>
      </c>
      <c r="E5795" s="2">
        <f t="shared" si="90"/>
        <v>40.395833333343035</v>
      </c>
    </row>
    <row r="5796" spans="1:5" x14ac:dyDescent="0.25">
      <c r="A5796" t="s">
        <v>22</v>
      </c>
      <c r="B5796" t="s">
        <v>19</v>
      </c>
      <c r="C5796" s="1">
        <v>46229.95416666667</v>
      </c>
      <c r="D5796" s="1">
        <v>46274.875</v>
      </c>
      <c r="E5796" s="2">
        <f t="shared" si="90"/>
        <v>44.920833333329938</v>
      </c>
    </row>
    <row r="5797" spans="1:5" x14ac:dyDescent="0.25">
      <c r="A5797" t="s">
        <v>10</v>
      </c>
      <c r="B5797" t="s">
        <v>8</v>
      </c>
      <c r="C5797" s="1">
        <v>46196.748611111107</v>
      </c>
      <c r="D5797" s="1">
        <v>46215.517361111109</v>
      </c>
      <c r="E5797" s="2">
        <f t="shared" si="90"/>
        <v>18.76875000000291</v>
      </c>
    </row>
    <row r="5798" spans="1:5" x14ac:dyDescent="0.25">
      <c r="A5798" t="s">
        <v>14</v>
      </c>
      <c r="B5798" t="s">
        <v>22</v>
      </c>
      <c r="C5798" s="1">
        <v>45868.695833333331</v>
      </c>
      <c r="D5798" s="1">
        <v>45953.338194444441</v>
      </c>
      <c r="E5798" s="2">
        <f t="shared" si="90"/>
        <v>84.642361111109494</v>
      </c>
    </row>
    <row r="5799" spans="1:5" x14ac:dyDescent="0.25">
      <c r="A5799" t="s">
        <v>8</v>
      </c>
      <c r="B5799" t="s">
        <v>18</v>
      </c>
      <c r="C5799" s="1">
        <v>46241.460416666669</v>
      </c>
      <c r="D5799" s="1">
        <v>46284.76666666667</v>
      </c>
      <c r="E5799" s="2">
        <f t="shared" si="90"/>
        <v>43.306250000001455</v>
      </c>
    </row>
    <row r="5800" spans="1:5" x14ac:dyDescent="0.25">
      <c r="A5800" t="s">
        <v>12</v>
      </c>
      <c r="B5800" t="s">
        <v>13</v>
      </c>
      <c r="C5800" s="1">
        <v>46012.541666666657</v>
      </c>
      <c r="D5800" s="1">
        <v>46071.030555555553</v>
      </c>
      <c r="E5800" s="2">
        <f t="shared" si="90"/>
        <v>58.488888888896327</v>
      </c>
    </row>
    <row r="5801" spans="1:5" x14ac:dyDescent="0.25">
      <c r="A5801" t="s">
        <v>12</v>
      </c>
      <c r="B5801" t="s">
        <v>18</v>
      </c>
      <c r="C5801" s="1">
        <v>45838.333333333343</v>
      </c>
      <c r="D5801" s="1">
        <v>45909.30972222222</v>
      </c>
      <c r="E5801" s="2">
        <f t="shared" si="90"/>
        <v>70.976388888877409</v>
      </c>
    </row>
    <row r="5802" spans="1:5" x14ac:dyDescent="0.25">
      <c r="A5802" t="s">
        <v>27</v>
      </c>
      <c r="B5802" t="s">
        <v>8</v>
      </c>
      <c r="C5802" s="1">
        <v>45769.287499999999</v>
      </c>
      <c r="D5802" s="1">
        <v>45815.50277777778</v>
      </c>
      <c r="E5802" s="2">
        <f t="shared" si="90"/>
        <v>46.215277777781012</v>
      </c>
    </row>
    <row r="5803" spans="1:5" x14ac:dyDescent="0.25">
      <c r="A5803" t="s">
        <v>22</v>
      </c>
      <c r="B5803" t="s">
        <v>19</v>
      </c>
      <c r="C5803" s="1">
        <v>45803.65625</v>
      </c>
      <c r="D5803" s="1">
        <v>45854.040972222218</v>
      </c>
      <c r="E5803" s="2">
        <f t="shared" si="90"/>
        <v>50.384722222217533</v>
      </c>
    </row>
    <row r="5804" spans="1:5" x14ac:dyDescent="0.25">
      <c r="A5804" t="s">
        <v>8</v>
      </c>
      <c r="B5804" t="s">
        <v>27</v>
      </c>
      <c r="C5804" s="1">
        <v>45761.47152777778</v>
      </c>
      <c r="D5804" s="1">
        <v>45812.776388888888</v>
      </c>
      <c r="E5804" s="2">
        <f t="shared" si="90"/>
        <v>51.304861111108039</v>
      </c>
    </row>
    <row r="5805" spans="1:5" x14ac:dyDescent="0.25">
      <c r="A5805" t="s">
        <v>12</v>
      </c>
      <c r="B5805" t="s">
        <v>18</v>
      </c>
      <c r="C5805" s="1">
        <v>45947.123611111107</v>
      </c>
      <c r="D5805" s="1">
        <v>46008.915277777778</v>
      </c>
      <c r="E5805" s="2">
        <f t="shared" si="90"/>
        <v>61.791666666671517</v>
      </c>
    </row>
    <row r="5806" spans="1:5" x14ac:dyDescent="0.25">
      <c r="A5806" t="s">
        <v>22</v>
      </c>
      <c r="B5806" t="s">
        <v>19</v>
      </c>
      <c r="C5806" s="1">
        <v>45809.541666666657</v>
      </c>
      <c r="D5806" s="1">
        <v>45860.896527777782</v>
      </c>
      <c r="E5806" s="2">
        <f t="shared" si="90"/>
        <v>51.354861111125501</v>
      </c>
    </row>
    <row r="5807" spans="1:5" x14ac:dyDescent="0.25">
      <c r="A5807" t="s">
        <v>6</v>
      </c>
      <c r="B5807" t="s">
        <v>8</v>
      </c>
      <c r="C5807" s="1">
        <v>46052.223611111112</v>
      </c>
      <c r="D5807" s="1">
        <v>46093.731249999997</v>
      </c>
      <c r="E5807" s="2">
        <f t="shared" si="90"/>
        <v>41.507638888884685</v>
      </c>
    </row>
    <row r="5808" spans="1:5" x14ac:dyDescent="0.25">
      <c r="A5808" t="s">
        <v>12</v>
      </c>
      <c r="B5808" t="s">
        <v>18</v>
      </c>
      <c r="C5808" s="1">
        <v>45757.536111111112</v>
      </c>
      <c r="D5808" s="1">
        <v>45807.625</v>
      </c>
      <c r="E5808" s="2">
        <f t="shared" si="90"/>
        <v>50.088888888887595</v>
      </c>
    </row>
    <row r="5809" spans="1:5" x14ac:dyDescent="0.25">
      <c r="A5809" t="s">
        <v>7</v>
      </c>
      <c r="B5809" t="s">
        <v>8</v>
      </c>
      <c r="C5809" s="1">
        <v>45891.654166666667</v>
      </c>
      <c r="D5809" s="1">
        <v>45938.662499999999</v>
      </c>
      <c r="E5809" s="2">
        <f t="shared" si="90"/>
        <v>47.008333333331393</v>
      </c>
    </row>
    <row r="5810" spans="1:5" x14ac:dyDescent="0.25">
      <c r="A5810" t="s">
        <v>8</v>
      </c>
      <c r="B5810" t="s">
        <v>18</v>
      </c>
      <c r="C5810" s="1">
        <v>46157.003472222219</v>
      </c>
      <c r="D5810" s="1">
        <v>46195.804166666669</v>
      </c>
      <c r="E5810" s="2">
        <f t="shared" si="90"/>
        <v>38.800694444449618</v>
      </c>
    </row>
    <row r="5811" spans="1:5" x14ac:dyDescent="0.25">
      <c r="A5811" t="s">
        <v>14</v>
      </c>
      <c r="B5811" t="s">
        <v>22</v>
      </c>
      <c r="C5811" s="1">
        <v>45932.0625</v>
      </c>
      <c r="D5811" s="1">
        <v>46039.09097222222</v>
      </c>
      <c r="E5811" s="2">
        <f t="shared" si="90"/>
        <v>107.02847222222044</v>
      </c>
    </row>
    <row r="5812" spans="1:5" x14ac:dyDescent="0.25">
      <c r="A5812" t="s">
        <v>23</v>
      </c>
      <c r="B5812" t="s">
        <v>18</v>
      </c>
      <c r="C5812" s="1">
        <v>45910.129166666673</v>
      </c>
      <c r="D5812" s="1">
        <v>45964.081944444442</v>
      </c>
      <c r="E5812" s="2">
        <f t="shared" si="90"/>
        <v>53.95277777776937</v>
      </c>
    </row>
    <row r="5813" spans="1:5" x14ac:dyDescent="0.25">
      <c r="A5813" t="s">
        <v>35</v>
      </c>
      <c r="B5813" t="s">
        <v>13</v>
      </c>
      <c r="C5813" s="1">
        <v>46121.841666666667</v>
      </c>
      <c r="D5813" s="1">
        <v>46162.541666666657</v>
      </c>
      <c r="E5813" s="2">
        <f t="shared" si="90"/>
        <v>40.699999999989814</v>
      </c>
    </row>
    <row r="5814" spans="1:5" x14ac:dyDescent="0.25">
      <c r="A5814" t="s">
        <v>12</v>
      </c>
      <c r="B5814" t="s">
        <v>18</v>
      </c>
      <c r="C5814" s="1">
        <v>45767.413194444453</v>
      </c>
      <c r="D5814" s="1">
        <v>45832.666666666657</v>
      </c>
      <c r="E5814" s="2">
        <f t="shared" si="90"/>
        <v>65.253472222204437</v>
      </c>
    </row>
    <row r="5815" spans="1:5" x14ac:dyDescent="0.25">
      <c r="A5815" t="s">
        <v>7</v>
      </c>
      <c r="B5815" t="s">
        <v>13</v>
      </c>
      <c r="C5815" s="1">
        <v>45812.112500000003</v>
      </c>
      <c r="D5815" s="1">
        <v>45835.85</v>
      </c>
      <c r="E5815" s="2">
        <f t="shared" si="90"/>
        <v>23.737499999995634</v>
      </c>
    </row>
    <row r="5816" spans="1:5" x14ac:dyDescent="0.25">
      <c r="A5816" t="s">
        <v>8</v>
      </c>
      <c r="B5816" t="s">
        <v>18</v>
      </c>
      <c r="C5816" s="1">
        <v>46220.605555555558</v>
      </c>
      <c r="D5816" s="1">
        <v>46269.7</v>
      </c>
      <c r="E5816" s="2">
        <f t="shared" si="90"/>
        <v>49.094444444439432</v>
      </c>
    </row>
    <row r="5817" spans="1:5" x14ac:dyDescent="0.25">
      <c r="A5817" t="s">
        <v>23</v>
      </c>
      <c r="B5817" t="s">
        <v>46</v>
      </c>
      <c r="C5817" s="1">
        <v>46156.142361111109</v>
      </c>
      <c r="D5817" s="1">
        <v>46204.710416666669</v>
      </c>
      <c r="E5817" s="2">
        <f t="shared" si="90"/>
        <v>48.568055555559113</v>
      </c>
    </row>
    <row r="5818" spans="1:5" x14ac:dyDescent="0.25">
      <c r="A5818" t="s">
        <v>12</v>
      </c>
      <c r="B5818" t="s">
        <v>18</v>
      </c>
      <c r="C5818" s="1">
        <v>45988.727083333331</v>
      </c>
      <c r="D5818" s="1">
        <v>46050.520833333343</v>
      </c>
      <c r="E5818" s="2">
        <f t="shared" si="90"/>
        <v>61.793750000011642</v>
      </c>
    </row>
    <row r="5819" spans="1:5" x14ac:dyDescent="0.25">
      <c r="A5819" t="s">
        <v>7</v>
      </c>
      <c r="B5819" t="s">
        <v>8</v>
      </c>
      <c r="C5819" s="1">
        <v>45834.537499999999</v>
      </c>
      <c r="D5819" s="1">
        <v>45885.783333333333</v>
      </c>
      <c r="E5819" s="2">
        <f t="shared" si="90"/>
        <v>51.245833333334303</v>
      </c>
    </row>
    <row r="5820" spans="1:5" x14ac:dyDescent="0.25">
      <c r="A5820" t="s">
        <v>5</v>
      </c>
      <c r="B5820" t="s">
        <v>8</v>
      </c>
      <c r="C5820" s="1">
        <v>45995.0625</v>
      </c>
      <c r="D5820" s="1">
        <v>46028.791666666657</v>
      </c>
      <c r="E5820" s="2">
        <f t="shared" si="90"/>
        <v>33.729166666656965</v>
      </c>
    </row>
    <row r="5821" spans="1:5" x14ac:dyDescent="0.25">
      <c r="A5821" t="s">
        <v>26</v>
      </c>
      <c r="B5821" t="s">
        <v>21</v>
      </c>
      <c r="C5821" s="1">
        <v>46054.645833333343</v>
      </c>
      <c r="D5821" s="1">
        <v>46100.395833333343</v>
      </c>
      <c r="E5821" s="2">
        <f t="shared" si="90"/>
        <v>45.75</v>
      </c>
    </row>
    <row r="5822" spans="1:5" x14ac:dyDescent="0.25">
      <c r="A5822" t="s">
        <v>12</v>
      </c>
      <c r="B5822" t="s">
        <v>18</v>
      </c>
      <c r="C5822" s="1">
        <v>46056.25277777778</v>
      </c>
      <c r="D5822" s="1">
        <v>46103.675694444442</v>
      </c>
      <c r="E5822" s="2">
        <f t="shared" si="90"/>
        <v>47.422916666662786</v>
      </c>
    </row>
    <row r="5823" spans="1:5" x14ac:dyDescent="0.25">
      <c r="A5823" t="s">
        <v>13</v>
      </c>
      <c r="B5823" t="s">
        <v>8</v>
      </c>
      <c r="C5823" s="1">
        <v>45877.620833333327</v>
      </c>
      <c r="D5823" s="1">
        <v>45913.041666666657</v>
      </c>
      <c r="E5823" s="2">
        <f t="shared" si="90"/>
        <v>35.420833333329938</v>
      </c>
    </row>
    <row r="5824" spans="1:5" x14ac:dyDescent="0.25">
      <c r="A5824" t="s">
        <v>7</v>
      </c>
      <c r="B5824" t="s">
        <v>11</v>
      </c>
      <c r="C5824" s="1">
        <v>45676.729861111111</v>
      </c>
      <c r="D5824" s="1">
        <v>45756.350694444453</v>
      </c>
      <c r="E5824" s="2">
        <f t="shared" si="90"/>
        <v>79.620833333341579</v>
      </c>
    </row>
    <row r="5825" spans="1:5" x14ac:dyDescent="0.25">
      <c r="A5825" t="s">
        <v>27</v>
      </c>
      <c r="B5825" t="s">
        <v>39</v>
      </c>
      <c r="C5825" s="1">
        <v>45719.8</v>
      </c>
      <c r="D5825" s="1">
        <v>45791.220833333333</v>
      </c>
      <c r="E5825" s="2">
        <f t="shared" si="90"/>
        <v>71.420833333329938</v>
      </c>
    </row>
    <row r="5826" spans="1:5" x14ac:dyDescent="0.25">
      <c r="A5826" t="s">
        <v>12</v>
      </c>
      <c r="B5826" t="s">
        <v>18</v>
      </c>
      <c r="C5826" s="1">
        <v>45988.727083333331</v>
      </c>
      <c r="D5826" s="1">
        <v>46050.520833333343</v>
      </c>
      <c r="E5826" s="2">
        <f t="shared" ref="E5826:E5889" si="91">D5826-C5826</f>
        <v>61.793750000011642</v>
      </c>
    </row>
    <row r="5827" spans="1:5" x14ac:dyDescent="0.25">
      <c r="A5827" t="s">
        <v>14</v>
      </c>
      <c r="B5827" t="s">
        <v>11</v>
      </c>
      <c r="C5827" s="1">
        <v>45714.987500000003</v>
      </c>
      <c r="D5827" s="1">
        <v>45769.570138888892</v>
      </c>
      <c r="E5827" s="2">
        <f t="shared" si="91"/>
        <v>54.582638888889051</v>
      </c>
    </row>
    <row r="5828" spans="1:5" x14ac:dyDescent="0.25">
      <c r="A5828" t="s">
        <v>22</v>
      </c>
      <c r="B5828" t="s">
        <v>19</v>
      </c>
      <c r="C5828" s="1">
        <v>45709.463703703703</v>
      </c>
      <c r="D5828" s="1">
        <v>45763.956053240741</v>
      </c>
      <c r="E5828" s="2">
        <f t="shared" si="91"/>
        <v>54.492349537038535</v>
      </c>
    </row>
    <row r="5829" spans="1:5" x14ac:dyDescent="0.25">
      <c r="A5829" t="s">
        <v>22</v>
      </c>
      <c r="B5829" t="s">
        <v>14</v>
      </c>
      <c r="C5829" s="1">
        <v>45666.694444444453</v>
      </c>
      <c r="D5829" s="1">
        <v>45736.569444444453</v>
      </c>
      <c r="E5829" s="2">
        <f t="shared" si="91"/>
        <v>69.875</v>
      </c>
    </row>
    <row r="5830" spans="1:5" x14ac:dyDescent="0.25">
      <c r="A5830" t="s">
        <v>17</v>
      </c>
      <c r="B5830" t="s">
        <v>18</v>
      </c>
      <c r="C5830" s="1">
        <v>45709</v>
      </c>
      <c r="D5830" s="1">
        <v>45757</v>
      </c>
      <c r="E5830" s="2">
        <f t="shared" si="91"/>
        <v>48</v>
      </c>
    </row>
    <row r="5831" spans="1:5" x14ac:dyDescent="0.25">
      <c r="A5831" t="s">
        <v>16</v>
      </c>
      <c r="B5831" t="s">
        <v>8</v>
      </c>
      <c r="C5831" s="1">
        <v>45773.75</v>
      </c>
      <c r="D5831" s="1">
        <v>45830.208333333343</v>
      </c>
      <c r="E5831" s="2">
        <f t="shared" si="91"/>
        <v>56.458333333343035</v>
      </c>
    </row>
    <row r="5832" spans="1:5" x14ac:dyDescent="0.25">
      <c r="A5832" t="s">
        <v>12</v>
      </c>
      <c r="B5832" t="s">
        <v>18</v>
      </c>
      <c r="C5832" s="1">
        <v>45673.537499999999</v>
      </c>
      <c r="D5832" s="1">
        <v>45723.833333333343</v>
      </c>
      <c r="E5832" s="2">
        <f t="shared" si="91"/>
        <v>50.29583333334449</v>
      </c>
    </row>
    <row r="5833" spans="1:5" x14ac:dyDescent="0.25">
      <c r="A5833" t="s">
        <v>7</v>
      </c>
      <c r="B5833" t="s">
        <v>11</v>
      </c>
      <c r="C5833" s="1">
        <v>45736.876388888893</v>
      </c>
      <c r="D5833" s="1">
        <v>45812.137499999997</v>
      </c>
      <c r="E5833" s="2">
        <f t="shared" si="91"/>
        <v>75.261111111103673</v>
      </c>
    </row>
    <row r="5834" spans="1:5" x14ac:dyDescent="0.25">
      <c r="A5834" t="s">
        <v>14</v>
      </c>
      <c r="B5834" t="s">
        <v>22</v>
      </c>
      <c r="C5834" s="1">
        <v>46178.17083333333</v>
      </c>
      <c r="D5834" s="1">
        <v>46237.561805555553</v>
      </c>
      <c r="E5834" s="2">
        <f t="shared" si="91"/>
        <v>59.390972222223354</v>
      </c>
    </row>
    <row r="5835" spans="1:5" x14ac:dyDescent="0.25">
      <c r="A5835" t="s">
        <v>34</v>
      </c>
      <c r="B5835" t="s">
        <v>21</v>
      </c>
      <c r="C5835" s="1">
        <v>45942.300694444442</v>
      </c>
      <c r="D5835" s="1">
        <v>45957.25</v>
      </c>
      <c r="E5835" s="2">
        <f t="shared" si="91"/>
        <v>14.949305555557657</v>
      </c>
    </row>
    <row r="5836" spans="1:5" x14ac:dyDescent="0.25">
      <c r="A5836" t="s">
        <v>16</v>
      </c>
      <c r="B5836" t="s">
        <v>13</v>
      </c>
      <c r="C5836" s="1">
        <v>45773.75</v>
      </c>
      <c r="D5836" s="1">
        <v>45817.291666666657</v>
      </c>
      <c r="E5836" s="2">
        <f t="shared" si="91"/>
        <v>43.541666666656965</v>
      </c>
    </row>
    <row r="5837" spans="1:5" x14ac:dyDescent="0.25">
      <c r="A5837" t="s">
        <v>13</v>
      </c>
      <c r="B5837" t="s">
        <v>11</v>
      </c>
      <c r="C5837" s="1">
        <v>46210.22152777778</v>
      </c>
      <c r="D5837" s="1">
        <v>46245.868750000001</v>
      </c>
      <c r="E5837" s="2">
        <f t="shared" si="91"/>
        <v>35.647222222221899</v>
      </c>
    </row>
    <row r="5838" spans="1:5" x14ac:dyDescent="0.25">
      <c r="A5838" t="s">
        <v>12</v>
      </c>
      <c r="B5838" t="s">
        <v>13</v>
      </c>
      <c r="C5838" s="1">
        <v>45781.375</v>
      </c>
      <c r="D5838" s="1">
        <v>45825.833333333343</v>
      </c>
      <c r="E5838" s="2">
        <f t="shared" si="91"/>
        <v>44.458333333343035</v>
      </c>
    </row>
    <row r="5839" spans="1:5" x14ac:dyDescent="0.25">
      <c r="A5839" t="s">
        <v>23</v>
      </c>
      <c r="B5839" t="s">
        <v>18</v>
      </c>
      <c r="C5839" s="1">
        <v>45950.375</v>
      </c>
      <c r="D5839" s="1">
        <v>46008.915277777778</v>
      </c>
      <c r="E5839" s="2">
        <f t="shared" si="91"/>
        <v>58.540277777778101</v>
      </c>
    </row>
    <row r="5840" spans="1:5" x14ac:dyDescent="0.25">
      <c r="A5840" t="s">
        <v>10</v>
      </c>
      <c r="B5840" t="s">
        <v>11</v>
      </c>
      <c r="C5840" s="1">
        <v>45891.162627314807</v>
      </c>
      <c r="D5840" s="1">
        <v>45924.945833333331</v>
      </c>
      <c r="E5840" s="2">
        <f t="shared" si="91"/>
        <v>33.783206018524652</v>
      </c>
    </row>
    <row r="5841" spans="1:5" x14ac:dyDescent="0.25">
      <c r="A5841" t="s">
        <v>11</v>
      </c>
      <c r="B5841" t="s">
        <v>37</v>
      </c>
      <c r="C5841" s="1">
        <v>45721.031712962962</v>
      </c>
      <c r="D5841" s="1">
        <v>45734.345833333333</v>
      </c>
      <c r="E5841" s="2">
        <f t="shared" si="91"/>
        <v>13.314120370370802</v>
      </c>
    </row>
    <row r="5842" spans="1:5" x14ac:dyDescent="0.25">
      <c r="A5842" t="s">
        <v>28</v>
      </c>
      <c r="B5842" t="s">
        <v>13</v>
      </c>
      <c r="C5842" s="1">
        <v>45981.655555555553</v>
      </c>
      <c r="D5842" s="1">
        <v>46042.833333333343</v>
      </c>
      <c r="E5842" s="2">
        <f t="shared" si="91"/>
        <v>61.177777777789743</v>
      </c>
    </row>
    <row r="5843" spans="1:5" x14ac:dyDescent="0.25">
      <c r="A5843" t="s">
        <v>15</v>
      </c>
      <c r="B5843" t="s">
        <v>18</v>
      </c>
      <c r="C5843" s="1">
        <v>46194.129861111112</v>
      </c>
      <c r="D5843" s="1">
        <v>46246.305555555547</v>
      </c>
      <c r="E5843" s="2">
        <f t="shared" si="91"/>
        <v>52.175694444435067</v>
      </c>
    </row>
    <row r="5844" spans="1:5" x14ac:dyDescent="0.25">
      <c r="A5844" t="s">
        <v>40</v>
      </c>
      <c r="B5844" t="s">
        <v>37</v>
      </c>
      <c r="C5844" s="1">
        <v>45872.71875</v>
      </c>
      <c r="D5844" s="1">
        <v>45881.95416666667</v>
      </c>
      <c r="E5844" s="2">
        <f t="shared" si="91"/>
        <v>9.2354166666700621</v>
      </c>
    </row>
    <row r="5845" spans="1:5" x14ac:dyDescent="0.25">
      <c r="A5845" t="s">
        <v>11</v>
      </c>
      <c r="B5845" t="s">
        <v>21</v>
      </c>
      <c r="C5845" s="1">
        <v>46038.947222222218</v>
      </c>
      <c r="D5845" s="1">
        <v>46049.666666666657</v>
      </c>
      <c r="E5845" s="2">
        <f t="shared" si="91"/>
        <v>10.719444444439432</v>
      </c>
    </row>
    <row r="5846" spans="1:5" x14ac:dyDescent="0.25">
      <c r="A5846" t="s">
        <v>5</v>
      </c>
      <c r="B5846" t="s">
        <v>8</v>
      </c>
      <c r="C5846" s="1">
        <v>45995.0625</v>
      </c>
      <c r="D5846" s="1">
        <v>46028.791666666657</v>
      </c>
      <c r="E5846" s="2">
        <f t="shared" si="91"/>
        <v>33.729166666656965</v>
      </c>
    </row>
    <row r="5847" spans="1:5" x14ac:dyDescent="0.25">
      <c r="A5847" t="s">
        <v>7</v>
      </c>
      <c r="B5847" t="s">
        <v>11</v>
      </c>
      <c r="C5847" s="1">
        <v>46102.293749999997</v>
      </c>
      <c r="D5847" s="1">
        <v>46175.283333333333</v>
      </c>
      <c r="E5847" s="2">
        <f t="shared" si="91"/>
        <v>72.989583333335759</v>
      </c>
    </row>
    <row r="5848" spans="1:5" x14ac:dyDescent="0.25">
      <c r="A5848" t="s">
        <v>15</v>
      </c>
      <c r="B5848" t="s">
        <v>13</v>
      </c>
      <c r="C5848" s="1">
        <v>45767.474999999999</v>
      </c>
      <c r="D5848" s="1">
        <v>45811.083333333343</v>
      </c>
      <c r="E5848" s="2">
        <f t="shared" si="91"/>
        <v>43.60833333334449</v>
      </c>
    </row>
    <row r="5849" spans="1:5" x14ac:dyDescent="0.25">
      <c r="A5849" t="s">
        <v>23</v>
      </c>
      <c r="B5849" t="s">
        <v>24</v>
      </c>
      <c r="C5849" s="1">
        <v>46140.49722222222</v>
      </c>
      <c r="D5849" s="1">
        <v>46206.291666666657</v>
      </c>
      <c r="E5849" s="2">
        <f t="shared" si="91"/>
        <v>65.794444444436522</v>
      </c>
    </row>
    <row r="5850" spans="1:5" x14ac:dyDescent="0.25">
      <c r="A5850" t="s">
        <v>12</v>
      </c>
      <c r="B5850" t="s">
        <v>13</v>
      </c>
      <c r="C5850" s="1">
        <v>46132.84375</v>
      </c>
      <c r="D5850" s="1">
        <v>46178.856944444437</v>
      </c>
      <c r="E5850" s="2">
        <f t="shared" si="91"/>
        <v>46.013194444436522</v>
      </c>
    </row>
    <row r="5851" spans="1:5" x14ac:dyDescent="0.25">
      <c r="A5851" t="s">
        <v>11</v>
      </c>
      <c r="B5851" t="s">
        <v>21</v>
      </c>
      <c r="C5851" s="1">
        <v>46235.666666666657</v>
      </c>
      <c r="D5851" s="1">
        <v>46246.875</v>
      </c>
      <c r="E5851" s="2">
        <f t="shared" si="91"/>
        <v>11.208333333343035</v>
      </c>
    </row>
    <row r="5852" spans="1:5" x14ac:dyDescent="0.25">
      <c r="A5852" t="s">
        <v>11</v>
      </c>
      <c r="B5852" t="s">
        <v>21</v>
      </c>
      <c r="C5852" s="1">
        <v>45843.083333333343</v>
      </c>
      <c r="D5852" s="1">
        <v>45853.566666666673</v>
      </c>
      <c r="E5852" s="2">
        <f t="shared" si="91"/>
        <v>10.483333333329938</v>
      </c>
    </row>
    <row r="5853" spans="1:5" x14ac:dyDescent="0.25">
      <c r="A5853" t="s">
        <v>12</v>
      </c>
      <c r="B5853" t="s">
        <v>18</v>
      </c>
      <c r="C5853" s="1">
        <v>45981.336111111108</v>
      </c>
      <c r="D5853" s="1">
        <v>46050.520833333343</v>
      </c>
      <c r="E5853" s="2">
        <f t="shared" si="91"/>
        <v>69.184722222234996</v>
      </c>
    </row>
    <row r="5854" spans="1:5" x14ac:dyDescent="0.25">
      <c r="A5854" t="s">
        <v>23</v>
      </c>
      <c r="B5854" t="s">
        <v>18</v>
      </c>
      <c r="C5854" s="1">
        <v>46087.270833333343</v>
      </c>
      <c r="D5854" s="1">
        <v>46131.375</v>
      </c>
      <c r="E5854" s="2">
        <f t="shared" si="91"/>
        <v>44.104166666656965</v>
      </c>
    </row>
    <row r="5855" spans="1:5" x14ac:dyDescent="0.25">
      <c r="A5855" t="s">
        <v>14</v>
      </c>
      <c r="B5855" t="s">
        <v>22</v>
      </c>
      <c r="C5855" s="1">
        <v>46115.633333333331</v>
      </c>
      <c r="D5855" s="1">
        <v>46177.5</v>
      </c>
      <c r="E5855" s="2">
        <f t="shared" si="91"/>
        <v>61.866666666668607</v>
      </c>
    </row>
    <row r="5856" spans="1:5" x14ac:dyDescent="0.25">
      <c r="A5856" t="s">
        <v>16</v>
      </c>
      <c r="B5856" t="s">
        <v>20</v>
      </c>
      <c r="C5856" s="1">
        <v>45744.76666666667</v>
      </c>
      <c r="D5856" s="1">
        <v>45802.775000000001</v>
      </c>
      <c r="E5856" s="2">
        <f t="shared" si="91"/>
        <v>58.008333333331393</v>
      </c>
    </row>
    <row r="5857" spans="1:5" x14ac:dyDescent="0.25">
      <c r="A5857" t="s">
        <v>22</v>
      </c>
      <c r="B5857" t="s">
        <v>6</v>
      </c>
      <c r="C5857" s="1">
        <v>45712.171527777777</v>
      </c>
      <c r="D5857" s="1">
        <v>45773.51666666667</v>
      </c>
      <c r="E5857" s="2">
        <f t="shared" si="91"/>
        <v>61.345138888893416</v>
      </c>
    </row>
    <row r="5858" spans="1:5" x14ac:dyDescent="0.25">
      <c r="A5858" t="s">
        <v>12</v>
      </c>
      <c r="B5858" t="s">
        <v>18</v>
      </c>
      <c r="C5858" s="1">
        <v>45895.17083333333</v>
      </c>
      <c r="D5858" s="1">
        <v>45964.081944444442</v>
      </c>
      <c r="E5858" s="2">
        <f t="shared" si="91"/>
        <v>68.911111111112405</v>
      </c>
    </row>
    <row r="5859" spans="1:5" x14ac:dyDescent="0.25">
      <c r="A5859" t="s">
        <v>7</v>
      </c>
      <c r="B5859" t="s">
        <v>11</v>
      </c>
      <c r="C5859" s="1">
        <v>45717.411805555559</v>
      </c>
      <c r="D5859" s="1">
        <v>45783.9</v>
      </c>
      <c r="E5859" s="2">
        <f t="shared" si="91"/>
        <v>66.488194444442343</v>
      </c>
    </row>
    <row r="5860" spans="1:5" x14ac:dyDescent="0.25">
      <c r="A5860" t="s">
        <v>28</v>
      </c>
      <c r="B5860" t="s">
        <v>18</v>
      </c>
      <c r="C5860" s="1">
        <v>45803.540277777778</v>
      </c>
      <c r="D5860" s="1">
        <v>45875.361805555563</v>
      </c>
      <c r="E5860" s="2">
        <f t="shared" si="91"/>
        <v>71.821527777785377</v>
      </c>
    </row>
    <row r="5861" spans="1:5" x14ac:dyDescent="0.25">
      <c r="A5861" t="s">
        <v>10</v>
      </c>
      <c r="B5861" t="s">
        <v>8</v>
      </c>
      <c r="C5861" s="1">
        <v>46225.225972222222</v>
      </c>
      <c r="D5861" s="1">
        <v>46243.890972222223</v>
      </c>
      <c r="E5861" s="2">
        <f t="shared" si="91"/>
        <v>18.665000000000873</v>
      </c>
    </row>
    <row r="5862" spans="1:5" x14ac:dyDescent="0.25">
      <c r="A5862" t="s">
        <v>61</v>
      </c>
      <c r="B5862" t="s">
        <v>13</v>
      </c>
      <c r="C5862" s="1">
        <v>45971.212500000001</v>
      </c>
      <c r="D5862" s="1">
        <v>46022.405555555553</v>
      </c>
      <c r="E5862" s="2">
        <f t="shared" si="91"/>
        <v>51.193055555551837</v>
      </c>
    </row>
    <row r="5863" spans="1:5" x14ac:dyDescent="0.25">
      <c r="A5863" t="s">
        <v>26</v>
      </c>
      <c r="B5863" t="s">
        <v>21</v>
      </c>
      <c r="C5863" s="1">
        <v>46160.929166666669</v>
      </c>
      <c r="D5863" s="1">
        <v>46212.279166666667</v>
      </c>
      <c r="E5863" s="2">
        <f t="shared" si="91"/>
        <v>51.349999999998545</v>
      </c>
    </row>
    <row r="5864" spans="1:5" x14ac:dyDescent="0.25">
      <c r="A5864" t="s">
        <v>22</v>
      </c>
      <c r="B5864" t="s">
        <v>6</v>
      </c>
      <c r="C5864" s="1">
        <v>45873.851388888892</v>
      </c>
      <c r="D5864" s="1">
        <v>45935.694444444453</v>
      </c>
      <c r="E5864" s="2">
        <f t="shared" si="91"/>
        <v>61.843055555560568</v>
      </c>
    </row>
    <row r="5865" spans="1:5" x14ac:dyDescent="0.25">
      <c r="A5865" t="s">
        <v>42</v>
      </c>
      <c r="B5865" t="s">
        <v>13</v>
      </c>
      <c r="C5865" s="1">
        <v>46154.455555555563</v>
      </c>
      <c r="D5865" s="1">
        <v>46202.871527777781</v>
      </c>
      <c r="E5865" s="2">
        <f t="shared" si="91"/>
        <v>48.415972222217533</v>
      </c>
    </row>
    <row r="5866" spans="1:5" x14ac:dyDescent="0.25">
      <c r="A5866" t="s">
        <v>28</v>
      </c>
      <c r="B5866" t="s">
        <v>30</v>
      </c>
      <c r="C5866" s="1">
        <v>45792.271527777782</v>
      </c>
      <c r="D5866" s="1">
        <v>45843.215277777781</v>
      </c>
      <c r="E5866" s="2">
        <f t="shared" si="91"/>
        <v>50.943749999998545</v>
      </c>
    </row>
    <row r="5867" spans="1:5" x14ac:dyDescent="0.25">
      <c r="A5867" t="s">
        <v>27</v>
      </c>
      <c r="B5867" t="s">
        <v>18</v>
      </c>
      <c r="C5867" s="1">
        <v>46005.75</v>
      </c>
      <c r="D5867" s="1">
        <v>46063.32708333333</v>
      </c>
      <c r="E5867" s="2">
        <f t="shared" si="91"/>
        <v>57.577083333329938</v>
      </c>
    </row>
    <row r="5868" spans="1:5" x14ac:dyDescent="0.25">
      <c r="A5868" t="s">
        <v>23</v>
      </c>
      <c r="B5868" t="s">
        <v>18</v>
      </c>
      <c r="C5868" s="1">
        <v>45933.418055555558</v>
      </c>
      <c r="D5868" s="1">
        <v>45986.619444444441</v>
      </c>
      <c r="E5868" s="2">
        <f t="shared" si="91"/>
        <v>53.20138888888323</v>
      </c>
    </row>
    <row r="5869" spans="1:5" x14ac:dyDescent="0.25">
      <c r="A5869" t="s">
        <v>16</v>
      </c>
      <c r="B5869" t="s">
        <v>13</v>
      </c>
      <c r="C5869" s="1">
        <v>45933.991666666669</v>
      </c>
      <c r="D5869" s="1">
        <v>45978.833333333343</v>
      </c>
      <c r="E5869" s="2">
        <f t="shared" si="91"/>
        <v>44.841666666674428</v>
      </c>
    </row>
    <row r="5870" spans="1:5" x14ac:dyDescent="0.25">
      <c r="A5870" t="s">
        <v>26</v>
      </c>
      <c r="B5870" t="s">
        <v>21</v>
      </c>
      <c r="C5870" s="1">
        <v>46044.041666666657</v>
      </c>
      <c r="D5870" s="1">
        <v>46092.333333333343</v>
      </c>
      <c r="E5870" s="2">
        <f t="shared" si="91"/>
        <v>48.291666666686069</v>
      </c>
    </row>
    <row r="5871" spans="1:5" x14ac:dyDescent="0.25">
      <c r="A5871" t="s">
        <v>23</v>
      </c>
      <c r="B5871" t="s">
        <v>18</v>
      </c>
      <c r="C5871" s="1">
        <v>45995.4375</v>
      </c>
      <c r="D5871" s="1">
        <v>46050.520833333343</v>
      </c>
      <c r="E5871" s="2">
        <f t="shared" si="91"/>
        <v>55.083333333343035</v>
      </c>
    </row>
    <row r="5872" spans="1:5" x14ac:dyDescent="0.25">
      <c r="A5872" t="s">
        <v>8</v>
      </c>
      <c r="B5872" t="s">
        <v>18</v>
      </c>
      <c r="C5872" s="1">
        <v>46206.283333333333</v>
      </c>
      <c r="D5872" s="1">
        <v>46251.208333333343</v>
      </c>
      <c r="E5872" s="2">
        <f t="shared" si="91"/>
        <v>44.925000000010186</v>
      </c>
    </row>
    <row r="5873" spans="1:5" x14ac:dyDescent="0.25">
      <c r="A5873" t="s">
        <v>14</v>
      </c>
      <c r="B5873" t="s">
        <v>22</v>
      </c>
      <c r="C5873" s="1">
        <v>45813.991666666669</v>
      </c>
      <c r="D5873" s="1">
        <v>45872.091666666667</v>
      </c>
      <c r="E5873" s="2">
        <f t="shared" si="91"/>
        <v>58.099999999998545</v>
      </c>
    </row>
    <row r="5874" spans="1:5" x14ac:dyDescent="0.25">
      <c r="A5874" t="s">
        <v>26</v>
      </c>
      <c r="B5874" t="s">
        <v>21</v>
      </c>
      <c r="C5874" s="1">
        <v>46194.208333333343</v>
      </c>
      <c r="D5874" s="1">
        <v>46241.2</v>
      </c>
      <c r="E5874" s="2">
        <f t="shared" si="91"/>
        <v>46.991666666654055</v>
      </c>
    </row>
    <row r="5875" spans="1:5" x14ac:dyDescent="0.25">
      <c r="A5875" t="s">
        <v>22</v>
      </c>
      <c r="B5875" t="s">
        <v>14</v>
      </c>
      <c r="C5875" s="1">
        <v>45902.186631944453</v>
      </c>
      <c r="D5875" s="1">
        <v>45945.550694444442</v>
      </c>
      <c r="E5875" s="2">
        <f t="shared" si="91"/>
        <v>43.364062499989814</v>
      </c>
    </row>
    <row r="5876" spans="1:5" x14ac:dyDescent="0.25">
      <c r="A5876" t="s">
        <v>42</v>
      </c>
      <c r="B5876" t="s">
        <v>19</v>
      </c>
      <c r="C5876" s="1">
        <v>45903.912499999999</v>
      </c>
      <c r="D5876" s="1">
        <v>45945.757638888892</v>
      </c>
      <c r="E5876" s="2">
        <f t="shared" si="91"/>
        <v>41.845138888893416</v>
      </c>
    </row>
    <row r="5877" spans="1:5" x14ac:dyDescent="0.25">
      <c r="A5877" t="s">
        <v>8</v>
      </c>
      <c r="B5877" t="s">
        <v>18</v>
      </c>
      <c r="C5877" s="1">
        <v>45948.040972222218</v>
      </c>
      <c r="D5877" s="1">
        <v>45981.754861111112</v>
      </c>
      <c r="E5877" s="2">
        <f t="shared" si="91"/>
        <v>33.713888888894871</v>
      </c>
    </row>
    <row r="5878" spans="1:5" x14ac:dyDescent="0.25">
      <c r="A5878" t="s">
        <v>17</v>
      </c>
      <c r="B5878" t="s">
        <v>18</v>
      </c>
      <c r="C5878" s="1">
        <v>45709</v>
      </c>
      <c r="D5878" s="1">
        <v>45757</v>
      </c>
      <c r="E5878" s="2">
        <f t="shared" si="91"/>
        <v>48</v>
      </c>
    </row>
    <row r="5879" spans="1:5" x14ac:dyDescent="0.25">
      <c r="A5879" t="s">
        <v>19</v>
      </c>
      <c r="B5879" t="s">
        <v>8</v>
      </c>
      <c r="C5879" s="1">
        <v>46133.806944444441</v>
      </c>
      <c r="D5879" s="1">
        <v>46168.885416666657</v>
      </c>
      <c r="E5879" s="2">
        <f t="shared" si="91"/>
        <v>35.078472222216078</v>
      </c>
    </row>
    <row r="5880" spans="1:5" x14ac:dyDescent="0.25">
      <c r="A5880" t="s">
        <v>22</v>
      </c>
      <c r="B5880" t="s">
        <v>19</v>
      </c>
      <c r="C5880" s="1">
        <v>45823.977083333331</v>
      </c>
      <c r="D5880" s="1">
        <v>45875.595138888893</v>
      </c>
      <c r="E5880" s="2">
        <f t="shared" si="91"/>
        <v>51.618055555562023</v>
      </c>
    </row>
    <row r="5881" spans="1:5" x14ac:dyDescent="0.25">
      <c r="A5881" t="s">
        <v>16</v>
      </c>
      <c r="B5881" t="s">
        <v>8</v>
      </c>
      <c r="C5881" s="1">
        <v>45773.75</v>
      </c>
      <c r="D5881" s="1">
        <v>45830.208333333343</v>
      </c>
      <c r="E5881" s="2">
        <f t="shared" si="91"/>
        <v>56.458333333343035</v>
      </c>
    </row>
    <row r="5882" spans="1:5" x14ac:dyDescent="0.25">
      <c r="A5882" t="s">
        <v>34</v>
      </c>
      <c r="B5882" t="s">
        <v>13</v>
      </c>
      <c r="C5882" s="1">
        <v>46069.268055555563</v>
      </c>
      <c r="D5882" s="1">
        <v>46092.604166666657</v>
      </c>
      <c r="E5882" s="2">
        <f t="shared" si="91"/>
        <v>23.336111111093487</v>
      </c>
    </row>
    <row r="5883" spans="1:5" x14ac:dyDescent="0.25">
      <c r="A5883" t="s">
        <v>28</v>
      </c>
      <c r="B5883" t="s">
        <v>18</v>
      </c>
      <c r="C5883" s="1">
        <v>45879.111111111109</v>
      </c>
      <c r="D5883" s="1">
        <v>45955.333333333343</v>
      </c>
      <c r="E5883" s="2">
        <f t="shared" si="91"/>
        <v>76.22222222223354</v>
      </c>
    </row>
    <row r="5884" spans="1:5" x14ac:dyDescent="0.25">
      <c r="A5884" t="s">
        <v>13</v>
      </c>
      <c r="B5884" t="s">
        <v>11</v>
      </c>
      <c r="C5884" s="1">
        <v>46182.5</v>
      </c>
      <c r="D5884" s="1">
        <v>46217.72152777778</v>
      </c>
      <c r="E5884" s="2">
        <f t="shared" si="91"/>
        <v>35.221527777779556</v>
      </c>
    </row>
    <row r="5885" spans="1:5" x14ac:dyDescent="0.25">
      <c r="A5885" t="s">
        <v>6</v>
      </c>
      <c r="B5885" t="s">
        <v>8</v>
      </c>
      <c r="C5885" s="1">
        <v>45755.966666666667</v>
      </c>
      <c r="D5885" s="1">
        <v>45799.242361111108</v>
      </c>
      <c r="E5885" s="2">
        <f t="shared" si="91"/>
        <v>43.275694444440887</v>
      </c>
    </row>
    <row r="5886" spans="1:5" x14ac:dyDescent="0.25">
      <c r="A5886" t="s">
        <v>28</v>
      </c>
      <c r="B5886" t="s">
        <v>18</v>
      </c>
      <c r="C5886" s="1">
        <v>45834.243055555547</v>
      </c>
      <c r="D5886" s="1">
        <v>45897</v>
      </c>
      <c r="E5886" s="2">
        <f t="shared" si="91"/>
        <v>62.756944444452529</v>
      </c>
    </row>
    <row r="5887" spans="1:5" x14ac:dyDescent="0.25">
      <c r="A5887" t="s">
        <v>15</v>
      </c>
      <c r="B5887" t="s">
        <v>13</v>
      </c>
      <c r="C5887" s="1">
        <v>45729.454861111109</v>
      </c>
      <c r="D5887" s="1">
        <v>45774.709722222222</v>
      </c>
      <c r="E5887" s="2">
        <f t="shared" si="91"/>
        <v>45.254861111112405</v>
      </c>
    </row>
    <row r="5888" spans="1:5" x14ac:dyDescent="0.25">
      <c r="A5888" t="s">
        <v>16</v>
      </c>
      <c r="B5888" t="s">
        <v>20</v>
      </c>
      <c r="C5888" s="1">
        <v>45687.745833333327</v>
      </c>
      <c r="D5888" s="1">
        <v>45739</v>
      </c>
      <c r="E5888" s="2">
        <f t="shared" si="91"/>
        <v>51.254166666672972</v>
      </c>
    </row>
    <row r="5889" spans="1:5" x14ac:dyDescent="0.25">
      <c r="A5889" t="s">
        <v>14</v>
      </c>
      <c r="B5889" t="s">
        <v>22</v>
      </c>
      <c r="C5889" s="1">
        <v>45861.620833333327</v>
      </c>
      <c r="D5889" s="1">
        <v>45925.712500000001</v>
      </c>
      <c r="E5889" s="2">
        <f t="shared" si="91"/>
        <v>64.091666666674428</v>
      </c>
    </row>
    <row r="5890" spans="1:5" x14ac:dyDescent="0.25">
      <c r="A5890" t="s">
        <v>12</v>
      </c>
      <c r="B5890" t="s">
        <v>13</v>
      </c>
      <c r="C5890" s="1">
        <v>46222.615972222222</v>
      </c>
      <c r="D5890" s="1">
        <v>46272.236805555563</v>
      </c>
      <c r="E5890" s="2">
        <f t="shared" ref="E5890:E5953" si="92">D5890-C5890</f>
        <v>49.620833333341579</v>
      </c>
    </row>
    <row r="5891" spans="1:5" x14ac:dyDescent="0.25">
      <c r="A5891" t="s">
        <v>11</v>
      </c>
      <c r="B5891" t="s">
        <v>7</v>
      </c>
      <c r="C5891" s="1">
        <v>45773.583333333343</v>
      </c>
      <c r="D5891" s="1">
        <v>45869.79583333333</v>
      </c>
      <c r="E5891" s="2">
        <f t="shared" si="92"/>
        <v>96.212499999986903</v>
      </c>
    </row>
    <row r="5892" spans="1:5" x14ac:dyDescent="0.25">
      <c r="A5892" t="s">
        <v>17</v>
      </c>
      <c r="B5892" t="s">
        <v>18</v>
      </c>
      <c r="C5892" s="1">
        <v>45672.722916666673</v>
      </c>
      <c r="D5892" s="1">
        <v>45723.833333333343</v>
      </c>
      <c r="E5892" s="2">
        <f t="shared" si="92"/>
        <v>51.110416666670062</v>
      </c>
    </row>
    <row r="5893" spans="1:5" x14ac:dyDescent="0.25">
      <c r="A5893" t="s">
        <v>6</v>
      </c>
      <c r="B5893" t="s">
        <v>8</v>
      </c>
      <c r="C5893" s="1">
        <v>45935.486111111109</v>
      </c>
      <c r="D5893" s="1">
        <v>45971.695833333331</v>
      </c>
      <c r="E5893" s="2">
        <f t="shared" si="92"/>
        <v>36.209722222221899</v>
      </c>
    </row>
    <row r="5894" spans="1:5" x14ac:dyDescent="0.25">
      <c r="A5894" t="s">
        <v>23</v>
      </c>
      <c r="B5894" t="s">
        <v>12</v>
      </c>
      <c r="C5894" s="1">
        <v>46081.666666666657</v>
      </c>
      <c r="D5894" s="1">
        <v>46090.700694444437</v>
      </c>
      <c r="E5894" s="2">
        <f t="shared" si="92"/>
        <v>9.0340277777795563</v>
      </c>
    </row>
    <row r="5895" spans="1:5" x14ac:dyDescent="0.25">
      <c r="A5895" t="s">
        <v>12</v>
      </c>
      <c r="B5895" t="s">
        <v>18</v>
      </c>
      <c r="C5895" s="1">
        <v>46012.541666666657</v>
      </c>
      <c r="D5895" s="1">
        <v>46079.863888888889</v>
      </c>
      <c r="E5895" s="2">
        <f t="shared" si="92"/>
        <v>67.322222222232085</v>
      </c>
    </row>
    <row r="5896" spans="1:5" x14ac:dyDescent="0.25">
      <c r="A5896" t="s">
        <v>11</v>
      </c>
      <c r="B5896" t="s">
        <v>16</v>
      </c>
      <c r="C5896" s="1">
        <v>46181.945138888892</v>
      </c>
      <c r="D5896" s="1">
        <v>46257.76666666667</v>
      </c>
      <c r="E5896" s="2">
        <f t="shared" si="92"/>
        <v>75.821527777778101</v>
      </c>
    </row>
    <row r="5897" spans="1:5" x14ac:dyDescent="0.25">
      <c r="A5897" t="s">
        <v>5</v>
      </c>
      <c r="B5897" t="s">
        <v>8</v>
      </c>
      <c r="C5897" s="1">
        <v>46243.275000000001</v>
      </c>
      <c r="D5897" s="1">
        <v>46282.215277777781</v>
      </c>
      <c r="E5897" s="2">
        <f t="shared" si="92"/>
        <v>38.940277777779556</v>
      </c>
    </row>
    <row r="5898" spans="1:5" x14ac:dyDescent="0.25">
      <c r="A5898" t="s">
        <v>41</v>
      </c>
      <c r="B5898" t="s">
        <v>8</v>
      </c>
      <c r="C5898" s="1">
        <v>46209.07708333333</v>
      </c>
      <c r="D5898" s="1">
        <v>46249.788194444453</v>
      </c>
      <c r="E5898" s="2">
        <f t="shared" si="92"/>
        <v>40.711111111122591</v>
      </c>
    </row>
    <row r="5899" spans="1:5" x14ac:dyDescent="0.25">
      <c r="A5899" t="s">
        <v>26</v>
      </c>
      <c r="B5899" t="s">
        <v>21</v>
      </c>
      <c r="C5899" s="1">
        <v>46149.798611111109</v>
      </c>
      <c r="D5899" s="1">
        <v>46198.020833333343</v>
      </c>
      <c r="E5899" s="2">
        <f t="shared" si="92"/>
        <v>48.22222222223354</v>
      </c>
    </row>
    <row r="5900" spans="1:5" x14ac:dyDescent="0.25">
      <c r="A5900" t="s">
        <v>15</v>
      </c>
      <c r="B5900" t="s">
        <v>13</v>
      </c>
      <c r="C5900" s="1">
        <v>45931.458333333343</v>
      </c>
      <c r="D5900" s="1">
        <v>45977.095833333333</v>
      </c>
      <c r="E5900" s="2">
        <f t="shared" si="92"/>
        <v>45.637499999989814</v>
      </c>
    </row>
    <row r="5901" spans="1:5" x14ac:dyDescent="0.25">
      <c r="A5901" t="s">
        <v>27</v>
      </c>
      <c r="B5901" t="s">
        <v>59</v>
      </c>
      <c r="C5901" s="1">
        <v>45674</v>
      </c>
      <c r="D5901" s="1">
        <v>45748</v>
      </c>
      <c r="E5901" s="2">
        <f t="shared" si="92"/>
        <v>74</v>
      </c>
    </row>
    <row r="5902" spans="1:5" x14ac:dyDescent="0.25">
      <c r="A5902" t="s">
        <v>23</v>
      </c>
      <c r="B5902" t="s">
        <v>30</v>
      </c>
      <c r="C5902" s="1">
        <v>45897.603472222218</v>
      </c>
      <c r="D5902" s="1">
        <v>45940.215277777781</v>
      </c>
      <c r="E5902" s="2">
        <f t="shared" si="92"/>
        <v>42.611805555563478</v>
      </c>
    </row>
    <row r="5903" spans="1:5" x14ac:dyDescent="0.25">
      <c r="A5903" t="s">
        <v>41</v>
      </c>
      <c r="B5903" t="s">
        <v>8</v>
      </c>
      <c r="C5903" s="1">
        <v>46201.175694444442</v>
      </c>
      <c r="D5903" s="1">
        <v>46237.043749999997</v>
      </c>
      <c r="E5903" s="2">
        <f t="shared" si="92"/>
        <v>35.868055555554747</v>
      </c>
    </row>
    <row r="5904" spans="1:5" x14ac:dyDescent="0.25">
      <c r="A5904" t="s">
        <v>12</v>
      </c>
      <c r="B5904" t="s">
        <v>13</v>
      </c>
      <c r="C5904" s="1">
        <v>45928.541666666657</v>
      </c>
      <c r="D5904" s="1">
        <v>45975.791666666657</v>
      </c>
      <c r="E5904" s="2">
        <f t="shared" si="92"/>
        <v>47.25</v>
      </c>
    </row>
    <row r="5905" spans="1:5" x14ac:dyDescent="0.25">
      <c r="A5905" t="s">
        <v>27</v>
      </c>
      <c r="B5905" t="s">
        <v>18</v>
      </c>
      <c r="C5905" s="1">
        <v>45782.501388888893</v>
      </c>
      <c r="D5905" s="1">
        <v>45847.017361111109</v>
      </c>
      <c r="E5905" s="2">
        <f t="shared" si="92"/>
        <v>64.515972222216078</v>
      </c>
    </row>
    <row r="5906" spans="1:5" x14ac:dyDescent="0.25">
      <c r="A5906" t="s">
        <v>6</v>
      </c>
      <c r="B5906" t="s">
        <v>8</v>
      </c>
      <c r="C5906" s="1">
        <v>45859.069444444453</v>
      </c>
      <c r="D5906" s="1">
        <v>45895.902083333327</v>
      </c>
      <c r="E5906" s="2">
        <f t="shared" si="92"/>
        <v>36.832638888874499</v>
      </c>
    </row>
    <row r="5907" spans="1:5" x14ac:dyDescent="0.25">
      <c r="A5907" t="s">
        <v>9</v>
      </c>
      <c r="B5907" t="s">
        <v>11</v>
      </c>
      <c r="C5907" s="1">
        <v>45750.540277777778</v>
      </c>
      <c r="D5907" s="1">
        <v>45840.291666666657</v>
      </c>
      <c r="E5907" s="2">
        <f t="shared" si="92"/>
        <v>89.751388888878864</v>
      </c>
    </row>
    <row r="5908" spans="1:5" x14ac:dyDescent="0.25">
      <c r="A5908" t="s">
        <v>9</v>
      </c>
      <c r="B5908" t="s">
        <v>11</v>
      </c>
      <c r="C5908" s="1">
        <v>45750.540277777778</v>
      </c>
      <c r="D5908" s="1">
        <v>45840.291666666657</v>
      </c>
      <c r="E5908" s="2">
        <f t="shared" si="92"/>
        <v>89.751388888878864</v>
      </c>
    </row>
    <row r="5909" spans="1:5" x14ac:dyDescent="0.25">
      <c r="A5909" t="s">
        <v>13</v>
      </c>
      <c r="B5909" t="s">
        <v>8</v>
      </c>
      <c r="C5909" s="1">
        <v>45912.958333333343</v>
      </c>
      <c r="D5909" s="1">
        <v>45937.5</v>
      </c>
      <c r="E5909" s="2">
        <f t="shared" si="92"/>
        <v>24.541666666656965</v>
      </c>
    </row>
    <row r="5910" spans="1:5" x14ac:dyDescent="0.25">
      <c r="A5910" t="s">
        <v>12</v>
      </c>
      <c r="B5910" t="s">
        <v>13</v>
      </c>
      <c r="C5910" s="1">
        <v>45845.878472222219</v>
      </c>
      <c r="D5910" s="1">
        <v>45896.416666666657</v>
      </c>
      <c r="E5910" s="2">
        <f t="shared" si="92"/>
        <v>50.538194444437977</v>
      </c>
    </row>
    <row r="5911" spans="1:5" x14ac:dyDescent="0.25">
      <c r="A5911" t="s">
        <v>11</v>
      </c>
      <c r="B5911" t="s">
        <v>21</v>
      </c>
      <c r="C5911" s="1">
        <v>45814.9375</v>
      </c>
      <c r="D5911" s="1">
        <v>45825.599999999999</v>
      </c>
      <c r="E5911" s="2">
        <f t="shared" si="92"/>
        <v>10.662499999998545</v>
      </c>
    </row>
    <row r="5912" spans="1:5" x14ac:dyDescent="0.25">
      <c r="A5912" t="s">
        <v>35</v>
      </c>
      <c r="B5912" t="s">
        <v>19</v>
      </c>
      <c r="C5912" s="1">
        <v>45894.404166666667</v>
      </c>
      <c r="D5912" s="1">
        <v>45932.209722222222</v>
      </c>
      <c r="E5912" s="2">
        <f t="shared" si="92"/>
        <v>37.805555555554747</v>
      </c>
    </row>
    <row r="5913" spans="1:5" x14ac:dyDescent="0.25">
      <c r="A5913" t="s">
        <v>12</v>
      </c>
      <c r="B5913" t="s">
        <v>8</v>
      </c>
      <c r="C5913" s="1">
        <v>46182.695138888892</v>
      </c>
      <c r="D5913" s="1">
        <v>46233.649305555547</v>
      </c>
      <c r="E5913" s="2">
        <f t="shared" si="92"/>
        <v>50.95416666665551</v>
      </c>
    </row>
    <row r="5914" spans="1:5" x14ac:dyDescent="0.25">
      <c r="A5914" t="s">
        <v>8</v>
      </c>
      <c r="B5914" t="s">
        <v>6</v>
      </c>
      <c r="C5914" s="1">
        <v>46127.822916666657</v>
      </c>
      <c r="D5914" s="1">
        <v>46174.149305555547</v>
      </c>
      <c r="E5914" s="2">
        <f t="shared" si="92"/>
        <v>46.326388888890506</v>
      </c>
    </row>
    <row r="5915" spans="1:5" x14ac:dyDescent="0.25">
      <c r="A5915" t="s">
        <v>5</v>
      </c>
      <c r="B5915" t="s">
        <v>55</v>
      </c>
      <c r="C5915" s="1">
        <v>45801.927083333343</v>
      </c>
      <c r="D5915" s="1">
        <v>45845.072222222218</v>
      </c>
      <c r="E5915" s="2">
        <f t="shared" si="92"/>
        <v>43.145138888874499</v>
      </c>
    </row>
    <row r="5916" spans="1:5" x14ac:dyDescent="0.25">
      <c r="A5916" t="s">
        <v>23</v>
      </c>
      <c r="B5916" t="s">
        <v>12</v>
      </c>
      <c r="C5916" s="1">
        <v>46105.673611111109</v>
      </c>
      <c r="D5916" s="1">
        <v>46118.208333333343</v>
      </c>
      <c r="E5916" s="2">
        <f t="shared" si="92"/>
        <v>12.53472222223354</v>
      </c>
    </row>
    <row r="5917" spans="1:5" x14ac:dyDescent="0.25">
      <c r="A5917" t="s">
        <v>22</v>
      </c>
      <c r="B5917" t="s">
        <v>36</v>
      </c>
      <c r="C5917" s="1">
        <v>45677.5</v>
      </c>
      <c r="D5917" s="1">
        <v>45735.02847222222</v>
      </c>
      <c r="E5917" s="2">
        <f t="shared" si="92"/>
        <v>57.528472222220444</v>
      </c>
    </row>
    <row r="5918" spans="1:5" x14ac:dyDescent="0.25">
      <c r="A5918" t="s">
        <v>41</v>
      </c>
      <c r="B5918" t="s">
        <v>8</v>
      </c>
      <c r="C5918" s="1">
        <v>46217.678472222222</v>
      </c>
      <c r="D5918" s="1">
        <v>46267.742361111108</v>
      </c>
      <c r="E5918" s="2">
        <f t="shared" si="92"/>
        <v>50.06388888888614</v>
      </c>
    </row>
    <row r="5919" spans="1:5" x14ac:dyDescent="0.25">
      <c r="A5919" t="s">
        <v>41</v>
      </c>
      <c r="B5919" t="s">
        <v>8</v>
      </c>
      <c r="C5919" s="1">
        <v>46201.175694444442</v>
      </c>
      <c r="D5919" s="1">
        <v>46237.043749999997</v>
      </c>
      <c r="E5919" s="2">
        <f t="shared" si="92"/>
        <v>35.868055555554747</v>
      </c>
    </row>
    <row r="5920" spans="1:5" x14ac:dyDescent="0.25">
      <c r="A5920" t="s">
        <v>12</v>
      </c>
      <c r="B5920" t="s">
        <v>13</v>
      </c>
      <c r="C5920" s="1">
        <v>45818.288194444453</v>
      </c>
      <c r="D5920" s="1">
        <v>45867.084722222222</v>
      </c>
      <c r="E5920" s="2">
        <f t="shared" si="92"/>
        <v>48.79652777776937</v>
      </c>
    </row>
    <row r="5921" spans="1:5" x14ac:dyDescent="0.25">
      <c r="A5921" t="s">
        <v>13</v>
      </c>
      <c r="B5921" t="s">
        <v>8</v>
      </c>
      <c r="C5921" s="1">
        <v>45904.879166666673</v>
      </c>
      <c r="D5921" s="1">
        <v>45931.645833333343</v>
      </c>
      <c r="E5921" s="2">
        <f t="shared" si="92"/>
        <v>26.766666666670062</v>
      </c>
    </row>
    <row r="5922" spans="1:5" x14ac:dyDescent="0.25">
      <c r="A5922" t="s">
        <v>5</v>
      </c>
      <c r="B5922" t="s">
        <v>43</v>
      </c>
      <c r="C5922" s="1">
        <v>45845.295138888891</v>
      </c>
      <c r="D5922" s="1">
        <v>45884.406944444447</v>
      </c>
      <c r="E5922" s="2">
        <f t="shared" si="92"/>
        <v>39.111805555556202</v>
      </c>
    </row>
    <row r="5923" spans="1:5" x14ac:dyDescent="0.25">
      <c r="A5923" t="s">
        <v>6</v>
      </c>
      <c r="B5923" t="s">
        <v>8</v>
      </c>
      <c r="C5923" s="1">
        <v>45958.20416666667</v>
      </c>
      <c r="D5923" s="1">
        <v>45999.799305555563</v>
      </c>
      <c r="E5923" s="2">
        <f t="shared" si="92"/>
        <v>41.595138888893416</v>
      </c>
    </row>
    <row r="5924" spans="1:5" x14ac:dyDescent="0.25">
      <c r="A5924" t="s">
        <v>5</v>
      </c>
      <c r="B5924" t="s">
        <v>8</v>
      </c>
      <c r="C5924" s="1">
        <v>45731.86041666667</v>
      </c>
      <c r="D5924" s="1">
        <v>45761.405555555553</v>
      </c>
      <c r="E5924" s="2">
        <f t="shared" si="92"/>
        <v>29.54513888888323</v>
      </c>
    </row>
    <row r="5925" spans="1:5" x14ac:dyDescent="0.25">
      <c r="A5925" t="s">
        <v>5</v>
      </c>
      <c r="B5925" t="s">
        <v>8</v>
      </c>
      <c r="C5925" s="1">
        <v>46248.977083333331</v>
      </c>
      <c r="D5925" s="1">
        <v>46279.837916666656</v>
      </c>
      <c r="E5925" s="2">
        <f t="shared" si="92"/>
        <v>30.86083333332499</v>
      </c>
    </row>
    <row r="5926" spans="1:5" x14ac:dyDescent="0.25">
      <c r="A5926" t="s">
        <v>5</v>
      </c>
      <c r="B5926" t="s">
        <v>8</v>
      </c>
      <c r="C5926" s="1">
        <v>45758.429166666669</v>
      </c>
      <c r="D5926" s="1">
        <v>45789.869444444441</v>
      </c>
      <c r="E5926" s="2">
        <f t="shared" si="92"/>
        <v>31.44027777777228</v>
      </c>
    </row>
    <row r="5927" spans="1:5" x14ac:dyDescent="0.25">
      <c r="A5927" t="s">
        <v>5</v>
      </c>
      <c r="B5927" t="s">
        <v>8</v>
      </c>
      <c r="C5927" s="1">
        <v>45659.054166666669</v>
      </c>
      <c r="D5927" s="1">
        <v>45685.674305555563</v>
      </c>
      <c r="E5927" s="2">
        <f t="shared" si="92"/>
        <v>26.620138888894871</v>
      </c>
    </row>
    <row r="5928" spans="1:5" x14ac:dyDescent="0.25">
      <c r="A5928" t="s">
        <v>10</v>
      </c>
      <c r="B5928" t="s">
        <v>8</v>
      </c>
      <c r="C5928" s="1">
        <v>46231.333333333343</v>
      </c>
      <c r="D5928" s="1">
        <v>46250.634027777778</v>
      </c>
      <c r="E5928" s="2">
        <f t="shared" si="92"/>
        <v>19.300694444435067</v>
      </c>
    </row>
    <row r="5929" spans="1:5" x14ac:dyDescent="0.25">
      <c r="A5929" t="s">
        <v>19</v>
      </c>
      <c r="B5929" t="s">
        <v>11</v>
      </c>
      <c r="C5929" s="1">
        <v>46116.883333333331</v>
      </c>
      <c r="D5929" s="1">
        <v>46155.36041666667</v>
      </c>
      <c r="E5929" s="2">
        <f t="shared" si="92"/>
        <v>38.477083333338669</v>
      </c>
    </row>
    <row r="5930" spans="1:5" x14ac:dyDescent="0.25">
      <c r="A5930" t="s">
        <v>15</v>
      </c>
      <c r="B5930" t="s">
        <v>6</v>
      </c>
      <c r="C5930" s="1">
        <v>46160.429861111108</v>
      </c>
      <c r="D5930" s="1">
        <v>46204.333333333343</v>
      </c>
      <c r="E5930" s="2">
        <f t="shared" si="92"/>
        <v>43.903472222234996</v>
      </c>
    </row>
    <row r="5931" spans="1:5" x14ac:dyDescent="0.25">
      <c r="A5931" t="s">
        <v>13</v>
      </c>
      <c r="B5931" t="s">
        <v>8</v>
      </c>
      <c r="C5931" s="1">
        <v>45961.866666666669</v>
      </c>
      <c r="D5931" s="1">
        <v>45999.799305555563</v>
      </c>
      <c r="E5931" s="2">
        <f t="shared" si="92"/>
        <v>37.932638888894871</v>
      </c>
    </row>
    <row r="5932" spans="1:5" x14ac:dyDescent="0.25">
      <c r="A5932" t="s">
        <v>12</v>
      </c>
      <c r="B5932" t="s">
        <v>13</v>
      </c>
      <c r="C5932" s="1">
        <v>46139.915972222218</v>
      </c>
      <c r="D5932" s="1">
        <v>46192.916666666657</v>
      </c>
      <c r="E5932" s="2">
        <f t="shared" si="92"/>
        <v>53.000694444439432</v>
      </c>
    </row>
    <row r="5933" spans="1:5" x14ac:dyDescent="0.25">
      <c r="A5933" t="s">
        <v>12</v>
      </c>
      <c r="B5933" t="s">
        <v>18</v>
      </c>
      <c r="C5933" s="1">
        <v>45659.754166666673</v>
      </c>
      <c r="D5933" s="1">
        <v>45714.549305555563</v>
      </c>
      <c r="E5933" s="2">
        <f t="shared" si="92"/>
        <v>54.795138888890506</v>
      </c>
    </row>
    <row r="5934" spans="1:5" x14ac:dyDescent="0.25">
      <c r="A5934" t="s">
        <v>16</v>
      </c>
      <c r="B5934" t="s">
        <v>8</v>
      </c>
      <c r="C5934" s="1">
        <v>45764.879166666673</v>
      </c>
      <c r="D5934" s="1">
        <v>45827.75</v>
      </c>
      <c r="E5934" s="2">
        <f t="shared" si="92"/>
        <v>62.870833333327028</v>
      </c>
    </row>
    <row r="5935" spans="1:5" x14ac:dyDescent="0.25">
      <c r="A5935" t="s">
        <v>12</v>
      </c>
      <c r="B5935" t="s">
        <v>18</v>
      </c>
      <c r="C5935" s="1">
        <v>45903.05</v>
      </c>
      <c r="D5935" s="1">
        <v>45970.963194444441</v>
      </c>
      <c r="E5935" s="2">
        <f t="shared" si="92"/>
        <v>67.913194444437977</v>
      </c>
    </row>
    <row r="5936" spans="1:5" x14ac:dyDescent="0.25">
      <c r="A5936" t="s">
        <v>12</v>
      </c>
      <c r="B5936" t="s">
        <v>13</v>
      </c>
      <c r="C5936" s="1">
        <v>45855.097222222219</v>
      </c>
      <c r="D5936" s="1">
        <v>45903.462500000001</v>
      </c>
      <c r="E5936" s="2">
        <f t="shared" si="92"/>
        <v>48.365277777782467</v>
      </c>
    </row>
    <row r="5937" spans="1:5" x14ac:dyDescent="0.25">
      <c r="A5937" t="s">
        <v>41</v>
      </c>
      <c r="B5937" t="s">
        <v>8</v>
      </c>
      <c r="C5937" s="1">
        <v>46147.527777777781</v>
      </c>
      <c r="D5937" s="1">
        <v>46184.934027777781</v>
      </c>
      <c r="E5937" s="2">
        <f t="shared" si="92"/>
        <v>37.40625</v>
      </c>
    </row>
    <row r="5938" spans="1:5" x14ac:dyDescent="0.25">
      <c r="A5938" t="s">
        <v>8</v>
      </c>
      <c r="B5938" t="s">
        <v>18</v>
      </c>
      <c r="C5938" s="1">
        <v>46149.661805555559</v>
      </c>
      <c r="D5938" s="1">
        <v>46195.804166666669</v>
      </c>
      <c r="E5938" s="2">
        <f t="shared" si="92"/>
        <v>46.142361111109494</v>
      </c>
    </row>
    <row r="5939" spans="1:5" x14ac:dyDescent="0.25">
      <c r="A5939" t="s">
        <v>23</v>
      </c>
      <c r="B5939" t="s">
        <v>18</v>
      </c>
      <c r="C5939" s="1">
        <v>45919.554166666669</v>
      </c>
      <c r="D5939" s="1">
        <v>45970.963194444441</v>
      </c>
      <c r="E5939" s="2">
        <f t="shared" si="92"/>
        <v>51.40902777777228</v>
      </c>
    </row>
    <row r="5940" spans="1:5" x14ac:dyDescent="0.25">
      <c r="A5940" t="s">
        <v>28</v>
      </c>
      <c r="B5940" t="s">
        <v>18</v>
      </c>
      <c r="C5940" s="1">
        <v>45803.540277777778</v>
      </c>
      <c r="D5940" s="1">
        <v>45875.361805555563</v>
      </c>
      <c r="E5940" s="2">
        <f t="shared" si="92"/>
        <v>71.821527777785377</v>
      </c>
    </row>
    <row r="5941" spans="1:5" x14ac:dyDescent="0.25">
      <c r="A5941" t="s">
        <v>23</v>
      </c>
      <c r="B5941" t="s">
        <v>24</v>
      </c>
      <c r="C5941" s="1">
        <v>45995.4375</v>
      </c>
      <c r="D5941" s="1">
        <v>46042.361111111109</v>
      </c>
      <c r="E5941" s="2">
        <f t="shared" si="92"/>
        <v>46.923611111109494</v>
      </c>
    </row>
    <row r="5942" spans="1:5" x14ac:dyDescent="0.25">
      <c r="A5942" t="s">
        <v>10</v>
      </c>
      <c r="B5942" t="s">
        <v>8</v>
      </c>
      <c r="C5942" s="1">
        <v>46188.222916666673</v>
      </c>
      <c r="D5942" s="1">
        <v>46209.59652777778</v>
      </c>
      <c r="E5942" s="2">
        <f t="shared" si="92"/>
        <v>21.373611111106584</v>
      </c>
    </row>
    <row r="5943" spans="1:5" x14ac:dyDescent="0.25">
      <c r="A5943" t="s">
        <v>7</v>
      </c>
      <c r="B5943" t="s">
        <v>11</v>
      </c>
      <c r="C5943" s="1">
        <v>45722.245833333327</v>
      </c>
      <c r="D5943" s="1">
        <v>45798.572916666657</v>
      </c>
      <c r="E5943" s="2">
        <f t="shared" si="92"/>
        <v>76.327083333329938</v>
      </c>
    </row>
    <row r="5944" spans="1:5" x14ac:dyDescent="0.25">
      <c r="A5944" t="s">
        <v>23</v>
      </c>
      <c r="B5944" t="s">
        <v>30</v>
      </c>
      <c r="C5944" s="1">
        <v>45897.603472222218</v>
      </c>
      <c r="D5944" s="1">
        <v>45940.215277777781</v>
      </c>
      <c r="E5944" s="2">
        <f t="shared" si="92"/>
        <v>42.611805555563478</v>
      </c>
    </row>
    <row r="5945" spans="1:5" x14ac:dyDescent="0.25">
      <c r="A5945" t="s">
        <v>27</v>
      </c>
      <c r="B5945" t="s">
        <v>8</v>
      </c>
      <c r="C5945" s="1">
        <v>46098.783333333333</v>
      </c>
      <c r="D5945" s="1">
        <v>46138.175000000003</v>
      </c>
      <c r="E5945" s="2">
        <f t="shared" si="92"/>
        <v>39.391666666670062</v>
      </c>
    </row>
    <row r="5946" spans="1:5" x14ac:dyDescent="0.25">
      <c r="A5946" t="s">
        <v>12</v>
      </c>
      <c r="B5946" t="s">
        <v>13</v>
      </c>
      <c r="C5946" s="1">
        <v>46101.967361111107</v>
      </c>
      <c r="D5946" s="1">
        <v>46144.245833333327</v>
      </c>
      <c r="E5946" s="2">
        <f t="shared" si="92"/>
        <v>42.278472222220444</v>
      </c>
    </row>
    <row r="5947" spans="1:5" x14ac:dyDescent="0.25">
      <c r="A5947" t="s">
        <v>22</v>
      </c>
      <c r="B5947" t="s">
        <v>19</v>
      </c>
      <c r="C5947" s="1">
        <v>45990.75</v>
      </c>
      <c r="D5947" s="1">
        <v>46059.034722222219</v>
      </c>
      <c r="E5947" s="2">
        <f t="shared" si="92"/>
        <v>68.284722222218988</v>
      </c>
    </row>
    <row r="5948" spans="1:5" x14ac:dyDescent="0.25">
      <c r="A5948" t="s">
        <v>11</v>
      </c>
      <c r="B5948" t="s">
        <v>7</v>
      </c>
      <c r="C5948" s="1">
        <v>45773.583333333343</v>
      </c>
      <c r="D5948" s="1">
        <v>45869.79583333333</v>
      </c>
      <c r="E5948" s="2">
        <f t="shared" si="92"/>
        <v>96.212499999986903</v>
      </c>
    </row>
    <row r="5949" spans="1:5" x14ac:dyDescent="0.25">
      <c r="A5949" t="s">
        <v>27</v>
      </c>
      <c r="B5949" t="s">
        <v>20</v>
      </c>
      <c r="C5949" s="1">
        <v>45732.020833333343</v>
      </c>
      <c r="D5949" s="1">
        <v>45803.364583333343</v>
      </c>
      <c r="E5949" s="2">
        <f t="shared" si="92"/>
        <v>71.34375</v>
      </c>
    </row>
    <row r="5950" spans="1:5" x14ac:dyDescent="0.25">
      <c r="A5950" t="s">
        <v>10</v>
      </c>
      <c r="B5950" t="s">
        <v>8</v>
      </c>
      <c r="C5950" s="1">
        <v>45729.445833333331</v>
      </c>
      <c r="D5950" s="1">
        <v>45763.339583333327</v>
      </c>
      <c r="E5950" s="2">
        <f t="shared" si="92"/>
        <v>33.893749999995634</v>
      </c>
    </row>
    <row r="5951" spans="1:5" x14ac:dyDescent="0.25">
      <c r="A5951" t="s">
        <v>12</v>
      </c>
      <c r="B5951" t="s">
        <v>8</v>
      </c>
      <c r="C5951" s="1">
        <v>45835.017361111109</v>
      </c>
      <c r="D5951" s="1">
        <v>45884.25</v>
      </c>
      <c r="E5951" s="2">
        <f t="shared" si="92"/>
        <v>49.232638888890506</v>
      </c>
    </row>
    <row r="5952" spans="1:5" x14ac:dyDescent="0.25">
      <c r="A5952" t="s">
        <v>5</v>
      </c>
      <c r="B5952" t="s">
        <v>8</v>
      </c>
      <c r="C5952" s="1">
        <v>46115.291666666657</v>
      </c>
      <c r="D5952" s="1">
        <v>46188.845833333333</v>
      </c>
      <c r="E5952" s="2">
        <f t="shared" si="92"/>
        <v>73.554166666675883</v>
      </c>
    </row>
    <row r="5953" spans="1:5" x14ac:dyDescent="0.25">
      <c r="A5953" t="s">
        <v>7</v>
      </c>
      <c r="B5953" t="s">
        <v>8</v>
      </c>
      <c r="C5953" s="1">
        <v>45920.587500000001</v>
      </c>
      <c r="D5953" s="1">
        <v>45965.662499999999</v>
      </c>
      <c r="E5953" s="2">
        <f t="shared" si="92"/>
        <v>45.07499999999709</v>
      </c>
    </row>
    <row r="5954" spans="1:5" x14ac:dyDescent="0.25">
      <c r="A5954" t="s">
        <v>5</v>
      </c>
      <c r="B5954" t="s">
        <v>8</v>
      </c>
      <c r="C5954" s="1">
        <v>46072.658333333333</v>
      </c>
      <c r="D5954" s="1">
        <v>46107.929166666669</v>
      </c>
      <c r="E5954" s="2">
        <f t="shared" ref="E5954:E6017" si="93">D5954-C5954</f>
        <v>35.270833333335759</v>
      </c>
    </row>
    <row r="5955" spans="1:5" x14ac:dyDescent="0.25">
      <c r="A5955" t="s">
        <v>12</v>
      </c>
      <c r="B5955" t="s">
        <v>13</v>
      </c>
      <c r="C5955" s="1">
        <v>45986.5</v>
      </c>
      <c r="D5955" s="1">
        <v>46035.51666666667</v>
      </c>
      <c r="E5955" s="2">
        <f t="shared" si="93"/>
        <v>49.016666666670062</v>
      </c>
    </row>
    <row r="5956" spans="1:5" x14ac:dyDescent="0.25">
      <c r="A5956" t="s">
        <v>28</v>
      </c>
      <c r="B5956" t="s">
        <v>18</v>
      </c>
      <c r="C5956" s="1">
        <v>45879.111111111109</v>
      </c>
      <c r="D5956" s="1">
        <v>45955.333333333343</v>
      </c>
      <c r="E5956" s="2">
        <f t="shared" si="93"/>
        <v>76.22222222223354</v>
      </c>
    </row>
    <row r="5957" spans="1:5" x14ac:dyDescent="0.25">
      <c r="A5957" t="s">
        <v>5</v>
      </c>
      <c r="B5957" t="s">
        <v>8</v>
      </c>
      <c r="C5957" s="1">
        <v>46025.436111111107</v>
      </c>
      <c r="D5957" s="1">
        <v>46071.058333333327</v>
      </c>
      <c r="E5957" s="2">
        <f t="shared" si="93"/>
        <v>45.622222222220444</v>
      </c>
    </row>
    <row r="5958" spans="1:5" x14ac:dyDescent="0.25">
      <c r="A5958" t="s">
        <v>7</v>
      </c>
      <c r="B5958" t="s">
        <v>8</v>
      </c>
      <c r="C5958" s="1">
        <v>45882.166666666657</v>
      </c>
      <c r="D5958" s="1">
        <v>45938.662499999999</v>
      </c>
      <c r="E5958" s="2">
        <f t="shared" si="93"/>
        <v>56.495833333341579</v>
      </c>
    </row>
    <row r="5959" spans="1:5" x14ac:dyDescent="0.25">
      <c r="A5959" t="s">
        <v>8</v>
      </c>
      <c r="B5959" t="s">
        <v>7</v>
      </c>
      <c r="C5959" s="1">
        <v>45959.195833333331</v>
      </c>
      <c r="D5959" s="1">
        <v>46016.57916666667</v>
      </c>
      <c r="E5959" s="2">
        <f t="shared" si="93"/>
        <v>57.383333333338669</v>
      </c>
    </row>
    <row r="5960" spans="1:5" x14ac:dyDescent="0.25">
      <c r="A5960" t="s">
        <v>7</v>
      </c>
      <c r="B5960" t="s">
        <v>8</v>
      </c>
      <c r="C5960" s="1">
        <v>45785.595833333333</v>
      </c>
      <c r="D5960" s="1">
        <v>45818.433333333327</v>
      </c>
      <c r="E5960" s="2">
        <f t="shared" si="93"/>
        <v>32.837499999994179</v>
      </c>
    </row>
    <row r="5961" spans="1:5" x14ac:dyDescent="0.25">
      <c r="A5961" t="s">
        <v>7</v>
      </c>
      <c r="B5961" t="s">
        <v>11</v>
      </c>
      <c r="C5961" s="1">
        <v>45976.5</v>
      </c>
      <c r="D5961" s="1">
        <v>46070.337500000001</v>
      </c>
      <c r="E5961" s="2">
        <f t="shared" si="93"/>
        <v>93.837500000001455</v>
      </c>
    </row>
    <row r="5962" spans="1:5" x14ac:dyDescent="0.25">
      <c r="A5962" t="s">
        <v>12</v>
      </c>
      <c r="B5962" t="s">
        <v>18</v>
      </c>
      <c r="C5962" s="1">
        <v>45779.633333333331</v>
      </c>
      <c r="D5962" s="1">
        <v>45847.017361111109</v>
      </c>
      <c r="E5962" s="2">
        <f t="shared" si="93"/>
        <v>67.384027777778101</v>
      </c>
    </row>
    <row r="5963" spans="1:5" x14ac:dyDescent="0.25">
      <c r="A5963" t="s">
        <v>27</v>
      </c>
      <c r="B5963" t="s">
        <v>39</v>
      </c>
      <c r="C5963" s="1">
        <v>45702.770833333343</v>
      </c>
      <c r="D5963" s="1">
        <v>45782.85</v>
      </c>
      <c r="E5963" s="2">
        <f t="shared" si="93"/>
        <v>80.07916666665551</v>
      </c>
    </row>
    <row r="5964" spans="1:5" x14ac:dyDescent="0.25">
      <c r="A5964" t="s">
        <v>12</v>
      </c>
      <c r="B5964" t="s">
        <v>13</v>
      </c>
      <c r="C5964" s="1">
        <v>46012.541666666657</v>
      </c>
      <c r="D5964" s="1">
        <v>46059.751388888893</v>
      </c>
      <c r="E5964" s="2">
        <f t="shared" si="93"/>
        <v>47.209722222236451</v>
      </c>
    </row>
    <row r="5965" spans="1:5" x14ac:dyDescent="0.25">
      <c r="A5965" t="s">
        <v>13</v>
      </c>
      <c r="B5965" t="s">
        <v>8</v>
      </c>
      <c r="C5965" s="1">
        <v>45877.620833333327</v>
      </c>
      <c r="D5965" s="1">
        <v>45913.041666666657</v>
      </c>
      <c r="E5965" s="2">
        <f t="shared" si="93"/>
        <v>35.420833333329938</v>
      </c>
    </row>
    <row r="5966" spans="1:5" x14ac:dyDescent="0.25">
      <c r="A5966" t="s">
        <v>5</v>
      </c>
      <c r="B5966" t="s">
        <v>43</v>
      </c>
      <c r="C5966" s="1">
        <v>45902.730555555558</v>
      </c>
      <c r="D5966" s="1">
        <v>45968.061111111107</v>
      </c>
      <c r="E5966" s="2">
        <f t="shared" si="93"/>
        <v>65.330555555548926</v>
      </c>
    </row>
    <row r="5967" spans="1:5" x14ac:dyDescent="0.25">
      <c r="A5967" t="s">
        <v>20</v>
      </c>
      <c r="B5967" t="s">
        <v>8</v>
      </c>
      <c r="C5967" s="1">
        <v>46242.979166666657</v>
      </c>
      <c r="D5967" s="1">
        <v>46275.291666666657</v>
      </c>
      <c r="E5967" s="2">
        <f t="shared" si="93"/>
        <v>32.3125</v>
      </c>
    </row>
    <row r="5968" spans="1:5" x14ac:dyDescent="0.25">
      <c r="A5968" t="s">
        <v>15</v>
      </c>
      <c r="B5968" t="s">
        <v>13</v>
      </c>
      <c r="C5968" s="1">
        <v>46128.144652777781</v>
      </c>
      <c r="D5968" s="1">
        <v>46166.981249999997</v>
      </c>
      <c r="E5968" s="2">
        <f t="shared" si="93"/>
        <v>38.836597222216369</v>
      </c>
    </row>
    <row r="5969" spans="1:5" x14ac:dyDescent="0.25">
      <c r="A5969" t="s">
        <v>11</v>
      </c>
      <c r="B5969" t="s">
        <v>19</v>
      </c>
      <c r="C5969" s="1">
        <v>46018.291666666657</v>
      </c>
      <c r="D5969" s="1">
        <v>46075.887499999997</v>
      </c>
      <c r="E5969" s="2">
        <f t="shared" si="93"/>
        <v>57.595833333340124</v>
      </c>
    </row>
    <row r="5970" spans="1:5" x14ac:dyDescent="0.25">
      <c r="A5970" t="s">
        <v>8</v>
      </c>
      <c r="B5970" t="s">
        <v>27</v>
      </c>
      <c r="C5970" s="1">
        <v>45981.152083333327</v>
      </c>
      <c r="D5970" s="1">
        <v>46036.326388888891</v>
      </c>
      <c r="E5970" s="2">
        <f t="shared" si="93"/>
        <v>55.174305555563478</v>
      </c>
    </row>
    <row r="5971" spans="1:5" x14ac:dyDescent="0.25">
      <c r="A5971" t="s">
        <v>23</v>
      </c>
      <c r="B5971" t="s">
        <v>12</v>
      </c>
      <c r="C5971" s="1">
        <v>46105.673611111109</v>
      </c>
      <c r="D5971" s="1">
        <v>46118.208333333343</v>
      </c>
      <c r="E5971" s="2">
        <f t="shared" si="93"/>
        <v>12.53472222223354</v>
      </c>
    </row>
    <row r="5972" spans="1:5" x14ac:dyDescent="0.25">
      <c r="A5972" t="s">
        <v>12</v>
      </c>
      <c r="B5972" t="s">
        <v>13</v>
      </c>
      <c r="C5972" s="1">
        <v>45678.344444444447</v>
      </c>
      <c r="D5972" s="1">
        <v>45723.27847222222</v>
      </c>
      <c r="E5972" s="2">
        <f t="shared" si="93"/>
        <v>44.934027777773736</v>
      </c>
    </row>
    <row r="5973" spans="1:5" x14ac:dyDescent="0.25">
      <c r="A5973" t="s">
        <v>18</v>
      </c>
      <c r="B5973" t="s">
        <v>27</v>
      </c>
      <c r="C5973" s="1">
        <v>45950.666666666657</v>
      </c>
      <c r="D5973" s="1">
        <v>46030.6875</v>
      </c>
      <c r="E5973" s="2">
        <f t="shared" si="93"/>
        <v>80.020833333343035</v>
      </c>
    </row>
    <row r="5974" spans="1:5" x14ac:dyDescent="0.25">
      <c r="A5974" t="s">
        <v>20</v>
      </c>
      <c r="B5974" t="s">
        <v>8</v>
      </c>
      <c r="C5974" s="1">
        <v>46194.012499999997</v>
      </c>
      <c r="D5974" s="1">
        <v>46226.323611111111</v>
      </c>
      <c r="E5974" s="2">
        <f t="shared" si="93"/>
        <v>32.31111111111386</v>
      </c>
    </row>
    <row r="5975" spans="1:5" x14ac:dyDescent="0.25">
      <c r="A5975" t="s">
        <v>17</v>
      </c>
      <c r="B5975" t="s">
        <v>18</v>
      </c>
      <c r="C5975" s="1">
        <v>45695.722222222219</v>
      </c>
      <c r="D5975" s="1">
        <v>45744.01458333333</v>
      </c>
      <c r="E5975" s="2">
        <f t="shared" si="93"/>
        <v>48.292361111110949</v>
      </c>
    </row>
    <row r="5976" spans="1:5" x14ac:dyDescent="0.25">
      <c r="A5976" t="s">
        <v>8</v>
      </c>
      <c r="B5976" t="s">
        <v>18</v>
      </c>
      <c r="C5976" s="1">
        <v>46149.661805555559</v>
      </c>
      <c r="D5976" s="1">
        <v>46195.804166666669</v>
      </c>
      <c r="E5976" s="2">
        <f t="shared" si="93"/>
        <v>46.142361111109494</v>
      </c>
    </row>
    <row r="5977" spans="1:5" x14ac:dyDescent="0.25">
      <c r="A5977" t="s">
        <v>14</v>
      </c>
      <c r="B5977" t="s">
        <v>22</v>
      </c>
      <c r="C5977" s="1">
        <v>45841.479166666657</v>
      </c>
      <c r="D5977" s="1">
        <v>45918.041666666657</v>
      </c>
      <c r="E5977" s="2">
        <f t="shared" si="93"/>
        <v>76.5625</v>
      </c>
    </row>
    <row r="5978" spans="1:5" x14ac:dyDescent="0.25">
      <c r="A5978" t="s">
        <v>22</v>
      </c>
      <c r="B5978" t="s">
        <v>19</v>
      </c>
      <c r="C5978" s="1">
        <v>45817.678472222222</v>
      </c>
      <c r="D5978" s="1">
        <v>45869.829861111109</v>
      </c>
      <c r="E5978" s="2">
        <f t="shared" si="93"/>
        <v>52.151388888887595</v>
      </c>
    </row>
    <row r="5979" spans="1:5" x14ac:dyDescent="0.25">
      <c r="A5979" t="s">
        <v>41</v>
      </c>
      <c r="B5979" t="s">
        <v>8</v>
      </c>
      <c r="C5979" s="1">
        <v>46187.908333333333</v>
      </c>
      <c r="D5979" s="1">
        <v>46225.5</v>
      </c>
      <c r="E5979" s="2">
        <f t="shared" si="93"/>
        <v>37.591666666667152</v>
      </c>
    </row>
    <row r="5980" spans="1:5" x14ac:dyDescent="0.25">
      <c r="A5980" t="s">
        <v>7</v>
      </c>
      <c r="B5980" t="s">
        <v>13</v>
      </c>
      <c r="C5980" s="1">
        <v>46086.833333333343</v>
      </c>
      <c r="D5980" s="1">
        <v>46134.854166666657</v>
      </c>
      <c r="E5980" s="2">
        <f t="shared" si="93"/>
        <v>48.020833333313931</v>
      </c>
    </row>
    <row r="5981" spans="1:5" x14ac:dyDescent="0.25">
      <c r="A5981" t="s">
        <v>15</v>
      </c>
      <c r="B5981" t="s">
        <v>38</v>
      </c>
      <c r="C5981" s="1">
        <v>46136.787268518521</v>
      </c>
      <c r="D5981" s="1">
        <v>46183.841666666667</v>
      </c>
      <c r="E5981" s="2">
        <f t="shared" si="93"/>
        <v>47.054398148145992</v>
      </c>
    </row>
    <row r="5982" spans="1:5" x14ac:dyDescent="0.25">
      <c r="A5982" t="s">
        <v>10</v>
      </c>
      <c r="B5982" t="s">
        <v>11</v>
      </c>
      <c r="C5982" s="1">
        <v>45960.208333333343</v>
      </c>
      <c r="D5982" s="1">
        <v>45986.95</v>
      </c>
      <c r="E5982" s="2">
        <f t="shared" si="93"/>
        <v>26.741666666654055</v>
      </c>
    </row>
    <row r="5983" spans="1:5" x14ac:dyDescent="0.25">
      <c r="A5983" t="s">
        <v>10</v>
      </c>
      <c r="B5983" t="s">
        <v>11</v>
      </c>
      <c r="C5983" s="1">
        <v>45685.041666666657</v>
      </c>
      <c r="D5983" s="1">
        <v>45714.666666666657</v>
      </c>
      <c r="E5983" s="2">
        <f t="shared" si="93"/>
        <v>29.625</v>
      </c>
    </row>
    <row r="5984" spans="1:5" x14ac:dyDescent="0.25">
      <c r="A5984" t="s">
        <v>12</v>
      </c>
      <c r="B5984" t="s">
        <v>18</v>
      </c>
      <c r="C5984" s="1">
        <v>45697.637499999997</v>
      </c>
      <c r="D5984" s="1">
        <v>45757.104166666657</v>
      </c>
      <c r="E5984" s="2">
        <f t="shared" si="93"/>
        <v>59.466666666659876</v>
      </c>
    </row>
    <row r="5985" spans="1:5" x14ac:dyDescent="0.25">
      <c r="A5985" t="s">
        <v>13</v>
      </c>
      <c r="B5985" t="s">
        <v>8</v>
      </c>
      <c r="C5985" s="1">
        <v>45697.495833333327</v>
      </c>
      <c r="D5985" s="1">
        <v>45721</v>
      </c>
      <c r="E5985" s="2">
        <f t="shared" si="93"/>
        <v>23.504166666672972</v>
      </c>
    </row>
    <row r="5986" spans="1:5" x14ac:dyDescent="0.25">
      <c r="A5986" t="s">
        <v>23</v>
      </c>
      <c r="B5986" t="s">
        <v>8</v>
      </c>
      <c r="C5986" s="1">
        <v>46058.504166666673</v>
      </c>
      <c r="D5986" s="1">
        <v>46102.916666666657</v>
      </c>
      <c r="E5986" s="2">
        <f t="shared" si="93"/>
        <v>44.412499999983993</v>
      </c>
    </row>
    <row r="5987" spans="1:5" x14ac:dyDescent="0.25">
      <c r="A5987" t="s">
        <v>12</v>
      </c>
      <c r="B5987" t="s">
        <v>18</v>
      </c>
      <c r="C5987" s="1">
        <v>45838.333333333343</v>
      </c>
      <c r="D5987" s="1">
        <v>45909.30972222222</v>
      </c>
      <c r="E5987" s="2">
        <f t="shared" si="93"/>
        <v>70.976388888877409</v>
      </c>
    </row>
    <row r="5988" spans="1:5" x14ac:dyDescent="0.25">
      <c r="A5988" t="s">
        <v>11</v>
      </c>
      <c r="B5988" t="s">
        <v>7</v>
      </c>
      <c r="C5988" s="1">
        <v>45803.936805555553</v>
      </c>
      <c r="D5988" s="1">
        <v>45894.895833333343</v>
      </c>
      <c r="E5988" s="2">
        <f t="shared" si="93"/>
        <v>90.959027777789743</v>
      </c>
    </row>
    <row r="5989" spans="1:5" x14ac:dyDescent="0.25">
      <c r="A5989" t="s">
        <v>12</v>
      </c>
      <c r="B5989" t="s">
        <v>13</v>
      </c>
      <c r="C5989" s="1">
        <v>45775.875</v>
      </c>
      <c r="D5989" s="1">
        <v>45820.898611111108</v>
      </c>
      <c r="E5989" s="2">
        <f t="shared" si="93"/>
        <v>45.023611111108039</v>
      </c>
    </row>
    <row r="5990" spans="1:5" x14ac:dyDescent="0.25">
      <c r="A5990" t="s">
        <v>13</v>
      </c>
      <c r="B5990" t="s">
        <v>8</v>
      </c>
      <c r="C5990" s="1">
        <v>45850.0625</v>
      </c>
      <c r="D5990" s="1">
        <v>45876.867361111108</v>
      </c>
      <c r="E5990" s="2">
        <f t="shared" si="93"/>
        <v>26.804861111108039</v>
      </c>
    </row>
    <row r="5991" spans="1:5" x14ac:dyDescent="0.25">
      <c r="A5991" t="s">
        <v>15</v>
      </c>
      <c r="B5991" t="s">
        <v>18</v>
      </c>
      <c r="C5991" s="1">
        <v>46063.354166666657</v>
      </c>
      <c r="D5991" s="1">
        <v>46109.709027777782</v>
      </c>
      <c r="E5991" s="2">
        <f t="shared" si="93"/>
        <v>46.354861111125501</v>
      </c>
    </row>
    <row r="5992" spans="1:5" x14ac:dyDescent="0.25">
      <c r="A5992" t="s">
        <v>26</v>
      </c>
      <c r="B5992" t="s">
        <v>21</v>
      </c>
      <c r="C5992" s="1">
        <v>46160.929166666669</v>
      </c>
      <c r="D5992" s="1">
        <v>46212.279166666667</v>
      </c>
      <c r="E5992" s="2">
        <f t="shared" si="93"/>
        <v>51.349999999998545</v>
      </c>
    </row>
    <row r="5993" spans="1:5" x14ac:dyDescent="0.25">
      <c r="A5993" t="s">
        <v>22</v>
      </c>
      <c r="B5993" t="s">
        <v>19</v>
      </c>
      <c r="C5993" s="1">
        <v>45896.181435185194</v>
      </c>
      <c r="D5993" s="1">
        <v>45938.941678240742</v>
      </c>
      <c r="E5993" s="2">
        <f t="shared" si="93"/>
        <v>42.760243055548926</v>
      </c>
    </row>
    <row r="5994" spans="1:5" x14ac:dyDescent="0.25">
      <c r="A5994" t="s">
        <v>27</v>
      </c>
      <c r="B5994" t="s">
        <v>18</v>
      </c>
      <c r="C5994" s="1">
        <v>45769.287499999999</v>
      </c>
      <c r="D5994" s="1">
        <v>45827.402777777781</v>
      </c>
      <c r="E5994" s="2">
        <f t="shared" si="93"/>
        <v>58.115277777782467</v>
      </c>
    </row>
    <row r="5995" spans="1:5" x14ac:dyDescent="0.25">
      <c r="A5995" t="s">
        <v>15</v>
      </c>
      <c r="B5995" t="s">
        <v>18</v>
      </c>
      <c r="C5995" s="1">
        <v>46048.208333333343</v>
      </c>
      <c r="D5995" s="1">
        <v>46096.913194444453</v>
      </c>
      <c r="E5995" s="2">
        <f t="shared" si="93"/>
        <v>48.704861111109494</v>
      </c>
    </row>
    <row r="5996" spans="1:5" x14ac:dyDescent="0.25">
      <c r="A5996" t="s">
        <v>15</v>
      </c>
      <c r="B5996" t="s">
        <v>38</v>
      </c>
      <c r="C5996" s="1">
        <v>46232.95076388889</v>
      </c>
      <c r="D5996" s="1">
        <v>46279.83085648148</v>
      </c>
      <c r="E5996" s="2">
        <f t="shared" si="93"/>
        <v>46.88009259258979</v>
      </c>
    </row>
    <row r="5997" spans="1:5" x14ac:dyDescent="0.25">
      <c r="A5997" t="s">
        <v>15</v>
      </c>
      <c r="B5997" t="s">
        <v>38</v>
      </c>
      <c r="C5997" s="1">
        <v>46218.020833333343</v>
      </c>
      <c r="D5997" s="1">
        <v>46263.936111111107</v>
      </c>
      <c r="E5997" s="2">
        <f t="shared" si="93"/>
        <v>45.915277777763549</v>
      </c>
    </row>
    <row r="5998" spans="1:5" x14ac:dyDescent="0.25">
      <c r="A5998" t="s">
        <v>14</v>
      </c>
      <c r="B5998" t="s">
        <v>22</v>
      </c>
      <c r="C5998" s="1">
        <v>46087.787499999999</v>
      </c>
      <c r="D5998" s="1">
        <v>46153.174305555563</v>
      </c>
      <c r="E5998" s="2">
        <f t="shared" si="93"/>
        <v>65.386805555564933</v>
      </c>
    </row>
    <row r="5999" spans="1:5" x14ac:dyDescent="0.25">
      <c r="A5999" t="s">
        <v>15</v>
      </c>
      <c r="B5999" t="s">
        <v>6</v>
      </c>
      <c r="C5999" s="1">
        <v>46100.165972222218</v>
      </c>
      <c r="D5999" s="1">
        <v>46170.558333333327</v>
      </c>
      <c r="E5999" s="2">
        <f t="shared" si="93"/>
        <v>70.392361111109494</v>
      </c>
    </row>
    <row r="6000" spans="1:5" x14ac:dyDescent="0.25">
      <c r="A6000" t="s">
        <v>12</v>
      </c>
      <c r="B6000" t="s">
        <v>18</v>
      </c>
      <c r="C6000" s="1">
        <v>45855.097222222219</v>
      </c>
      <c r="D6000" s="1">
        <v>45917.230555555558</v>
      </c>
      <c r="E6000" s="2">
        <f t="shared" si="93"/>
        <v>62.133333333338669</v>
      </c>
    </row>
    <row r="6001" spans="1:5" x14ac:dyDescent="0.25">
      <c r="A6001" t="s">
        <v>11</v>
      </c>
      <c r="B6001" t="s">
        <v>7</v>
      </c>
      <c r="C6001" s="1">
        <v>45754.934027777781</v>
      </c>
      <c r="D6001" s="1">
        <v>45826.523611111108</v>
      </c>
      <c r="E6001" s="2">
        <f t="shared" si="93"/>
        <v>71.589583333327028</v>
      </c>
    </row>
    <row r="6002" spans="1:5" x14ac:dyDescent="0.25">
      <c r="A6002" t="s">
        <v>5</v>
      </c>
      <c r="B6002" t="s">
        <v>8</v>
      </c>
      <c r="C6002" s="1">
        <v>46236.134722222218</v>
      </c>
      <c r="D6002" s="1">
        <v>46258.286412037043</v>
      </c>
      <c r="E6002" s="2">
        <f t="shared" si="93"/>
        <v>22.151689814825659</v>
      </c>
    </row>
    <row r="6003" spans="1:5" x14ac:dyDescent="0.25">
      <c r="A6003" t="s">
        <v>12</v>
      </c>
      <c r="B6003" t="s">
        <v>18</v>
      </c>
      <c r="C6003" s="1">
        <v>45981.336111111108</v>
      </c>
      <c r="D6003" s="1">
        <v>46050.520833333343</v>
      </c>
      <c r="E6003" s="2">
        <f t="shared" si="93"/>
        <v>69.184722222234996</v>
      </c>
    </row>
    <row r="6004" spans="1:5" x14ac:dyDescent="0.25">
      <c r="A6004" t="s">
        <v>20</v>
      </c>
      <c r="B6004" t="s">
        <v>8</v>
      </c>
      <c r="C6004" s="1">
        <v>46164.408333333333</v>
      </c>
      <c r="D6004" s="1">
        <v>46198.599305555559</v>
      </c>
      <c r="E6004" s="2">
        <f t="shared" si="93"/>
        <v>34.190972222226264</v>
      </c>
    </row>
    <row r="6005" spans="1:5" x14ac:dyDescent="0.25">
      <c r="A6005" t="s">
        <v>12</v>
      </c>
      <c r="B6005" t="s">
        <v>13</v>
      </c>
      <c r="C6005" s="1">
        <v>46000.875</v>
      </c>
      <c r="D6005" s="1">
        <v>46045.625</v>
      </c>
      <c r="E6005" s="2">
        <f t="shared" si="93"/>
        <v>44.75</v>
      </c>
    </row>
    <row r="6006" spans="1:5" x14ac:dyDescent="0.25">
      <c r="A6006" t="s">
        <v>7</v>
      </c>
      <c r="B6006" t="s">
        <v>8</v>
      </c>
      <c r="C6006" s="1">
        <v>45891.654166666667</v>
      </c>
      <c r="D6006" s="1">
        <v>45938.662499999999</v>
      </c>
      <c r="E6006" s="2">
        <f t="shared" si="93"/>
        <v>47.008333333331393</v>
      </c>
    </row>
    <row r="6007" spans="1:5" x14ac:dyDescent="0.25">
      <c r="A6007" t="s">
        <v>23</v>
      </c>
      <c r="B6007" t="s">
        <v>18</v>
      </c>
      <c r="C6007" s="1">
        <v>45939.654166666667</v>
      </c>
      <c r="D6007" s="1">
        <v>45990.75</v>
      </c>
      <c r="E6007" s="2">
        <f t="shared" si="93"/>
        <v>51.095833333332848</v>
      </c>
    </row>
    <row r="6008" spans="1:5" x14ac:dyDescent="0.25">
      <c r="A6008" t="s">
        <v>22</v>
      </c>
      <c r="B6008" t="s">
        <v>19</v>
      </c>
      <c r="C6008" s="1">
        <v>45797.0625</v>
      </c>
      <c r="D6008" s="1">
        <v>45847.847916666673</v>
      </c>
      <c r="E6008" s="2">
        <f t="shared" si="93"/>
        <v>50.785416666672972</v>
      </c>
    </row>
    <row r="6009" spans="1:5" x14ac:dyDescent="0.25">
      <c r="A6009" t="s">
        <v>7</v>
      </c>
      <c r="B6009" t="s">
        <v>8</v>
      </c>
      <c r="C6009" s="1">
        <v>45785.595833333333</v>
      </c>
      <c r="D6009" s="1">
        <v>45818.416666666657</v>
      </c>
      <c r="E6009" s="2">
        <f t="shared" si="93"/>
        <v>32.820833333324117</v>
      </c>
    </row>
    <row r="6010" spans="1:5" x14ac:dyDescent="0.25">
      <c r="A6010" t="s">
        <v>10</v>
      </c>
      <c r="B6010" t="s">
        <v>11</v>
      </c>
      <c r="C6010" s="1">
        <v>46054.105555555558</v>
      </c>
      <c r="D6010" s="1">
        <v>46085.681250000001</v>
      </c>
      <c r="E6010" s="2">
        <f t="shared" si="93"/>
        <v>31.575694444443798</v>
      </c>
    </row>
    <row r="6011" spans="1:5" x14ac:dyDescent="0.25">
      <c r="A6011" t="s">
        <v>15</v>
      </c>
      <c r="B6011" t="s">
        <v>6</v>
      </c>
      <c r="C6011" s="1">
        <v>46008.466666666667</v>
      </c>
      <c r="D6011" s="1">
        <v>46076.254166666673</v>
      </c>
      <c r="E6011" s="2">
        <f t="shared" si="93"/>
        <v>67.787500000005821</v>
      </c>
    </row>
    <row r="6012" spans="1:5" x14ac:dyDescent="0.25">
      <c r="A6012" t="s">
        <v>12</v>
      </c>
      <c r="B6012" t="s">
        <v>13</v>
      </c>
      <c r="C6012" s="1">
        <v>46065.302083333343</v>
      </c>
      <c r="D6012" s="1">
        <v>46115.175000000003</v>
      </c>
      <c r="E6012" s="2">
        <f t="shared" si="93"/>
        <v>49.872916666659876</v>
      </c>
    </row>
    <row r="6013" spans="1:5" x14ac:dyDescent="0.25">
      <c r="A6013" t="s">
        <v>7</v>
      </c>
      <c r="B6013" t="s">
        <v>8</v>
      </c>
      <c r="C6013" s="1">
        <v>45875.462500000001</v>
      </c>
      <c r="D6013" s="1">
        <v>45920.2</v>
      </c>
      <c r="E6013" s="2">
        <f t="shared" si="93"/>
        <v>44.737499999995634</v>
      </c>
    </row>
    <row r="6014" spans="1:5" x14ac:dyDescent="0.25">
      <c r="A6014" t="s">
        <v>11</v>
      </c>
      <c r="B6014" t="s">
        <v>21</v>
      </c>
      <c r="C6014" s="1">
        <v>45806.916666666657</v>
      </c>
      <c r="D6014" s="1">
        <v>45818.416666666657</v>
      </c>
      <c r="E6014" s="2">
        <f t="shared" si="93"/>
        <v>11.5</v>
      </c>
    </row>
    <row r="6015" spans="1:5" x14ac:dyDescent="0.25">
      <c r="A6015" t="s">
        <v>34</v>
      </c>
      <c r="B6015" t="s">
        <v>21</v>
      </c>
      <c r="C6015" s="1">
        <v>45871.919444444437</v>
      </c>
      <c r="D6015" s="1">
        <v>45884.309027777781</v>
      </c>
      <c r="E6015" s="2">
        <f t="shared" si="93"/>
        <v>12.38958333334449</v>
      </c>
    </row>
    <row r="6016" spans="1:5" x14ac:dyDescent="0.25">
      <c r="A6016" t="s">
        <v>5</v>
      </c>
      <c r="B6016" t="s">
        <v>8</v>
      </c>
      <c r="C6016" s="1">
        <v>45958.999305555553</v>
      </c>
      <c r="D6016" s="1">
        <v>45993.345833333333</v>
      </c>
      <c r="E6016" s="2">
        <f t="shared" si="93"/>
        <v>34.346527777779556</v>
      </c>
    </row>
    <row r="6017" spans="1:5" x14ac:dyDescent="0.25">
      <c r="A6017" t="s">
        <v>7</v>
      </c>
      <c r="B6017" t="s">
        <v>8</v>
      </c>
      <c r="C6017" s="1">
        <v>45777.64166666667</v>
      </c>
      <c r="D6017" s="1">
        <v>45818.433333333327</v>
      </c>
      <c r="E6017" s="2">
        <f t="shared" si="93"/>
        <v>40.791666666656965</v>
      </c>
    </row>
    <row r="6018" spans="1:5" x14ac:dyDescent="0.25">
      <c r="A6018" t="s">
        <v>19</v>
      </c>
      <c r="B6018" t="s">
        <v>8</v>
      </c>
      <c r="C6018" s="1">
        <v>46147.065972222219</v>
      </c>
      <c r="D6018" s="1">
        <v>46185.602083333331</v>
      </c>
      <c r="E6018" s="2">
        <f t="shared" ref="E6018:E6081" si="94">D6018-C6018</f>
        <v>38.536111111112405</v>
      </c>
    </row>
    <row r="6019" spans="1:5" x14ac:dyDescent="0.25">
      <c r="A6019" t="s">
        <v>15</v>
      </c>
      <c r="B6019" t="s">
        <v>18</v>
      </c>
      <c r="C6019" s="1">
        <v>45713.762499999997</v>
      </c>
      <c r="D6019" s="1">
        <v>45770.936805555553</v>
      </c>
      <c r="E6019" s="2">
        <f t="shared" si="94"/>
        <v>57.174305555556202</v>
      </c>
    </row>
    <row r="6020" spans="1:5" x14ac:dyDescent="0.25">
      <c r="A6020" t="s">
        <v>7</v>
      </c>
      <c r="B6020" t="s">
        <v>8</v>
      </c>
      <c r="C6020" s="1">
        <v>45891.654166666667</v>
      </c>
      <c r="D6020" s="1">
        <v>45938.662499999999</v>
      </c>
      <c r="E6020" s="2">
        <f t="shared" si="94"/>
        <v>47.008333333331393</v>
      </c>
    </row>
    <row r="6021" spans="1:5" x14ac:dyDescent="0.25">
      <c r="A6021" t="s">
        <v>13</v>
      </c>
      <c r="B6021" t="s">
        <v>8</v>
      </c>
      <c r="C6021" s="1">
        <v>46037.32708333333</v>
      </c>
      <c r="D6021" s="1">
        <v>46078.697916666657</v>
      </c>
      <c r="E6021" s="2">
        <f t="shared" si="94"/>
        <v>41.370833333327028</v>
      </c>
    </row>
    <row r="6022" spans="1:5" x14ac:dyDescent="0.25">
      <c r="A6022" t="s">
        <v>11</v>
      </c>
      <c r="B6022" t="s">
        <v>37</v>
      </c>
      <c r="C6022" s="1">
        <v>45739.8125</v>
      </c>
      <c r="D6022" s="1">
        <v>45755.908333333333</v>
      </c>
      <c r="E6022" s="2">
        <f t="shared" si="94"/>
        <v>16.095833333332848</v>
      </c>
    </row>
    <row r="6023" spans="1:5" x14ac:dyDescent="0.25">
      <c r="A6023" t="s">
        <v>13</v>
      </c>
      <c r="B6023" t="s">
        <v>8</v>
      </c>
      <c r="C6023" s="1">
        <v>45872.354166666657</v>
      </c>
      <c r="D6023" s="1">
        <v>45895.902083333327</v>
      </c>
      <c r="E6023" s="2">
        <f t="shared" si="94"/>
        <v>23.547916666670062</v>
      </c>
    </row>
    <row r="6024" spans="1:5" x14ac:dyDescent="0.25">
      <c r="A6024" t="s">
        <v>22</v>
      </c>
      <c r="B6024" t="s">
        <v>14</v>
      </c>
      <c r="C6024" s="1">
        <v>45790.503252314818</v>
      </c>
      <c r="D6024" s="1">
        <v>45833.819444444453</v>
      </c>
      <c r="E6024" s="2">
        <f t="shared" si="94"/>
        <v>43.316192129634146</v>
      </c>
    </row>
    <row r="6025" spans="1:5" x14ac:dyDescent="0.25">
      <c r="A6025" t="s">
        <v>22</v>
      </c>
      <c r="B6025" t="s">
        <v>19</v>
      </c>
      <c r="C6025" s="1">
        <v>45908.735115740739</v>
      </c>
      <c r="D6025" s="1">
        <v>45961.661469907413</v>
      </c>
      <c r="E6025" s="2">
        <f t="shared" si="94"/>
        <v>52.926354166673264</v>
      </c>
    </row>
    <row r="6026" spans="1:5" x14ac:dyDescent="0.25">
      <c r="A6026" t="s">
        <v>7</v>
      </c>
      <c r="B6026" t="s">
        <v>8</v>
      </c>
      <c r="C6026" s="1">
        <v>45903.083333333343</v>
      </c>
      <c r="D6026" s="1">
        <v>45938.662499999999</v>
      </c>
      <c r="E6026" s="2">
        <f t="shared" si="94"/>
        <v>35.57916666665551</v>
      </c>
    </row>
    <row r="6027" spans="1:5" x14ac:dyDescent="0.25">
      <c r="A6027" t="s">
        <v>42</v>
      </c>
      <c r="B6027" t="s">
        <v>19</v>
      </c>
      <c r="C6027" s="1">
        <v>45873.4375</v>
      </c>
      <c r="D6027" s="1">
        <v>45917.621527777781</v>
      </c>
      <c r="E6027" s="2">
        <f t="shared" si="94"/>
        <v>44.184027777781012</v>
      </c>
    </row>
    <row r="6028" spans="1:5" x14ac:dyDescent="0.25">
      <c r="A6028" t="s">
        <v>7</v>
      </c>
      <c r="B6028" t="s">
        <v>8</v>
      </c>
      <c r="C6028" s="1">
        <v>45875.462500000001</v>
      </c>
      <c r="D6028" s="1">
        <v>45920.2</v>
      </c>
      <c r="E6028" s="2">
        <f t="shared" si="94"/>
        <v>44.737499999995634</v>
      </c>
    </row>
    <row r="6029" spans="1:5" x14ac:dyDescent="0.25">
      <c r="A6029" t="s">
        <v>28</v>
      </c>
      <c r="B6029" t="s">
        <v>18</v>
      </c>
      <c r="C6029" s="1">
        <v>45834.243055555547</v>
      </c>
      <c r="D6029" s="1">
        <v>45897</v>
      </c>
      <c r="E6029" s="2">
        <f t="shared" si="94"/>
        <v>62.756944444452529</v>
      </c>
    </row>
    <row r="6030" spans="1:5" x14ac:dyDescent="0.25">
      <c r="A6030" t="s">
        <v>11</v>
      </c>
      <c r="B6030" t="s">
        <v>21</v>
      </c>
      <c r="C6030" s="1">
        <v>46116.286805555559</v>
      </c>
      <c r="D6030" s="1">
        <v>46127.864583333343</v>
      </c>
      <c r="E6030" s="2">
        <f t="shared" si="94"/>
        <v>11.577777777783922</v>
      </c>
    </row>
    <row r="6031" spans="1:5" x14ac:dyDescent="0.25">
      <c r="A6031" t="s">
        <v>16</v>
      </c>
      <c r="B6031" t="s">
        <v>6</v>
      </c>
      <c r="C6031" s="1">
        <v>45703.462500000001</v>
      </c>
      <c r="D6031" s="1">
        <v>45765.916666666657</v>
      </c>
      <c r="E6031" s="2">
        <f t="shared" si="94"/>
        <v>62.45416666665551</v>
      </c>
    </row>
    <row r="6032" spans="1:5" x14ac:dyDescent="0.25">
      <c r="A6032" t="s">
        <v>7</v>
      </c>
      <c r="B6032" t="s">
        <v>8</v>
      </c>
      <c r="C6032" s="1">
        <v>45891.647222222222</v>
      </c>
      <c r="D6032" s="1">
        <v>45938.662499999999</v>
      </c>
      <c r="E6032" s="2">
        <f t="shared" si="94"/>
        <v>47.015277777776646</v>
      </c>
    </row>
    <row r="6033" spans="1:5" x14ac:dyDescent="0.25">
      <c r="A6033" t="s">
        <v>12</v>
      </c>
      <c r="B6033" t="s">
        <v>13</v>
      </c>
      <c r="C6033" s="1">
        <v>45711.834027777782</v>
      </c>
      <c r="D6033" s="1">
        <v>45758</v>
      </c>
      <c r="E6033" s="2">
        <f t="shared" si="94"/>
        <v>46.165972222217533</v>
      </c>
    </row>
    <row r="6034" spans="1:5" x14ac:dyDescent="0.25">
      <c r="A6034" t="s">
        <v>5</v>
      </c>
      <c r="B6034" t="s">
        <v>8</v>
      </c>
      <c r="C6034" s="1">
        <v>46065.004166666673</v>
      </c>
      <c r="D6034" s="1">
        <v>46099.525000000001</v>
      </c>
      <c r="E6034" s="2">
        <f t="shared" si="94"/>
        <v>34.520833333328483</v>
      </c>
    </row>
    <row r="6035" spans="1:5" x14ac:dyDescent="0.25">
      <c r="A6035" t="s">
        <v>12</v>
      </c>
      <c r="B6035" t="s">
        <v>13</v>
      </c>
      <c r="C6035" s="1">
        <v>46079.304166666669</v>
      </c>
      <c r="D6035" s="1">
        <v>46123.083333333343</v>
      </c>
      <c r="E6035" s="2">
        <f t="shared" si="94"/>
        <v>43.779166666674428</v>
      </c>
    </row>
    <row r="6036" spans="1:5" x14ac:dyDescent="0.25">
      <c r="A6036" t="s">
        <v>7</v>
      </c>
      <c r="B6036" t="s">
        <v>8</v>
      </c>
      <c r="C6036" s="1">
        <v>45920.587500000001</v>
      </c>
      <c r="D6036" s="1">
        <v>45965.662499999999</v>
      </c>
      <c r="E6036" s="2">
        <f t="shared" si="94"/>
        <v>45.07499999999709</v>
      </c>
    </row>
    <row r="6037" spans="1:5" x14ac:dyDescent="0.25">
      <c r="A6037" t="s">
        <v>20</v>
      </c>
      <c r="B6037" t="s">
        <v>8</v>
      </c>
      <c r="C6037" s="1">
        <v>46145.01666666667</v>
      </c>
      <c r="D6037" s="1">
        <v>46176.1875</v>
      </c>
      <c r="E6037" s="2">
        <f t="shared" si="94"/>
        <v>31.170833333329938</v>
      </c>
    </row>
    <row r="6038" spans="1:5" x14ac:dyDescent="0.25">
      <c r="A6038" t="s">
        <v>7</v>
      </c>
      <c r="B6038" t="s">
        <v>11</v>
      </c>
      <c r="C6038" s="1">
        <v>45738.083333333343</v>
      </c>
      <c r="D6038" s="1">
        <v>45819.366666666669</v>
      </c>
      <c r="E6038" s="2">
        <f t="shared" si="94"/>
        <v>81.283333333325572</v>
      </c>
    </row>
    <row r="6039" spans="1:5" x14ac:dyDescent="0.25">
      <c r="A6039" t="s">
        <v>16</v>
      </c>
      <c r="B6039" t="s">
        <v>8</v>
      </c>
      <c r="C6039" s="1">
        <v>45718.625</v>
      </c>
      <c r="D6039" s="1">
        <v>45760.229166666657</v>
      </c>
      <c r="E6039" s="2">
        <f t="shared" si="94"/>
        <v>41.604166666656965</v>
      </c>
    </row>
    <row r="6040" spans="1:5" x14ac:dyDescent="0.25">
      <c r="A6040" t="s">
        <v>9</v>
      </c>
      <c r="B6040" t="s">
        <v>11</v>
      </c>
      <c r="C6040" s="1">
        <v>45707.616666666669</v>
      </c>
      <c r="D6040" s="1">
        <v>45790.242361111108</v>
      </c>
      <c r="E6040" s="2">
        <f t="shared" si="94"/>
        <v>82.625694444439432</v>
      </c>
    </row>
    <row r="6041" spans="1:5" x14ac:dyDescent="0.25">
      <c r="A6041" t="s">
        <v>11</v>
      </c>
      <c r="B6041" t="s">
        <v>37</v>
      </c>
      <c r="C6041" s="1">
        <v>45663.672048611108</v>
      </c>
      <c r="D6041" s="1">
        <v>45678.612500000003</v>
      </c>
      <c r="E6041" s="2">
        <f t="shared" si="94"/>
        <v>14.940451388894871</v>
      </c>
    </row>
    <row r="6042" spans="1:5" x14ac:dyDescent="0.25">
      <c r="A6042" t="s">
        <v>7</v>
      </c>
      <c r="B6042" t="s">
        <v>8</v>
      </c>
      <c r="C6042" s="1">
        <v>45847.879166666673</v>
      </c>
      <c r="D6042" s="1">
        <v>45910.25</v>
      </c>
      <c r="E6042" s="2">
        <f t="shared" si="94"/>
        <v>62.370833333327028</v>
      </c>
    </row>
    <row r="6043" spans="1:5" x14ac:dyDescent="0.25">
      <c r="A6043" t="s">
        <v>5</v>
      </c>
      <c r="B6043" t="s">
        <v>8</v>
      </c>
      <c r="C6043" s="1">
        <v>45945.658333333333</v>
      </c>
      <c r="D6043" s="1">
        <v>45993.345833333333</v>
      </c>
      <c r="E6043" s="2">
        <f t="shared" si="94"/>
        <v>47.6875</v>
      </c>
    </row>
    <row r="6044" spans="1:5" x14ac:dyDescent="0.25">
      <c r="A6044" t="s">
        <v>22</v>
      </c>
      <c r="B6044" t="s">
        <v>14</v>
      </c>
      <c r="C6044" s="1">
        <v>45726.15625</v>
      </c>
      <c r="D6044" s="1">
        <v>45771</v>
      </c>
      <c r="E6044" s="2">
        <f t="shared" si="94"/>
        <v>44.84375</v>
      </c>
    </row>
    <row r="6045" spans="1:5" x14ac:dyDescent="0.25">
      <c r="A6045" t="s">
        <v>5</v>
      </c>
      <c r="B6045" t="s">
        <v>8</v>
      </c>
      <c r="C6045" s="1">
        <v>45995.0625</v>
      </c>
      <c r="D6045" s="1">
        <v>46028.791666666657</v>
      </c>
      <c r="E6045" s="2">
        <f t="shared" si="94"/>
        <v>33.729166666656965</v>
      </c>
    </row>
    <row r="6046" spans="1:5" x14ac:dyDescent="0.25">
      <c r="A6046" t="s">
        <v>8</v>
      </c>
      <c r="B6046" t="s">
        <v>7</v>
      </c>
      <c r="C6046" s="1">
        <v>45928.775000000001</v>
      </c>
      <c r="D6046" s="1">
        <v>45968.229166666657</v>
      </c>
      <c r="E6046" s="2">
        <f t="shared" si="94"/>
        <v>39.45416666665551</v>
      </c>
    </row>
    <row r="6047" spans="1:5" x14ac:dyDescent="0.25">
      <c r="A6047" t="s">
        <v>7</v>
      </c>
      <c r="B6047" t="s">
        <v>8</v>
      </c>
      <c r="C6047" s="1">
        <v>45920.587500000001</v>
      </c>
      <c r="D6047" s="1">
        <v>45965.662499999999</v>
      </c>
      <c r="E6047" s="2">
        <f t="shared" si="94"/>
        <v>45.07499999999709</v>
      </c>
    </row>
    <row r="6048" spans="1:5" x14ac:dyDescent="0.25">
      <c r="A6048" t="s">
        <v>7</v>
      </c>
      <c r="B6048" t="s">
        <v>8</v>
      </c>
      <c r="C6048" s="1">
        <v>45785.595833333333</v>
      </c>
      <c r="D6048" s="1">
        <v>45818.433333333327</v>
      </c>
      <c r="E6048" s="2">
        <f t="shared" si="94"/>
        <v>32.837499999994179</v>
      </c>
    </row>
    <row r="6049" spans="1:5" x14ac:dyDescent="0.25">
      <c r="A6049" t="s">
        <v>5</v>
      </c>
      <c r="B6049" t="s">
        <v>8</v>
      </c>
      <c r="C6049" s="1">
        <v>46072.658333333333</v>
      </c>
      <c r="D6049" s="1">
        <v>46107.929166666669</v>
      </c>
      <c r="E6049" s="2">
        <f t="shared" si="94"/>
        <v>35.270833333335759</v>
      </c>
    </row>
    <row r="6050" spans="1:5" x14ac:dyDescent="0.25">
      <c r="A6050" t="s">
        <v>7</v>
      </c>
      <c r="B6050" t="s">
        <v>8</v>
      </c>
      <c r="C6050" s="1">
        <v>45882.166666666657</v>
      </c>
      <c r="D6050" s="1">
        <v>45938.662499999999</v>
      </c>
      <c r="E6050" s="2">
        <f t="shared" si="94"/>
        <v>56.495833333341579</v>
      </c>
    </row>
    <row r="6051" spans="1:5" x14ac:dyDescent="0.25">
      <c r="A6051" t="s">
        <v>7</v>
      </c>
      <c r="B6051" t="s">
        <v>8</v>
      </c>
      <c r="C6051" s="1">
        <v>45911.039583333331</v>
      </c>
      <c r="D6051" s="1">
        <v>45949.047222222223</v>
      </c>
      <c r="E6051" s="2">
        <f t="shared" si="94"/>
        <v>38.007638888891961</v>
      </c>
    </row>
    <row r="6052" spans="1:5" x14ac:dyDescent="0.25">
      <c r="A6052" t="s">
        <v>7</v>
      </c>
      <c r="B6052" t="s">
        <v>11</v>
      </c>
      <c r="C6052" s="1">
        <v>45934.720833333333</v>
      </c>
      <c r="D6052" s="1">
        <v>45995.345833333333</v>
      </c>
      <c r="E6052" s="2">
        <f t="shared" si="94"/>
        <v>60.625</v>
      </c>
    </row>
    <row r="6053" spans="1:5" x14ac:dyDescent="0.25">
      <c r="A6053" t="s">
        <v>7</v>
      </c>
      <c r="B6053" t="s">
        <v>8</v>
      </c>
      <c r="C6053" s="1">
        <v>45834.537499999999</v>
      </c>
      <c r="D6053" s="1">
        <v>45885.783333333333</v>
      </c>
      <c r="E6053" s="2">
        <f t="shared" si="94"/>
        <v>51.245833333334303</v>
      </c>
    </row>
    <row r="6054" spans="1:5" x14ac:dyDescent="0.25">
      <c r="A6054" t="s">
        <v>5</v>
      </c>
      <c r="B6054" t="s">
        <v>8</v>
      </c>
      <c r="C6054" s="1">
        <v>46093.616666666669</v>
      </c>
      <c r="D6054" s="1">
        <v>46141.354166666657</v>
      </c>
      <c r="E6054" s="2">
        <f t="shared" si="94"/>
        <v>47.737499999988358</v>
      </c>
    </row>
    <row r="6055" spans="1:5" x14ac:dyDescent="0.25">
      <c r="A6055" t="s">
        <v>5</v>
      </c>
      <c r="B6055" t="s">
        <v>8</v>
      </c>
      <c r="C6055" s="1">
        <v>46093.616666666669</v>
      </c>
      <c r="D6055" s="1">
        <v>46141.354166666657</v>
      </c>
      <c r="E6055" s="2">
        <f t="shared" si="94"/>
        <v>47.737499999988358</v>
      </c>
    </row>
    <row r="6056" spans="1:5" x14ac:dyDescent="0.25">
      <c r="A6056" t="s">
        <v>5</v>
      </c>
      <c r="B6056" t="s">
        <v>8</v>
      </c>
      <c r="C6056" s="1">
        <v>46049.5</v>
      </c>
      <c r="D6056" s="1">
        <v>46091.345833333333</v>
      </c>
      <c r="E6056" s="2">
        <f t="shared" si="94"/>
        <v>41.845833333332848</v>
      </c>
    </row>
    <row r="6057" spans="1:5" x14ac:dyDescent="0.25">
      <c r="A6057" t="s">
        <v>22</v>
      </c>
      <c r="B6057" t="s">
        <v>19</v>
      </c>
      <c r="C6057" s="1">
        <v>45838.040972222218</v>
      </c>
      <c r="D6057" s="1">
        <v>45890.80972222222</v>
      </c>
      <c r="E6057" s="2">
        <f t="shared" si="94"/>
        <v>52.76875000000291</v>
      </c>
    </row>
    <row r="6058" spans="1:5" x14ac:dyDescent="0.25">
      <c r="A6058" t="s">
        <v>5</v>
      </c>
      <c r="B6058" t="s">
        <v>8</v>
      </c>
      <c r="C6058" s="1">
        <v>46035.520833333343</v>
      </c>
      <c r="D6058" s="1">
        <v>46073.45416666667</v>
      </c>
      <c r="E6058" s="2">
        <f t="shared" si="94"/>
        <v>37.933333333327028</v>
      </c>
    </row>
    <row r="6059" spans="1:5" x14ac:dyDescent="0.25">
      <c r="A6059" t="s">
        <v>5</v>
      </c>
      <c r="B6059" t="s">
        <v>8</v>
      </c>
      <c r="C6059" s="1">
        <v>45945.658333333333</v>
      </c>
      <c r="D6059" s="1">
        <v>45993.345833333333</v>
      </c>
      <c r="E6059" s="2">
        <f t="shared" si="94"/>
        <v>47.6875</v>
      </c>
    </row>
    <row r="6060" spans="1:5" x14ac:dyDescent="0.25">
      <c r="A6060" t="s">
        <v>12</v>
      </c>
      <c r="B6060" t="s">
        <v>8</v>
      </c>
      <c r="C6060" s="1">
        <v>46056.25277777778</v>
      </c>
      <c r="D6060" s="1">
        <v>46102.916666666657</v>
      </c>
      <c r="E6060" s="2">
        <f t="shared" si="94"/>
        <v>46.663888888877409</v>
      </c>
    </row>
    <row r="6061" spans="1:5" x14ac:dyDescent="0.25">
      <c r="A6061" t="s">
        <v>14</v>
      </c>
      <c r="B6061" t="s">
        <v>22</v>
      </c>
      <c r="C6061" s="1">
        <v>45913.491666666669</v>
      </c>
      <c r="D6061" s="1">
        <v>45968.791666666657</v>
      </c>
      <c r="E6061" s="2">
        <f t="shared" si="94"/>
        <v>55.299999999988358</v>
      </c>
    </row>
    <row r="6062" spans="1:5" x14ac:dyDescent="0.25">
      <c r="A6062" t="s">
        <v>13</v>
      </c>
      <c r="B6062" t="s">
        <v>8</v>
      </c>
      <c r="C6062" s="1">
        <v>45877.620833333327</v>
      </c>
      <c r="D6062" s="1">
        <v>45913.041666666657</v>
      </c>
      <c r="E6062" s="2">
        <f t="shared" si="94"/>
        <v>35.420833333329938</v>
      </c>
    </row>
    <row r="6063" spans="1:5" x14ac:dyDescent="0.25">
      <c r="A6063" t="s">
        <v>7</v>
      </c>
      <c r="B6063" t="s">
        <v>8</v>
      </c>
      <c r="C6063" s="1">
        <v>45847.606944444437</v>
      </c>
      <c r="D6063" s="1">
        <v>45910.25</v>
      </c>
      <c r="E6063" s="2">
        <f t="shared" si="94"/>
        <v>62.643055555563478</v>
      </c>
    </row>
    <row r="6064" spans="1:5" x14ac:dyDescent="0.25">
      <c r="A6064" t="s">
        <v>5</v>
      </c>
      <c r="B6064" t="s">
        <v>8</v>
      </c>
      <c r="C6064" s="1">
        <v>46028.258333333331</v>
      </c>
      <c r="D6064" s="1">
        <v>46071.058333333327</v>
      </c>
      <c r="E6064" s="2">
        <f t="shared" si="94"/>
        <v>42.799999999995634</v>
      </c>
    </row>
    <row r="6065" spans="1:5" x14ac:dyDescent="0.25">
      <c r="A6065" t="s">
        <v>22</v>
      </c>
      <c r="B6065" t="s">
        <v>51</v>
      </c>
      <c r="C6065" s="1">
        <v>46041.21597222222</v>
      </c>
      <c r="D6065" s="1">
        <v>46112.119444444441</v>
      </c>
      <c r="E6065" s="2">
        <f t="shared" si="94"/>
        <v>70.903472222220444</v>
      </c>
    </row>
    <row r="6066" spans="1:5" x14ac:dyDescent="0.25">
      <c r="A6066" t="s">
        <v>15</v>
      </c>
      <c r="B6066" t="s">
        <v>13</v>
      </c>
      <c r="C6066" s="1">
        <v>45862.302974537037</v>
      </c>
      <c r="D6066" s="1">
        <v>45899.534722222219</v>
      </c>
      <c r="E6066" s="2">
        <f t="shared" si="94"/>
        <v>37.231747685182199</v>
      </c>
    </row>
    <row r="6067" spans="1:5" x14ac:dyDescent="0.25">
      <c r="A6067" t="s">
        <v>28</v>
      </c>
      <c r="B6067" t="s">
        <v>18</v>
      </c>
      <c r="C6067" s="1">
        <v>45879.111111111109</v>
      </c>
      <c r="D6067" s="1">
        <v>45955.333333333343</v>
      </c>
      <c r="E6067" s="2">
        <f t="shared" si="94"/>
        <v>76.22222222223354</v>
      </c>
    </row>
    <row r="6068" spans="1:5" x14ac:dyDescent="0.25">
      <c r="A6068" t="s">
        <v>7</v>
      </c>
      <c r="B6068" t="s">
        <v>8</v>
      </c>
      <c r="C6068" s="1">
        <v>45822.8</v>
      </c>
      <c r="D6068" s="1">
        <v>45875.612500000003</v>
      </c>
      <c r="E6068" s="2">
        <f t="shared" si="94"/>
        <v>52.8125</v>
      </c>
    </row>
    <row r="6069" spans="1:5" x14ac:dyDescent="0.25">
      <c r="A6069" t="s">
        <v>12</v>
      </c>
      <c r="B6069" t="s">
        <v>13</v>
      </c>
      <c r="C6069" s="1">
        <v>45733.666666666657</v>
      </c>
      <c r="D6069" s="1">
        <v>45777.879166666673</v>
      </c>
      <c r="E6069" s="2">
        <f t="shared" si="94"/>
        <v>44.212500000016007</v>
      </c>
    </row>
    <row r="6070" spans="1:5" x14ac:dyDescent="0.25">
      <c r="A6070" t="s">
        <v>7</v>
      </c>
      <c r="B6070" t="s">
        <v>8</v>
      </c>
      <c r="C6070" s="1">
        <v>45940.345833333333</v>
      </c>
      <c r="D6070" s="1">
        <v>45989.166666666657</v>
      </c>
      <c r="E6070" s="2">
        <f t="shared" si="94"/>
        <v>48.820833333324117</v>
      </c>
    </row>
    <row r="6071" spans="1:5" x14ac:dyDescent="0.25">
      <c r="A6071" t="s">
        <v>5</v>
      </c>
      <c r="B6071" t="s">
        <v>6</v>
      </c>
      <c r="C6071" s="1">
        <v>45866.95416666667</v>
      </c>
      <c r="D6071" s="1">
        <v>45932.224999999999</v>
      </c>
      <c r="E6071" s="2">
        <f t="shared" si="94"/>
        <v>65.270833333328483</v>
      </c>
    </row>
    <row r="6072" spans="1:5" x14ac:dyDescent="0.25">
      <c r="A6072" t="s">
        <v>7</v>
      </c>
      <c r="B6072" t="s">
        <v>8</v>
      </c>
      <c r="C6072" s="1">
        <v>45807.791666666657</v>
      </c>
      <c r="D6072" s="1">
        <v>45853.816666666673</v>
      </c>
      <c r="E6072" s="2">
        <f t="shared" si="94"/>
        <v>46.025000000016007</v>
      </c>
    </row>
    <row r="6073" spans="1:5" x14ac:dyDescent="0.25">
      <c r="A6073" t="s">
        <v>7</v>
      </c>
      <c r="B6073" t="s">
        <v>8</v>
      </c>
      <c r="C6073" s="1">
        <v>45882.037499999999</v>
      </c>
      <c r="D6073" s="1">
        <v>45938.662499999999</v>
      </c>
      <c r="E6073" s="2">
        <f t="shared" si="94"/>
        <v>56.625</v>
      </c>
    </row>
    <row r="6074" spans="1:5" x14ac:dyDescent="0.25">
      <c r="A6074" t="s">
        <v>15</v>
      </c>
      <c r="B6074" t="s">
        <v>8</v>
      </c>
      <c r="C6074" s="1">
        <v>46031.183333333327</v>
      </c>
      <c r="D6074" s="1">
        <v>46074.836805555547</v>
      </c>
      <c r="E6074" s="2">
        <f t="shared" si="94"/>
        <v>43.653472222220444</v>
      </c>
    </row>
    <row r="6075" spans="1:5" x14ac:dyDescent="0.25">
      <c r="A6075" t="s">
        <v>15</v>
      </c>
      <c r="B6075" t="s">
        <v>8</v>
      </c>
      <c r="C6075" s="1">
        <v>46135.581250000003</v>
      </c>
      <c r="D6075" s="1">
        <v>46173.291666666657</v>
      </c>
      <c r="E6075" s="2">
        <f t="shared" si="94"/>
        <v>37.710416666654055</v>
      </c>
    </row>
    <row r="6076" spans="1:5" x14ac:dyDescent="0.25">
      <c r="A6076" t="s">
        <v>15</v>
      </c>
      <c r="B6076" t="s">
        <v>18</v>
      </c>
      <c r="C6076" s="1">
        <v>45864.958333333343</v>
      </c>
      <c r="D6076" s="1">
        <v>45917.230555555558</v>
      </c>
      <c r="E6076" s="2">
        <f t="shared" si="94"/>
        <v>52.272222222214623</v>
      </c>
    </row>
    <row r="6077" spans="1:5" x14ac:dyDescent="0.25">
      <c r="A6077" t="s">
        <v>27</v>
      </c>
      <c r="B6077" t="s">
        <v>18</v>
      </c>
      <c r="C6077" s="1">
        <v>46062.859722222223</v>
      </c>
      <c r="D6077" s="1">
        <v>46119.064583333333</v>
      </c>
      <c r="E6077" s="2">
        <f t="shared" si="94"/>
        <v>56.204861111109494</v>
      </c>
    </row>
    <row r="6078" spans="1:5" x14ac:dyDescent="0.25">
      <c r="A6078" t="s">
        <v>57</v>
      </c>
      <c r="B6078" t="s">
        <v>8</v>
      </c>
      <c r="C6078" s="1">
        <v>46225.85</v>
      </c>
      <c r="D6078" s="1">
        <v>46256.586817129632</v>
      </c>
      <c r="E6078" s="2">
        <f t="shared" si="94"/>
        <v>30.736817129632982</v>
      </c>
    </row>
    <row r="6079" spans="1:5" x14ac:dyDescent="0.25">
      <c r="A6079" t="s">
        <v>22</v>
      </c>
      <c r="B6079" t="s">
        <v>51</v>
      </c>
      <c r="C6079" s="1">
        <v>45776.177083333343</v>
      </c>
      <c r="D6079" s="1">
        <v>45822</v>
      </c>
      <c r="E6079" s="2">
        <f t="shared" si="94"/>
        <v>45.822916666656965</v>
      </c>
    </row>
    <row r="6080" spans="1:5" x14ac:dyDescent="0.25">
      <c r="A6080" t="s">
        <v>15</v>
      </c>
      <c r="B6080" t="s">
        <v>18</v>
      </c>
      <c r="C6080" s="1">
        <v>45720.418749999997</v>
      </c>
      <c r="D6080" s="1">
        <v>45777.973611111112</v>
      </c>
      <c r="E6080" s="2">
        <f t="shared" si="94"/>
        <v>57.554861111115315</v>
      </c>
    </row>
    <row r="6081" spans="1:5" x14ac:dyDescent="0.25">
      <c r="A6081" t="s">
        <v>7</v>
      </c>
      <c r="B6081" t="s">
        <v>20</v>
      </c>
      <c r="C6081" s="1">
        <v>45929.030555555553</v>
      </c>
      <c r="D6081" s="1">
        <v>45987.324999999997</v>
      </c>
      <c r="E6081" s="2">
        <f t="shared" si="94"/>
        <v>58.294444444443798</v>
      </c>
    </row>
    <row r="6082" spans="1:5" x14ac:dyDescent="0.25">
      <c r="A6082" t="s">
        <v>7</v>
      </c>
      <c r="B6082" t="s">
        <v>20</v>
      </c>
      <c r="C6082" s="1">
        <v>45803.4375</v>
      </c>
      <c r="D6082" s="1">
        <v>45860.850694444453</v>
      </c>
      <c r="E6082" s="2">
        <f t="shared" ref="E6082:E6145" si="95">D6082-C6082</f>
        <v>57.413194444452529</v>
      </c>
    </row>
    <row r="6083" spans="1:5" x14ac:dyDescent="0.25">
      <c r="A6083" t="s">
        <v>12</v>
      </c>
      <c r="B6083" t="s">
        <v>18</v>
      </c>
      <c r="C6083" s="1">
        <v>46027.166666666657</v>
      </c>
      <c r="D6083" s="1">
        <v>46087.666666666657</v>
      </c>
      <c r="E6083" s="2">
        <f t="shared" si="95"/>
        <v>60.5</v>
      </c>
    </row>
    <row r="6084" spans="1:5" x14ac:dyDescent="0.25">
      <c r="A6084" t="s">
        <v>7</v>
      </c>
      <c r="B6084" t="s">
        <v>20</v>
      </c>
      <c r="C6084" s="1">
        <v>45901.830555555563</v>
      </c>
      <c r="D6084" s="1">
        <v>45963.645833333343</v>
      </c>
      <c r="E6084" s="2">
        <f t="shared" si="95"/>
        <v>61.815277777779556</v>
      </c>
    </row>
    <row r="6085" spans="1:5" x14ac:dyDescent="0.25">
      <c r="A6085" t="s">
        <v>27</v>
      </c>
      <c r="B6085" t="s">
        <v>20</v>
      </c>
      <c r="C6085" s="1">
        <v>45674.216666666667</v>
      </c>
      <c r="D6085" s="1">
        <v>45752.4375</v>
      </c>
      <c r="E6085" s="2">
        <f t="shared" si="95"/>
        <v>78.220833333332848</v>
      </c>
    </row>
    <row r="6086" spans="1:5" x14ac:dyDescent="0.25">
      <c r="A6086" t="s">
        <v>12</v>
      </c>
      <c r="B6086" t="s">
        <v>13</v>
      </c>
      <c r="C6086" s="1">
        <v>45799.050694444442</v>
      </c>
      <c r="D6086" s="1">
        <v>45844.353472222218</v>
      </c>
      <c r="E6086" s="2">
        <f t="shared" si="95"/>
        <v>45.302777777775191</v>
      </c>
    </row>
    <row r="6087" spans="1:5" x14ac:dyDescent="0.25">
      <c r="A6087" t="s">
        <v>28</v>
      </c>
      <c r="B6087" t="s">
        <v>12</v>
      </c>
      <c r="C6087" s="1">
        <v>46097.443055555559</v>
      </c>
      <c r="D6087" s="1">
        <v>46103.411111111112</v>
      </c>
      <c r="E6087" s="2">
        <f t="shared" si="95"/>
        <v>5.9680555555532919</v>
      </c>
    </row>
    <row r="6088" spans="1:5" x14ac:dyDescent="0.25">
      <c r="A6088" t="s">
        <v>12</v>
      </c>
      <c r="B6088" t="s">
        <v>8</v>
      </c>
      <c r="C6088" s="1">
        <v>46120.254166666673</v>
      </c>
      <c r="D6088" s="1">
        <v>46175.798611111109</v>
      </c>
      <c r="E6088" s="2">
        <f t="shared" si="95"/>
        <v>55.544444444436522</v>
      </c>
    </row>
    <row r="6089" spans="1:5" x14ac:dyDescent="0.25">
      <c r="A6089" t="s">
        <v>12</v>
      </c>
      <c r="B6089" t="s">
        <v>18</v>
      </c>
      <c r="C6089" s="1">
        <v>46043.625</v>
      </c>
      <c r="D6089" s="1">
        <v>46103.675694444442</v>
      </c>
      <c r="E6089" s="2">
        <f t="shared" si="95"/>
        <v>60.050694444442343</v>
      </c>
    </row>
    <row r="6090" spans="1:5" x14ac:dyDescent="0.25">
      <c r="A6090" t="s">
        <v>15</v>
      </c>
      <c r="B6090" t="s">
        <v>18</v>
      </c>
      <c r="C6090" s="1">
        <v>45906.25</v>
      </c>
      <c r="D6090" s="1">
        <v>45949.900694444441</v>
      </c>
      <c r="E6090" s="2">
        <f t="shared" si="95"/>
        <v>43.650694444440887</v>
      </c>
    </row>
    <row r="6091" spans="1:5" x14ac:dyDescent="0.25">
      <c r="A6091" t="s">
        <v>23</v>
      </c>
      <c r="B6091" t="s">
        <v>19</v>
      </c>
      <c r="C6091" s="1">
        <v>45856.408333333333</v>
      </c>
      <c r="D6091" s="1">
        <v>45894.626388888893</v>
      </c>
      <c r="E6091" s="2">
        <f t="shared" si="95"/>
        <v>38.218055555560568</v>
      </c>
    </row>
    <row r="6092" spans="1:5" x14ac:dyDescent="0.25">
      <c r="A6092" t="s">
        <v>15</v>
      </c>
      <c r="B6092" t="s">
        <v>18</v>
      </c>
      <c r="C6092" s="1">
        <v>45716.541666666657</v>
      </c>
      <c r="D6092" s="1">
        <v>45765.89166666667</v>
      </c>
      <c r="E6092" s="2">
        <f t="shared" si="95"/>
        <v>49.350000000013097</v>
      </c>
    </row>
    <row r="6093" spans="1:5" x14ac:dyDescent="0.25">
      <c r="A6093" t="s">
        <v>22</v>
      </c>
      <c r="B6093" t="s">
        <v>19</v>
      </c>
      <c r="C6093" s="1">
        <v>46205.704861111109</v>
      </c>
      <c r="D6093" s="1">
        <v>46262.28125</v>
      </c>
      <c r="E6093" s="2">
        <f t="shared" si="95"/>
        <v>56.576388888890506</v>
      </c>
    </row>
    <row r="6094" spans="1:5" x14ac:dyDescent="0.25">
      <c r="A6094" t="s">
        <v>27</v>
      </c>
      <c r="B6094" t="s">
        <v>8</v>
      </c>
      <c r="C6094" s="1">
        <v>45824.666666666657</v>
      </c>
      <c r="D6094" s="1">
        <v>45873.418749999997</v>
      </c>
      <c r="E6094" s="2">
        <f t="shared" si="95"/>
        <v>48.752083333340124</v>
      </c>
    </row>
    <row r="6095" spans="1:5" x14ac:dyDescent="0.25">
      <c r="A6095" t="s">
        <v>12</v>
      </c>
      <c r="B6095" t="s">
        <v>13</v>
      </c>
      <c r="C6095" s="1">
        <v>46164.898611111108</v>
      </c>
      <c r="D6095" s="1">
        <v>46216.136111111111</v>
      </c>
      <c r="E6095" s="2">
        <f t="shared" si="95"/>
        <v>51.23750000000291</v>
      </c>
    </row>
    <row r="6096" spans="1:5" x14ac:dyDescent="0.25">
      <c r="A6096" t="s">
        <v>42</v>
      </c>
      <c r="B6096" t="s">
        <v>19</v>
      </c>
      <c r="C6096" s="1">
        <v>45863.673611111109</v>
      </c>
      <c r="D6096" s="1">
        <v>45919.583333333343</v>
      </c>
      <c r="E6096" s="2">
        <f t="shared" si="95"/>
        <v>55.90972222223354</v>
      </c>
    </row>
    <row r="6097" spans="1:5" x14ac:dyDescent="0.25">
      <c r="A6097" t="s">
        <v>12</v>
      </c>
      <c r="B6097" t="s">
        <v>18</v>
      </c>
      <c r="C6097" s="1">
        <v>45918.879166666673</v>
      </c>
      <c r="D6097" s="1">
        <v>45996.541666666657</v>
      </c>
      <c r="E6097" s="2">
        <f t="shared" si="95"/>
        <v>77.662499999983993</v>
      </c>
    </row>
    <row r="6098" spans="1:5" x14ac:dyDescent="0.25">
      <c r="A6098" t="s">
        <v>15</v>
      </c>
      <c r="B6098" t="s">
        <v>18</v>
      </c>
      <c r="C6098" s="1">
        <v>46157.232638888891</v>
      </c>
      <c r="D6098" s="1">
        <v>46210.369444444441</v>
      </c>
      <c r="E6098" s="2">
        <f t="shared" si="95"/>
        <v>53.136805555550382</v>
      </c>
    </row>
    <row r="6099" spans="1:5" x14ac:dyDescent="0.25">
      <c r="A6099" t="s">
        <v>30</v>
      </c>
      <c r="B6099" t="s">
        <v>20</v>
      </c>
      <c r="C6099" s="1">
        <v>45952.819444444453</v>
      </c>
      <c r="D6099" s="1">
        <v>45963.694444444453</v>
      </c>
      <c r="E6099" s="2">
        <f t="shared" si="95"/>
        <v>10.875</v>
      </c>
    </row>
    <row r="6100" spans="1:5" x14ac:dyDescent="0.25">
      <c r="A6100" t="s">
        <v>11</v>
      </c>
      <c r="B6100" t="s">
        <v>19</v>
      </c>
      <c r="C6100" s="1">
        <v>45716.40347222222</v>
      </c>
      <c r="D6100" s="1">
        <v>45771.574999999997</v>
      </c>
      <c r="E6100" s="2">
        <f t="shared" si="95"/>
        <v>55.171527777776646</v>
      </c>
    </row>
    <row r="6101" spans="1:5" x14ac:dyDescent="0.25">
      <c r="A6101" t="s">
        <v>8</v>
      </c>
      <c r="B6101" t="s">
        <v>18</v>
      </c>
      <c r="C6101" s="1">
        <v>46149.661805555559</v>
      </c>
      <c r="D6101" s="1">
        <v>46195.804166666669</v>
      </c>
      <c r="E6101" s="2">
        <f t="shared" si="95"/>
        <v>46.142361111109494</v>
      </c>
    </row>
    <row r="6102" spans="1:5" x14ac:dyDescent="0.25">
      <c r="A6102" t="s">
        <v>27</v>
      </c>
      <c r="B6102" t="s">
        <v>8</v>
      </c>
      <c r="C6102" s="1">
        <v>46109.183333333327</v>
      </c>
      <c r="D6102" s="1">
        <v>46159.291666666657</v>
      </c>
      <c r="E6102" s="2">
        <f t="shared" si="95"/>
        <v>50.108333333329938</v>
      </c>
    </row>
    <row r="6103" spans="1:5" x14ac:dyDescent="0.25">
      <c r="A6103" t="s">
        <v>16</v>
      </c>
      <c r="B6103" t="s">
        <v>8</v>
      </c>
      <c r="C6103" s="1">
        <v>45718.625</v>
      </c>
      <c r="D6103" s="1">
        <v>45760.229166666657</v>
      </c>
      <c r="E6103" s="2">
        <f t="shared" si="95"/>
        <v>41.604166666656965</v>
      </c>
    </row>
    <row r="6104" spans="1:5" x14ac:dyDescent="0.25">
      <c r="A6104" t="s">
        <v>7</v>
      </c>
      <c r="B6104" t="s">
        <v>8</v>
      </c>
      <c r="C6104" s="1">
        <v>45792.854166666657</v>
      </c>
      <c r="D6104" s="1">
        <v>45839.3125</v>
      </c>
      <c r="E6104" s="2">
        <f t="shared" si="95"/>
        <v>46.458333333343035</v>
      </c>
    </row>
    <row r="6105" spans="1:5" x14ac:dyDescent="0.25">
      <c r="A6105" t="s">
        <v>12</v>
      </c>
      <c r="B6105" t="s">
        <v>18</v>
      </c>
      <c r="C6105" s="1">
        <v>45799.050694444442</v>
      </c>
      <c r="D6105" s="1">
        <v>45869.003472222219</v>
      </c>
      <c r="E6105" s="2">
        <f t="shared" si="95"/>
        <v>69.952777777776646</v>
      </c>
    </row>
    <row r="6106" spans="1:5" x14ac:dyDescent="0.25">
      <c r="A6106" t="s">
        <v>7</v>
      </c>
      <c r="B6106" t="s">
        <v>8</v>
      </c>
      <c r="C6106" s="1">
        <v>45911.604166666657</v>
      </c>
      <c r="D6106" s="1">
        <v>45948.104166666657</v>
      </c>
      <c r="E6106" s="2">
        <f t="shared" si="95"/>
        <v>36.5</v>
      </c>
    </row>
    <row r="6107" spans="1:5" x14ac:dyDescent="0.25">
      <c r="A6107" t="s">
        <v>34</v>
      </c>
      <c r="B6107" t="s">
        <v>13</v>
      </c>
      <c r="C6107" s="1">
        <v>45893.815069444441</v>
      </c>
      <c r="D6107" s="1">
        <v>45919.23333333333</v>
      </c>
      <c r="E6107" s="2">
        <f t="shared" si="95"/>
        <v>25.41826388888876</v>
      </c>
    </row>
    <row r="6108" spans="1:5" x14ac:dyDescent="0.25">
      <c r="A6108" t="s">
        <v>9</v>
      </c>
      <c r="B6108" t="s">
        <v>8</v>
      </c>
      <c r="C6108" s="1">
        <v>45791.5</v>
      </c>
      <c r="D6108" s="1">
        <v>45833.520833333343</v>
      </c>
      <c r="E6108" s="2">
        <f t="shared" si="95"/>
        <v>42.020833333343035</v>
      </c>
    </row>
    <row r="6109" spans="1:5" x14ac:dyDescent="0.25">
      <c r="A6109" t="s">
        <v>7</v>
      </c>
      <c r="B6109" t="s">
        <v>11</v>
      </c>
      <c r="C6109" s="1">
        <v>45800.645833333343</v>
      </c>
      <c r="D6109" s="1">
        <v>45880.270833333343</v>
      </c>
      <c r="E6109" s="2">
        <f t="shared" si="95"/>
        <v>79.625</v>
      </c>
    </row>
    <row r="6110" spans="1:5" x14ac:dyDescent="0.25">
      <c r="A6110" t="s">
        <v>7</v>
      </c>
      <c r="B6110" t="s">
        <v>20</v>
      </c>
      <c r="C6110" s="1">
        <v>45908.104166666657</v>
      </c>
      <c r="D6110" s="1">
        <v>45963.645833333343</v>
      </c>
      <c r="E6110" s="2">
        <f t="shared" si="95"/>
        <v>55.541666666686069</v>
      </c>
    </row>
    <row r="6111" spans="1:5" x14ac:dyDescent="0.25">
      <c r="A6111" t="s">
        <v>11</v>
      </c>
      <c r="B6111" t="s">
        <v>37</v>
      </c>
      <c r="C6111" s="1">
        <v>45752.929166666669</v>
      </c>
      <c r="D6111" s="1">
        <v>45771.879166666673</v>
      </c>
      <c r="E6111" s="2">
        <f t="shared" si="95"/>
        <v>18.950000000004366</v>
      </c>
    </row>
    <row r="6112" spans="1:5" x14ac:dyDescent="0.25">
      <c r="A6112" t="s">
        <v>34</v>
      </c>
      <c r="B6112" t="s">
        <v>8</v>
      </c>
      <c r="C6112" s="1">
        <v>45866.291666666657</v>
      </c>
      <c r="D6112" s="1">
        <v>45912.762499999997</v>
      </c>
      <c r="E6112" s="2">
        <f t="shared" si="95"/>
        <v>46.470833333340124</v>
      </c>
    </row>
    <row r="6113" spans="1:5" x14ac:dyDescent="0.25">
      <c r="A6113" t="s">
        <v>7</v>
      </c>
      <c r="B6113" t="s">
        <v>8</v>
      </c>
      <c r="C6113" s="1">
        <v>46002.212500000001</v>
      </c>
      <c r="D6113" s="1">
        <v>46047.712500000001</v>
      </c>
      <c r="E6113" s="2">
        <f t="shared" si="95"/>
        <v>45.5</v>
      </c>
    </row>
    <row r="6114" spans="1:5" x14ac:dyDescent="0.25">
      <c r="A6114" t="s">
        <v>7</v>
      </c>
      <c r="B6114" t="s">
        <v>8</v>
      </c>
      <c r="C6114" s="1">
        <v>45911.029166666667</v>
      </c>
      <c r="D6114" s="1">
        <v>45948.104166666657</v>
      </c>
      <c r="E6114" s="2">
        <f t="shared" si="95"/>
        <v>37.074999999989814</v>
      </c>
    </row>
    <row r="6115" spans="1:5" x14ac:dyDescent="0.25">
      <c r="A6115" t="s">
        <v>5</v>
      </c>
      <c r="B6115" t="s">
        <v>8</v>
      </c>
      <c r="C6115" s="1">
        <v>45952.57916666667</v>
      </c>
      <c r="D6115" s="1">
        <v>45993.345833333333</v>
      </c>
      <c r="E6115" s="2">
        <f t="shared" si="95"/>
        <v>40.766666666662786</v>
      </c>
    </row>
    <row r="6116" spans="1:5" x14ac:dyDescent="0.25">
      <c r="A6116" t="s">
        <v>7</v>
      </c>
      <c r="B6116" t="s">
        <v>13</v>
      </c>
      <c r="C6116" s="1">
        <v>46216.816666666673</v>
      </c>
      <c r="D6116" s="1">
        <v>46251.747928240737</v>
      </c>
      <c r="E6116" s="2">
        <f t="shared" si="95"/>
        <v>34.931261574063683</v>
      </c>
    </row>
    <row r="6117" spans="1:5" x14ac:dyDescent="0.25">
      <c r="A6117" t="s">
        <v>9</v>
      </c>
      <c r="B6117" t="s">
        <v>11</v>
      </c>
      <c r="C6117" s="1">
        <v>46079.708333333343</v>
      </c>
      <c r="D6117" s="1">
        <v>46133.220833333333</v>
      </c>
      <c r="E6117" s="2">
        <f t="shared" si="95"/>
        <v>53.512499999989814</v>
      </c>
    </row>
    <row r="6118" spans="1:5" x14ac:dyDescent="0.25">
      <c r="A6118" t="s">
        <v>5</v>
      </c>
      <c r="B6118" t="s">
        <v>8</v>
      </c>
      <c r="C6118" s="1">
        <v>45674.279166666667</v>
      </c>
      <c r="D6118" s="1">
        <v>45702.654166666667</v>
      </c>
      <c r="E6118" s="2">
        <f t="shared" si="95"/>
        <v>28.375</v>
      </c>
    </row>
    <row r="6119" spans="1:5" x14ac:dyDescent="0.25">
      <c r="A6119" t="s">
        <v>11</v>
      </c>
      <c r="B6119" t="s">
        <v>21</v>
      </c>
      <c r="C6119" s="1">
        <v>46262.874305555553</v>
      </c>
      <c r="D6119" s="1">
        <v>46274.116157407407</v>
      </c>
      <c r="E6119" s="2">
        <f t="shared" si="95"/>
        <v>11.241851851853426</v>
      </c>
    </row>
    <row r="6120" spans="1:5" x14ac:dyDescent="0.25">
      <c r="A6120" t="s">
        <v>7</v>
      </c>
      <c r="B6120" t="s">
        <v>8</v>
      </c>
      <c r="C6120" s="1">
        <v>45792.854166666657</v>
      </c>
      <c r="D6120" s="1">
        <v>45839.3125</v>
      </c>
      <c r="E6120" s="2">
        <f t="shared" si="95"/>
        <v>46.458333333343035</v>
      </c>
    </row>
    <row r="6121" spans="1:5" x14ac:dyDescent="0.25">
      <c r="A6121" t="s">
        <v>12</v>
      </c>
      <c r="B6121" t="s">
        <v>13</v>
      </c>
      <c r="C6121" s="1">
        <v>45879.837500000001</v>
      </c>
      <c r="D6121" s="1">
        <v>45932.57916666667</v>
      </c>
      <c r="E6121" s="2">
        <f t="shared" si="95"/>
        <v>52.741666666668607</v>
      </c>
    </row>
    <row r="6122" spans="1:5" x14ac:dyDescent="0.25">
      <c r="A6122" t="s">
        <v>11</v>
      </c>
      <c r="B6122" t="s">
        <v>21</v>
      </c>
      <c r="C6122" s="1">
        <v>46255.291203703702</v>
      </c>
      <c r="D6122" s="1">
        <v>46266.947222222218</v>
      </c>
      <c r="E6122" s="2">
        <f t="shared" si="95"/>
        <v>11.656018518515339</v>
      </c>
    </row>
    <row r="6123" spans="1:5" x14ac:dyDescent="0.25">
      <c r="A6123" t="s">
        <v>14</v>
      </c>
      <c r="B6123" t="s">
        <v>22</v>
      </c>
      <c r="C6123" s="1">
        <v>45813.991666666669</v>
      </c>
      <c r="D6123" s="1">
        <v>45872.091666666667</v>
      </c>
      <c r="E6123" s="2">
        <f t="shared" si="95"/>
        <v>58.099999999998545</v>
      </c>
    </row>
    <row r="6124" spans="1:5" x14ac:dyDescent="0.25">
      <c r="A6124" t="s">
        <v>17</v>
      </c>
      <c r="B6124" t="s">
        <v>18</v>
      </c>
      <c r="C6124" s="1">
        <v>45695.722222222219</v>
      </c>
      <c r="D6124" s="1">
        <v>45744.01458333333</v>
      </c>
      <c r="E6124" s="2">
        <f t="shared" si="95"/>
        <v>48.292361111110949</v>
      </c>
    </row>
    <row r="6125" spans="1:5" x14ac:dyDescent="0.25">
      <c r="A6125" t="s">
        <v>13</v>
      </c>
      <c r="B6125" t="s">
        <v>8</v>
      </c>
      <c r="C6125" s="1">
        <v>45929.5</v>
      </c>
      <c r="D6125" s="1">
        <v>45957.322222222218</v>
      </c>
      <c r="E6125" s="2">
        <f t="shared" si="95"/>
        <v>27.822222222217533</v>
      </c>
    </row>
    <row r="6126" spans="1:5" x14ac:dyDescent="0.25">
      <c r="A6126" t="s">
        <v>7</v>
      </c>
      <c r="B6126" t="s">
        <v>8</v>
      </c>
      <c r="C6126" s="1">
        <v>45843.85</v>
      </c>
      <c r="D6126" s="1">
        <v>45910.25</v>
      </c>
      <c r="E6126" s="2">
        <f t="shared" si="95"/>
        <v>66.400000000001455</v>
      </c>
    </row>
    <row r="6127" spans="1:5" x14ac:dyDescent="0.25">
      <c r="A6127" t="s">
        <v>7</v>
      </c>
      <c r="B6127" t="s">
        <v>8</v>
      </c>
      <c r="C6127" s="1">
        <v>45822.8</v>
      </c>
      <c r="D6127" s="1">
        <v>45875.612500000003</v>
      </c>
      <c r="E6127" s="2">
        <f t="shared" si="95"/>
        <v>52.8125</v>
      </c>
    </row>
    <row r="6128" spans="1:5" x14ac:dyDescent="0.25">
      <c r="A6128" t="s">
        <v>15</v>
      </c>
      <c r="B6128" t="s">
        <v>18</v>
      </c>
      <c r="C6128" s="1">
        <v>46219.958333333343</v>
      </c>
      <c r="D6128" s="1">
        <v>46252.850694444453</v>
      </c>
      <c r="E6128" s="2">
        <f t="shared" si="95"/>
        <v>32.892361111109494</v>
      </c>
    </row>
    <row r="6129" spans="1:5" x14ac:dyDescent="0.25">
      <c r="A6129" t="s">
        <v>10</v>
      </c>
      <c r="B6129" t="s">
        <v>8</v>
      </c>
      <c r="C6129" s="1">
        <v>46120.625</v>
      </c>
      <c r="D6129" s="1">
        <v>46139.593055555553</v>
      </c>
      <c r="E6129" s="2">
        <f t="shared" si="95"/>
        <v>18.968055555553292</v>
      </c>
    </row>
    <row r="6130" spans="1:5" x14ac:dyDescent="0.25">
      <c r="A6130" t="s">
        <v>22</v>
      </c>
      <c r="B6130" t="s">
        <v>19</v>
      </c>
      <c r="C6130" s="1">
        <v>45908.334918981483</v>
      </c>
      <c r="D6130" s="1">
        <v>45961.661469907413</v>
      </c>
      <c r="E6130" s="2">
        <f t="shared" si="95"/>
        <v>53.326550925929041</v>
      </c>
    </row>
    <row r="6131" spans="1:5" x14ac:dyDescent="0.25">
      <c r="A6131" t="s">
        <v>23</v>
      </c>
      <c r="B6131" t="s">
        <v>30</v>
      </c>
      <c r="C6131" s="1">
        <v>45897.603472222218</v>
      </c>
      <c r="D6131" s="1">
        <v>45940.215277777781</v>
      </c>
      <c r="E6131" s="2">
        <f t="shared" si="95"/>
        <v>42.611805555563478</v>
      </c>
    </row>
    <row r="6132" spans="1:5" x14ac:dyDescent="0.25">
      <c r="A6132" t="s">
        <v>11</v>
      </c>
      <c r="B6132" t="s">
        <v>21</v>
      </c>
      <c r="C6132" s="1">
        <v>45675.581250000003</v>
      </c>
      <c r="D6132" s="1">
        <v>45687.23333333333</v>
      </c>
      <c r="E6132" s="2">
        <f t="shared" si="95"/>
        <v>11.652083333327028</v>
      </c>
    </row>
    <row r="6133" spans="1:5" x14ac:dyDescent="0.25">
      <c r="A6133" t="s">
        <v>11</v>
      </c>
      <c r="B6133" t="s">
        <v>37</v>
      </c>
      <c r="C6133" s="1">
        <v>46105.210416666669</v>
      </c>
      <c r="D6133" s="1">
        <v>46120.533935185187</v>
      </c>
      <c r="E6133" s="2">
        <f t="shared" si="95"/>
        <v>15.32351851851854</v>
      </c>
    </row>
    <row r="6134" spans="1:5" x14ac:dyDescent="0.25">
      <c r="A6134" t="s">
        <v>5</v>
      </c>
      <c r="B6134" t="s">
        <v>8</v>
      </c>
      <c r="C6134" s="1">
        <v>46225.402777777781</v>
      </c>
      <c r="D6134" s="1">
        <v>46250.73541666667</v>
      </c>
      <c r="E6134" s="2">
        <f t="shared" si="95"/>
        <v>25.332638888889051</v>
      </c>
    </row>
    <row r="6135" spans="1:5" x14ac:dyDescent="0.25">
      <c r="A6135" t="s">
        <v>5</v>
      </c>
      <c r="B6135" t="s">
        <v>8</v>
      </c>
      <c r="C6135" s="1">
        <v>46244.739722222221</v>
      </c>
      <c r="D6135" s="1">
        <v>46272.206944444442</v>
      </c>
      <c r="E6135" s="2">
        <f t="shared" si="95"/>
        <v>27.467222222221608</v>
      </c>
    </row>
    <row r="6136" spans="1:5" x14ac:dyDescent="0.25">
      <c r="A6136" t="s">
        <v>5</v>
      </c>
      <c r="B6136" t="s">
        <v>8</v>
      </c>
      <c r="C6136" s="1">
        <v>45715.841666666667</v>
      </c>
      <c r="D6136" s="1">
        <v>45741.816666666673</v>
      </c>
      <c r="E6136" s="2">
        <f t="shared" si="95"/>
        <v>25.975000000005821</v>
      </c>
    </row>
    <row r="6137" spans="1:5" x14ac:dyDescent="0.25">
      <c r="A6137" t="s">
        <v>7</v>
      </c>
      <c r="B6137" t="s">
        <v>13</v>
      </c>
      <c r="C6137" s="1">
        <v>46129.158333333333</v>
      </c>
      <c r="D6137" s="1">
        <v>46176.126388888893</v>
      </c>
      <c r="E6137" s="2">
        <f t="shared" si="95"/>
        <v>46.968055555560568</v>
      </c>
    </row>
    <row r="6138" spans="1:5" x14ac:dyDescent="0.25">
      <c r="A6138" t="s">
        <v>16</v>
      </c>
      <c r="B6138" t="s">
        <v>8</v>
      </c>
      <c r="C6138" s="1">
        <v>45744.76666666667</v>
      </c>
      <c r="D6138" s="1">
        <v>45791.914583333331</v>
      </c>
      <c r="E6138" s="2">
        <f t="shared" si="95"/>
        <v>47.147916666661331</v>
      </c>
    </row>
    <row r="6139" spans="1:5" x14ac:dyDescent="0.25">
      <c r="A6139" t="s">
        <v>14</v>
      </c>
      <c r="B6139" t="s">
        <v>22</v>
      </c>
      <c r="C6139" s="1">
        <v>46178.17083333333</v>
      </c>
      <c r="D6139" s="1">
        <v>46237.561805555553</v>
      </c>
      <c r="E6139" s="2">
        <f t="shared" si="95"/>
        <v>59.390972222223354</v>
      </c>
    </row>
    <row r="6140" spans="1:5" x14ac:dyDescent="0.25">
      <c r="A6140" t="s">
        <v>15</v>
      </c>
      <c r="B6140" t="s">
        <v>19</v>
      </c>
      <c r="C6140" s="1">
        <v>46172.615972222222</v>
      </c>
      <c r="D6140" s="1">
        <v>46211.682974537027</v>
      </c>
      <c r="E6140" s="2">
        <f t="shared" si="95"/>
        <v>39.067002314804995</v>
      </c>
    </row>
    <row r="6141" spans="1:5" x14ac:dyDescent="0.25">
      <c r="A6141" t="s">
        <v>12</v>
      </c>
      <c r="B6141" t="s">
        <v>8</v>
      </c>
      <c r="C6141" s="1">
        <v>46036.183333333327</v>
      </c>
      <c r="D6141" s="1">
        <v>46082.083333333343</v>
      </c>
      <c r="E6141" s="2">
        <f t="shared" si="95"/>
        <v>45.900000000016007</v>
      </c>
    </row>
    <row r="6142" spans="1:5" x14ac:dyDescent="0.25">
      <c r="A6142" t="s">
        <v>26</v>
      </c>
      <c r="B6142" t="s">
        <v>21</v>
      </c>
      <c r="C6142" s="1">
        <v>46194.208333333343</v>
      </c>
      <c r="D6142" s="1">
        <v>46241.2</v>
      </c>
      <c r="E6142" s="2">
        <f t="shared" si="95"/>
        <v>46.991666666654055</v>
      </c>
    </row>
    <row r="6143" spans="1:5" x14ac:dyDescent="0.25">
      <c r="A6143" t="s">
        <v>12</v>
      </c>
      <c r="B6143" t="s">
        <v>13</v>
      </c>
      <c r="C6143" s="1">
        <v>46159.520833333343</v>
      </c>
      <c r="D6143" s="1">
        <v>46208.722222222219</v>
      </c>
      <c r="E6143" s="2">
        <f t="shared" si="95"/>
        <v>49.201388888875954</v>
      </c>
    </row>
    <row r="6144" spans="1:5" x14ac:dyDescent="0.25">
      <c r="A6144" t="s">
        <v>22</v>
      </c>
      <c r="B6144" t="s">
        <v>14</v>
      </c>
      <c r="C6144" s="1">
        <v>45902.186631944453</v>
      </c>
      <c r="D6144" s="1">
        <v>45945.550694444442</v>
      </c>
      <c r="E6144" s="2">
        <f t="shared" si="95"/>
        <v>43.364062499989814</v>
      </c>
    </row>
    <row r="6145" spans="1:5" x14ac:dyDescent="0.25">
      <c r="A6145" t="s">
        <v>11</v>
      </c>
      <c r="B6145" t="s">
        <v>37</v>
      </c>
      <c r="C6145" s="1">
        <v>45708.521840277783</v>
      </c>
      <c r="D6145" s="1">
        <v>45728.283333333333</v>
      </c>
      <c r="E6145" s="2">
        <f t="shared" si="95"/>
        <v>19.761493055550091</v>
      </c>
    </row>
    <row r="6146" spans="1:5" x14ac:dyDescent="0.25">
      <c r="A6146" t="s">
        <v>10</v>
      </c>
      <c r="B6146" t="s">
        <v>11</v>
      </c>
      <c r="C6146" s="1">
        <v>45783.945833333331</v>
      </c>
      <c r="D6146" s="1">
        <v>45812.137499999997</v>
      </c>
      <c r="E6146" s="2">
        <f t="shared" ref="E6146:E6209" si="96">D6146-C6146</f>
        <v>28.191666666665697</v>
      </c>
    </row>
    <row r="6147" spans="1:5" x14ac:dyDescent="0.25">
      <c r="A6147" t="s">
        <v>13</v>
      </c>
      <c r="B6147" t="s">
        <v>8</v>
      </c>
      <c r="C6147" s="1">
        <v>46250.127083333333</v>
      </c>
      <c r="D6147" s="1">
        <v>46271.254861111112</v>
      </c>
      <c r="E6147" s="2">
        <f t="shared" si="96"/>
        <v>21.127777777779556</v>
      </c>
    </row>
    <row r="6148" spans="1:5" x14ac:dyDescent="0.25">
      <c r="A6148" t="s">
        <v>5</v>
      </c>
      <c r="B6148" t="s">
        <v>8</v>
      </c>
      <c r="C6148" s="1">
        <v>46206.119351851848</v>
      </c>
      <c r="D6148" s="1">
        <v>46230.576724537037</v>
      </c>
      <c r="E6148" s="2">
        <f t="shared" si="96"/>
        <v>24.457372685188602</v>
      </c>
    </row>
    <row r="6149" spans="1:5" x14ac:dyDescent="0.25">
      <c r="A6149" t="s">
        <v>34</v>
      </c>
      <c r="B6149" t="s">
        <v>13</v>
      </c>
      <c r="C6149" s="1">
        <v>46167.455555555563</v>
      </c>
      <c r="D6149" s="1">
        <v>46191.282638888893</v>
      </c>
      <c r="E6149" s="2">
        <f t="shared" si="96"/>
        <v>23.827083333329938</v>
      </c>
    </row>
    <row r="6150" spans="1:5" x14ac:dyDescent="0.25">
      <c r="A6150" t="s">
        <v>15</v>
      </c>
      <c r="B6150" t="s">
        <v>38</v>
      </c>
      <c r="C6150" s="1">
        <v>46218.020833333343</v>
      </c>
      <c r="D6150" s="1">
        <v>46263.936111111107</v>
      </c>
      <c r="E6150" s="2">
        <f t="shared" si="96"/>
        <v>45.915277777763549</v>
      </c>
    </row>
    <row r="6151" spans="1:5" x14ac:dyDescent="0.25">
      <c r="A6151" t="s">
        <v>26</v>
      </c>
      <c r="B6151" t="s">
        <v>21</v>
      </c>
      <c r="C6151" s="1">
        <v>46103.875</v>
      </c>
      <c r="D6151" s="1">
        <v>46142.418749999997</v>
      </c>
      <c r="E6151" s="2">
        <f t="shared" si="96"/>
        <v>38.54374999999709</v>
      </c>
    </row>
    <row r="6152" spans="1:5" x14ac:dyDescent="0.25">
      <c r="A6152" t="s">
        <v>6</v>
      </c>
      <c r="B6152" t="s">
        <v>8</v>
      </c>
      <c r="C6152" s="1">
        <v>45993.960416666669</v>
      </c>
      <c r="D6152" s="1">
        <v>46034.272916666669</v>
      </c>
      <c r="E6152" s="2">
        <f t="shared" si="96"/>
        <v>40.3125</v>
      </c>
    </row>
    <row r="6153" spans="1:5" x14ac:dyDescent="0.25">
      <c r="A6153" t="s">
        <v>8</v>
      </c>
      <c r="B6153" t="s">
        <v>18</v>
      </c>
      <c r="C6153" s="1">
        <v>46045.054166666669</v>
      </c>
      <c r="D6153" s="1">
        <v>46081.253472222219</v>
      </c>
      <c r="E6153" s="2">
        <f t="shared" si="96"/>
        <v>36.199305555550382</v>
      </c>
    </row>
    <row r="6154" spans="1:5" x14ac:dyDescent="0.25">
      <c r="A6154" t="s">
        <v>28</v>
      </c>
      <c r="B6154" t="s">
        <v>18</v>
      </c>
      <c r="C6154" s="1">
        <v>45862.888888888891</v>
      </c>
      <c r="D6154" s="1">
        <v>45948.833333333343</v>
      </c>
      <c r="E6154" s="2">
        <f t="shared" si="96"/>
        <v>85.944444444452529</v>
      </c>
    </row>
    <row r="6155" spans="1:5" x14ac:dyDescent="0.25">
      <c r="A6155" t="s">
        <v>7</v>
      </c>
      <c r="B6155" t="s">
        <v>13</v>
      </c>
      <c r="C6155" s="1">
        <v>45976.5</v>
      </c>
      <c r="D6155" s="1">
        <v>46025.229166666657</v>
      </c>
      <c r="E6155" s="2">
        <f t="shared" si="96"/>
        <v>48.729166666656965</v>
      </c>
    </row>
    <row r="6156" spans="1:5" x14ac:dyDescent="0.25">
      <c r="A6156" t="s">
        <v>40</v>
      </c>
      <c r="B6156" t="s">
        <v>37</v>
      </c>
      <c r="C6156" s="1">
        <v>45900.261701388888</v>
      </c>
      <c r="D6156" s="1">
        <v>45912.51666666667</v>
      </c>
      <c r="E6156" s="2">
        <f t="shared" si="96"/>
        <v>12.254965277781594</v>
      </c>
    </row>
    <row r="6157" spans="1:5" x14ac:dyDescent="0.25">
      <c r="A6157" t="s">
        <v>22</v>
      </c>
      <c r="B6157" t="s">
        <v>14</v>
      </c>
      <c r="C6157" s="1">
        <v>46135.149305555547</v>
      </c>
      <c r="D6157" s="1">
        <v>46186.052777777782</v>
      </c>
      <c r="E6157" s="2">
        <f t="shared" si="96"/>
        <v>50.903472222234996</v>
      </c>
    </row>
    <row r="6158" spans="1:5" x14ac:dyDescent="0.25">
      <c r="A6158" t="s">
        <v>12</v>
      </c>
      <c r="B6158" t="s">
        <v>13</v>
      </c>
      <c r="C6158" s="1">
        <v>45902.512499999997</v>
      </c>
      <c r="D6158" s="1">
        <v>45954.50277777778</v>
      </c>
      <c r="E6158" s="2">
        <f t="shared" si="96"/>
        <v>51.990277777782467</v>
      </c>
    </row>
    <row r="6159" spans="1:5" x14ac:dyDescent="0.25">
      <c r="A6159" t="s">
        <v>10</v>
      </c>
      <c r="B6159" t="s">
        <v>11</v>
      </c>
      <c r="C6159" s="1">
        <v>45815.037893518522</v>
      </c>
      <c r="D6159" s="1">
        <v>45840.362500000003</v>
      </c>
      <c r="E6159" s="2">
        <f t="shared" si="96"/>
        <v>25.324606481481169</v>
      </c>
    </row>
    <row r="6160" spans="1:5" x14ac:dyDescent="0.25">
      <c r="A6160" t="s">
        <v>28</v>
      </c>
      <c r="B6160" t="s">
        <v>18</v>
      </c>
      <c r="C6160" s="1">
        <v>45883.958333333343</v>
      </c>
      <c r="D6160" s="1">
        <v>45955.333333333343</v>
      </c>
      <c r="E6160" s="2">
        <f t="shared" si="96"/>
        <v>71.375</v>
      </c>
    </row>
    <row r="6161" spans="1:5" x14ac:dyDescent="0.25">
      <c r="A6161" t="s">
        <v>11</v>
      </c>
      <c r="B6161" t="s">
        <v>21</v>
      </c>
      <c r="C6161" s="1">
        <v>46158.055509259262</v>
      </c>
      <c r="D6161" s="1">
        <v>46168.855555555558</v>
      </c>
      <c r="E6161" s="2">
        <f t="shared" si="96"/>
        <v>10.800046296295477</v>
      </c>
    </row>
    <row r="6162" spans="1:5" x14ac:dyDescent="0.25">
      <c r="A6162" t="s">
        <v>14</v>
      </c>
      <c r="B6162" t="s">
        <v>22</v>
      </c>
      <c r="C6162" s="1">
        <v>45785.625</v>
      </c>
      <c r="D6162" s="1">
        <v>45838.091666666667</v>
      </c>
      <c r="E6162" s="2">
        <f t="shared" si="96"/>
        <v>52.466666666667152</v>
      </c>
    </row>
    <row r="6163" spans="1:5" x14ac:dyDescent="0.25">
      <c r="A6163" t="s">
        <v>15</v>
      </c>
      <c r="B6163" t="s">
        <v>13</v>
      </c>
      <c r="C6163" s="1">
        <v>46241.367766203701</v>
      </c>
      <c r="D6163" s="1">
        <v>46274.515081018522</v>
      </c>
      <c r="E6163" s="2">
        <f t="shared" si="96"/>
        <v>33.147314814821584</v>
      </c>
    </row>
    <row r="6164" spans="1:5" x14ac:dyDescent="0.25">
      <c r="A6164" t="s">
        <v>5</v>
      </c>
      <c r="B6164" t="s">
        <v>8</v>
      </c>
      <c r="C6164" s="1">
        <v>46035.520833333343</v>
      </c>
      <c r="D6164" s="1">
        <v>46073.45416666667</v>
      </c>
      <c r="E6164" s="2">
        <f t="shared" si="96"/>
        <v>37.933333333327028</v>
      </c>
    </row>
    <row r="6165" spans="1:5" x14ac:dyDescent="0.25">
      <c r="A6165" t="s">
        <v>7</v>
      </c>
      <c r="B6165" t="s">
        <v>25</v>
      </c>
      <c r="C6165" s="1">
        <v>46189.286111111112</v>
      </c>
      <c r="D6165" s="1">
        <v>46253.418749999997</v>
      </c>
      <c r="E6165" s="2">
        <f t="shared" si="96"/>
        <v>64.132638888884685</v>
      </c>
    </row>
    <row r="6166" spans="1:5" x14ac:dyDescent="0.25">
      <c r="A6166" t="s">
        <v>7</v>
      </c>
      <c r="B6166" t="s">
        <v>8</v>
      </c>
      <c r="C6166" s="1">
        <v>45843.85</v>
      </c>
      <c r="D6166" s="1">
        <v>45910.25</v>
      </c>
      <c r="E6166" s="2">
        <f t="shared" si="96"/>
        <v>66.400000000001455</v>
      </c>
    </row>
    <row r="6167" spans="1:5" x14ac:dyDescent="0.25">
      <c r="A6167" t="s">
        <v>5</v>
      </c>
      <c r="B6167" t="s">
        <v>8</v>
      </c>
      <c r="C6167" s="1">
        <v>45967.658333333333</v>
      </c>
      <c r="D6167" s="1">
        <v>46003.89166666667</v>
      </c>
      <c r="E6167" s="2">
        <f t="shared" si="96"/>
        <v>36.233333333337214</v>
      </c>
    </row>
    <row r="6168" spans="1:5" x14ac:dyDescent="0.25">
      <c r="A6168" t="s">
        <v>5</v>
      </c>
      <c r="B6168" t="s">
        <v>8</v>
      </c>
      <c r="C6168" s="1">
        <v>46011.283333333333</v>
      </c>
      <c r="D6168" s="1">
        <v>46047.712500000001</v>
      </c>
      <c r="E6168" s="2">
        <f t="shared" si="96"/>
        <v>36.429166666668607</v>
      </c>
    </row>
    <row r="6169" spans="1:5" x14ac:dyDescent="0.25">
      <c r="A6169" t="s">
        <v>16</v>
      </c>
      <c r="B6169" t="s">
        <v>13</v>
      </c>
      <c r="C6169" s="1">
        <v>45744.76666666667</v>
      </c>
      <c r="D6169" s="1">
        <v>45785.365972222222</v>
      </c>
      <c r="E6169" s="2">
        <f t="shared" si="96"/>
        <v>40.599305555551837</v>
      </c>
    </row>
    <row r="6170" spans="1:5" x14ac:dyDescent="0.25">
      <c r="A6170" t="s">
        <v>15</v>
      </c>
      <c r="B6170" t="s">
        <v>13</v>
      </c>
      <c r="C6170" s="1">
        <v>45805.089131944442</v>
      </c>
      <c r="D6170" s="1">
        <v>45843.511805555558</v>
      </c>
      <c r="E6170" s="2">
        <f t="shared" si="96"/>
        <v>38.422673611115897</v>
      </c>
    </row>
    <row r="6171" spans="1:5" x14ac:dyDescent="0.25">
      <c r="A6171" t="s">
        <v>7</v>
      </c>
      <c r="B6171" t="s">
        <v>8</v>
      </c>
      <c r="C6171" s="1">
        <v>45911.604166666657</v>
      </c>
      <c r="D6171" s="1">
        <v>45948.104166666657</v>
      </c>
      <c r="E6171" s="2">
        <f t="shared" si="96"/>
        <v>36.5</v>
      </c>
    </row>
    <row r="6172" spans="1:5" x14ac:dyDescent="0.25">
      <c r="A6172" t="s">
        <v>22</v>
      </c>
      <c r="B6172" t="s">
        <v>14</v>
      </c>
      <c r="C6172" s="1">
        <v>45902.175000000003</v>
      </c>
      <c r="D6172" s="1">
        <v>45945.550694444442</v>
      </c>
      <c r="E6172" s="2">
        <f t="shared" si="96"/>
        <v>43.375694444439432</v>
      </c>
    </row>
    <row r="6173" spans="1:5" x14ac:dyDescent="0.25">
      <c r="A6173" t="s">
        <v>15</v>
      </c>
      <c r="B6173" t="s">
        <v>13</v>
      </c>
      <c r="C6173" s="1">
        <v>46081.041666666657</v>
      </c>
      <c r="D6173" s="1">
        <v>46123.083333333343</v>
      </c>
      <c r="E6173" s="2">
        <f t="shared" si="96"/>
        <v>42.041666666686069</v>
      </c>
    </row>
    <row r="6174" spans="1:5" x14ac:dyDescent="0.25">
      <c r="A6174" t="s">
        <v>8</v>
      </c>
      <c r="B6174" t="s">
        <v>18</v>
      </c>
      <c r="C6174" s="1">
        <v>46212.760416666657</v>
      </c>
      <c r="D6174" s="1">
        <v>46269.7</v>
      </c>
      <c r="E6174" s="2">
        <f t="shared" si="96"/>
        <v>56.939583333340124</v>
      </c>
    </row>
    <row r="6175" spans="1:5" x14ac:dyDescent="0.25">
      <c r="A6175" t="s">
        <v>7</v>
      </c>
      <c r="B6175" t="s">
        <v>13</v>
      </c>
      <c r="C6175" s="1">
        <v>45871.416666666657</v>
      </c>
      <c r="D6175" s="1">
        <v>45945.593055555553</v>
      </c>
      <c r="E6175" s="2">
        <f t="shared" si="96"/>
        <v>74.176388888896327</v>
      </c>
    </row>
    <row r="6176" spans="1:5" x14ac:dyDescent="0.25">
      <c r="A6176" t="s">
        <v>22</v>
      </c>
      <c r="B6176" t="s">
        <v>14</v>
      </c>
      <c r="C6176" s="1">
        <v>45859.182685185187</v>
      </c>
      <c r="D6176" s="1">
        <v>45911.3</v>
      </c>
      <c r="E6176" s="2">
        <f t="shared" si="96"/>
        <v>52.117314814815472</v>
      </c>
    </row>
    <row r="6177" spans="1:5" x14ac:dyDescent="0.25">
      <c r="A6177" t="s">
        <v>9</v>
      </c>
      <c r="B6177" t="s">
        <v>11</v>
      </c>
      <c r="C6177" s="1">
        <v>46066.324999999997</v>
      </c>
      <c r="D6177" s="1">
        <v>46126.425000000003</v>
      </c>
      <c r="E6177" s="2">
        <f t="shared" si="96"/>
        <v>60.100000000005821</v>
      </c>
    </row>
    <row r="6178" spans="1:5" x14ac:dyDescent="0.25">
      <c r="A6178" t="s">
        <v>7</v>
      </c>
      <c r="B6178" t="s">
        <v>8</v>
      </c>
      <c r="C6178" s="1">
        <v>45822.8</v>
      </c>
      <c r="D6178" s="1">
        <v>45875.612500000003</v>
      </c>
      <c r="E6178" s="2">
        <f t="shared" si="96"/>
        <v>52.8125</v>
      </c>
    </row>
    <row r="6179" spans="1:5" x14ac:dyDescent="0.25">
      <c r="A6179" t="s">
        <v>15</v>
      </c>
      <c r="B6179" t="s">
        <v>13</v>
      </c>
      <c r="C6179" s="1">
        <v>46133.960543981477</v>
      </c>
      <c r="D6179" s="1">
        <v>46173.727777777778</v>
      </c>
      <c r="E6179" s="2">
        <f t="shared" si="96"/>
        <v>39.767233796301298</v>
      </c>
    </row>
    <row r="6180" spans="1:5" x14ac:dyDescent="0.25">
      <c r="A6180" t="s">
        <v>15</v>
      </c>
      <c r="B6180" t="s">
        <v>6</v>
      </c>
      <c r="C6180" s="1">
        <v>46132.754861111112</v>
      </c>
      <c r="D6180" s="1">
        <v>46204.333333333343</v>
      </c>
      <c r="E6180" s="2">
        <f t="shared" si="96"/>
        <v>71.57847222223063</v>
      </c>
    </row>
    <row r="6181" spans="1:5" x14ac:dyDescent="0.25">
      <c r="A6181" t="s">
        <v>15</v>
      </c>
      <c r="B6181" t="s">
        <v>18</v>
      </c>
      <c r="C6181" s="1">
        <v>46081.041666666657</v>
      </c>
      <c r="D6181" s="1">
        <v>46131.375</v>
      </c>
      <c r="E6181" s="2">
        <f t="shared" si="96"/>
        <v>50.333333333343035</v>
      </c>
    </row>
    <row r="6182" spans="1:5" x14ac:dyDescent="0.25">
      <c r="A6182" t="s">
        <v>8</v>
      </c>
      <c r="B6182" t="s">
        <v>18</v>
      </c>
      <c r="C6182" s="1">
        <v>46220.605555555558</v>
      </c>
      <c r="D6182" s="1">
        <v>46269.7</v>
      </c>
      <c r="E6182" s="2">
        <f t="shared" si="96"/>
        <v>49.094444444439432</v>
      </c>
    </row>
    <row r="6183" spans="1:5" x14ac:dyDescent="0.25">
      <c r="A6183" t="s">
        <v>15</v>
      </c>
      <c r="B6183" t="s">
        <v>6</v>
      </c>
      <c r="C6183" s="1">
        <v>45976.375</v>
      </c>
      <c r="D6183" s="1">
        <v>46035.929166666669</v>
      </c>
      <c r="E6183" s="2">
        <f t="shared" si="96"/>
        <v>59.554166666668607</v>
      </c>
    </row>
    <row r="6184" spans="1:5" x14ac:dyDescent="0.25">
      <c r="A6184" t="s">
        <v>9</v>
      </c>
      <c r="B6184" t="s">
        <v>11</v>
      </c>
      <c r="C6184" s="1">
        <v>45818.645833333343</v>
      </c>
      <c r="D6184" s="1">
        <v>45887.554166666669</v>
      </c>
      <c r="E6184" s="2">
        <f t="shared" si="96"/>
        <v>68.908333333325572</v>
      </c>
    </row>
    <row r="6185" spans="1:5" x14ac:dyDescent="0.25">
      <c r="A6185" t="s">
        <v>18</v>
      </c>
      <c r="B6185" t="s">
        <v>27</v>
      </c>
      <c r="C6185" s="1">
        <v>45911.15347222222</v>
      </c>
      <c r="D6185" s="1">
        <v>45971.75</v>
      </c>
      <c r="E6185" s="2">
        <f t="shared" si="96"/>
        <v>60.596527777779556</v>
      </c>
    </row>
    <row r="6186" spans="1:5" x14ac:dyDescent="0.25">
      <c r="A6186" t="s">
        <v>27</v>
      </c>
      <c r="B6186" t="s">
        <v>20</v>
      </c>
      <c r="C6186" s="1">
        <v>45684.708333333343</v>
      </c>
      <c r="D6186" s="1">
        <v>45752.4375</v>
      </c>
      <c r="E6186" s="2">
        <f t="shared" si="96"/>
        <v>67.729166666656965</v>
      </c>
    </row>
    <row r="6187" spans="1:5" x14ac:dyDescent="0.25">
      <c r="A6187" t="s">
        <v>34</v>
      </c>
      <c r="B6187" t="s">
        <v>13</v>
      </c>
      <c r="C6187" s="1">
        <v>46181.865277777782</v>
      </c>
      <c r="D6187" s="1">
        <v>46206.527083333327</v>
      </c>
      <c r="E6187" s="2">
        <f t="shared" si="96"/>
        <v>24.661805555544561</v>
      </c>
    </row>
    <row r="6188" spans="1:5" x14ac:dyDescent="0.25">
      <c r="A6188" t="s">
        <v>7</v>
      </c>
      <c r="B6188" t="s">
        <v>8</v>
      </c>
      <c r="C6188" s="1">
        <v>46002.212500000001</v>
      </c>
      <c r="D6188" s="1">
        <v>46047.712500000001</v>
      </c>
      <c r="E6188" s="2">
        <f t="shared" si="96"/>
        <v>45.5</v>
      </c>
    </row>
    <row r="6189" spans="1:5" x14ac:dyDescent="0.25">
      <c r="A6189" t="s">
        <v>6</v>
      </c>
      <c r="B6189" t="s">
        <v>8</v>
      </c>
      <c r="C6189" s="1">
        <v>45909.195833333331</v>
      </c>
      <c r="D6189" s="1">
        <v>45966.770833333343</v>
      </c>
      <c r="E6189" s="2">
        <f t="shared" si="96"/>
        <v>57.575000000011642</v>
      </c>
    </row>
    <row r="6190" spans="1:5" x14ac:dyDescent="0.25">
      <c r="A6190" t="s">
        <v>15</v>
      </c>
      <c r="B6190" t="s">
        <v>18</v>
      </c>
      <c r="C6190" s="1">
        <v>46225.98541666667</v>
      </c>
      <c r="D6190" s="1">
        <v>46269.724999999999</v>
      </c>
      <c r="E6190" s="2">
        <f t="shared" si="96"/>
        <v>43.739583333328483</v>
      </c>
    </row>
    <row r="6191" spans="1:5" x14ac:dyDescent="0.25">
      <c r="A6191" t="s">
        <v>7</v>
      </c>
      <c r="B6191" t="s">
        <v>11</v>
      </c>
      <c r="C6191" s="1">
        <v>45850.695833333331</v>
      </c>
      <c r="D6191" s="1">
        <v>45923.237500000003</v>
      </c>
      <c r="E6191" s="2">
        <f t="shared" si="96"/>
        <v>72.541666666671517</v>
      </c>
    </row>
    <row r="6192" spans="1:5" x14ac:dyDescent="0.25">
      <c r="A6192" t="s">
        <v>5</v>
      </c>
      <c r="B6192" t="s">
        <v>8</v>
      </c>
      <c r="C6192" s="1">
        <v>46113.60833333333</v>
      </c>
      <c r="D6192" s="1">
        <v>46155.262499999997</v>
      </c>
      <c r="E6192" s="2">
        <f t="shared" si="96"/>
        <v>41.654166666667152</v>
      </c>
    </row>
    <row r="6193" spans="1:5" x14ac:dyDescent="0.25">
      <c r="A6193" t="s">
        <v>5</v>
      </c>
      <c r="B6193" t="s">
        <v>8</v>
      </c>
      <c r="C6193" s="1">
        <v>46113.60833333333</v>
      </c>
      <c r="D6193" s="1">
        <v>46155.262499999997</v>
      </c>
      <c r="E6193" s="2">
        <f t="shared" si="96"/>
        <v>41.654166666667152</v>
      </c>
    </row>
    <row r="6194" spans="1:5" x14ac:dyDescent="0.25">
      <c r="A6194" t="s">
        <v>7</v>
      </c>
      <c r="B6194" t="s">
        <v>11</v>
      </c>
      <c r="C6194" s="1">
        <v>45959.102083333331</v>
      </c>
      <c r="D6194" s="1">
        <v>46027.887499999997</v>
      </c>
      <c r="E6194" s="2">
        <f t="shared" si="96"/>
        <v>68.785416666665697</v>
      </c>
    </row>
    <row r="6195" spans="1:5" x14ac:dyDescent="0.25">
      <c r="A6195" t="s">
        <v>6</v>
      </c>
      <c r="B6195" t="s">
        <v>8</v>
      </c>
      <c r="C6195" s="1">
        <v>45825.845138888893</v>
      </c>
      <c r="D6195" s="1">
        <v>45876.867361111108</v>
      </c>
      <c r="E6195" s="2">
        <f t="shared" si="96"/>
        <v>51.022222222214623</v>
      </c>
    </row>
    <row r="6196" spans="1:5" x14ac:dyDescent="0.25">
      <c r="A6196" t="s">
        <v>5</v>
      </c>
      <c r="B6196" t="s">
        <v>8</v>
      </c>
      <c r="C6196" s="1">
        <v>46065.004166666673</v>
      </c>
      <c r="D6196" s="1">
        <v>46099.525000000001</v>
      </c>
      <c r="E6196" s="2">
        <f t="shared" si="96"/>
        <v>34.520833333328483</v>
      </c>
    </row>
    <row r="6197" spans="1:5" x14ac:dyDescent="0.25">
      <c r="A6197" t="s">
        <v>8</v>
      </c>
      <c r="B6197" t="s">
        <v>18</v>
      </c>
      <c r="C6197" s="1">
        <v>46177.366666666669</v>
      </c>
      <c r="D6197" s="1">
        <v>46224.604166666657</v>
      </c>
      <c r="E6197" s="2">
        <f t="shared" si="96"/>
        <v>47.237499999988358</v>
      </c>
    </row>
    <row r="6198" spans="1:5" x14ac:dyDescent="0.25">
      <c r="A6198" t="s">
        <v>15</v>
      </c>
      <c r="B6198" t="s">
        <v>6</v>
      </c>
      <c r="C6198" s="1">
        <v>46132.754861111112</v>
      </c>
      <c r="D6198" s="1">
        <v>46204.333333333343</v>
      </c>
      <c r="E6198" s="2">
        <f t="shared" si="96"/>
        <v>71.57847222223063</v>
      </c>
    </row>
    <row r="6199" spans="1:5" x14ac:dyDescent="0.25">
      <c r="A6199" t="s">
        <v>12</v>
      </c>
      <c r="B6199" t="s">
        <v>13</v>
      </c>
      <c r="C6199" s="1">
        <v>45826.123611111107</v>
      </c>
      <c r="D6199" s="1">
        <v>45871.833333333343</v>
      </c>
      <c r="E6199" s="2">
        <f t="shared" si="96"/>
        <v>45.709722222236451</v>
      </c>
    </row>
    <row r="6200" spans="1:5" x14ac:dyDescent="0.25">
      <c r="A6200" t="s">
        <v>18</v>
      </c>
      <c r="B6200" t="s">
        <v>27</v>
      </c>
      <c r="C6200" s="1">
        <v>45784.624756944453</v>
      </c>
      <c r="D6200" s="1">
        <v>45861.574999999997</v>
      </c>
      <c r="E6200" s="2">
        <f t="shared" si="96"/>
        <v>76.950243055543979</v>
      </c>
    </row>
    <row r="6201" spans="1:5" x14ac:dyDescent="0.25">
      <c r="A6201" t="s">
        <v>15</v>
      </c>
      <c r="B6201" t="s">
        <v>6</v>
      </c>
      <c r="C6201" s="1">
        <v>46081.041666666657</v>
      </c>
      <c r="D6201" s="1">
        <v>46145.429166666669</v>
      </c>
      <c r="E6201" s="2">
        <f t="shared" si="96"/>
        <v>64.387500000011642</v>
      </c>
    </row>
    <row r="6202" spans="1:5" x14ac:dyDescent="0.25">
      <c r="A6202" t="s">
        <v>7</v>
      </c>
      <c r="B6202" t="s">
        <v>11</v>
      </c>
      <c r="C6202" s="1">
        <v>45883.466666666667</v>
      </c>
      <c r="D6202" s="1">
        <v>45951.404166666667</v>
      </c>
      <c r="E6202" s="2">
        <f t="shared" si="96"/>
        <v>67.9375</v>
      </c>
    </row>
    <row r="6203" spans="1:5" x14ac:dyDescent="0.25">
      <c r="A6203" t="s">
        <v>9</v>
      </c>
      <c r="B6203" t="s">
        <v>8</v>
      </c>
      <c r="C6203" s="1">
        <v>45816.137499999997</v>
      </c>
      <c r="D6203" s="1">
        <v>45852.0625</v>
      </c>
      <c r="E6203" s="2">
        <f t="shared" si="96"/>
        <v>35.92500000000291</v>
      </c>
    </row>
    <row r="6204" spans="1:5" x14ac:dyDescent="0.25">
      <c r="A6204" t="s">
        <v>16</v>
      </c>
      <c r="B6204" t="s">
        <v>11</v>
      </c>
      <c r="C6204" s="1">
        <v>46177.07708333333</v>
      </c>
      <c r="D6204" s="1">
        <v>46246.513888888891</v>
      </c>
      <c r="E6204" s="2">
        <f t="shared" si="96"/>
        <v>69.436805555560568</v>
      </c>
    </row>
    <row r="6205" spans="1:5" x14ac:dyDescent="0.25">
      <c r="A6205" t="s">
        <v>22</v>
      </c>
      <c r="B6205" t="s">
        <v>19</v>
      </c>
      <c r="C6205" s="1">
        <v>45994.739583333343</v>
      </c>
      <c r="D6205" s="1">
        <v>46059.034722222219</v>
      </c>
      <c r="E6205" s="2">
        <f t="shared" si="96"/>
        <v>64.295138888875954</v>
      </c>
    </row>
    <row r="6206" spans="1:5" x14ac:dyDescent="0.25">
      <c r="A6206" t="s">
        <v>41</v>
      </c>
      <c r="B6206" t="s">
        <v>8</v>
      </c>
      <c r="C6206" s="1">
        <v>46163.695138888892</v>
      </c>
      <c r="D6206" s="1">
        <v>46203.938194444447</v>
      </c>
      <c r="E6206" s="2">
        <f t="shared" si="96"/>
        <v>40.243055555554747</v>
      </c>
    </row>
    <row r="6207" spans="1:5" x14ac:dyDescent="0.25">
      <c r="A6207" t="s">
        <v>23</v>
      </c>
      <c r="B6207" t="s">
        <v>8</v>
      </c>
      <c r="C6207" s="1">
        <v>46176.65625</v>
      </c>
      <c r="D6207" s="1">
        <v>46235.826388888891</v>
      </c>
      <c r="E6207" s="2">
        <f t="shared" si="96"/>
        <v>59.170138888890506</v>
      </c>
    </row>
    <row r="6208" spans="1:5" x14ac:dyDescent="0.25">
      <c r="A6208" t="s">
        <v>7</v>
      </c>
      <c r="B6208" t="s">
        <v>18</v>
      </c>
      <c r="C6208" s="1">
        <v>46111.32675925926</v>
      </c>
      <c r="D6208" s="1">
        <v>46162.990277777782</v>
      </c>
      <c r="E6208" s="2">
        <f t="shared" si="96"/>
        <v>51.663518518522324</v>
      </c>
    </row>
    <row r="6209" spans="1:5" x14ac:dyDescent="0.25">
      <c r="A6209" t="s">
        <v>12</v>
      </c>
      <c r="B6209" t="s">
        <v>8</v>
      </c>
      <c r="C6209" s="1">
        <v>46083.54583333333</v>
      </c>
      <c r="D6209" s="1">
        <v>46131.208333333343</v>
      </c>
      <c r="E6209" s="2">
        <f t="shared" si="96"/>
        <v>47.662500000013097</v>
      </c>
    </row>
    <row r="6210" spans="1:5" x14ac:dyDescent="0.25">
      <c r="A6210" t="s">
        <v>5</v>
      </c>
      <c r="B6210" t="s">
        <v>55</v>
      </c>
      <c r="C6210" s="1">
        <v>45787.325694444437</v>
      </c>
      <c r="D6210" s="1">
        <v>45859.952777777777</v>
      </c>
      <c r="E6210" s="2">
        <f t="shared" ref="E6210:E6273" si="97">D6210-C6210</f>
        <v>72.627083333340124</v>
      </c>
    </row>
    <row r="6211" spans="1:5" x14ac:dyDescent="0.25">
      <c r="A6211" t="s">
        <v>22</v>
      </c>
      <c r="B6211" t="s">
        <v>19</v>
      </c>
      <c r="C6211" s="1">
        <v>45719.043969907398</v>
      </c>
      <c r="D6211" s="1">
        <v>45794</v>
      </c>
      <c r="E6211" s="2">
        <f t="shared" si="97"/>
        <v>74.956030092602305</v>
      </c>
    </row>
    <row r="6212" spans="1:5" x14ac:dyDescent="0.25">
      <c r="A6212" t="s">
        <v>5</v>
      </c>
      <c r="B6212" t="s">
        <v>6</v>
      </c>
      <c r="C6212" s="1">
        <v>46088.612500000003</v>
      </c>
      <c r="D6212" s="1">
        <v>46156.729166666657</v>
      </c>
      <c r="E6212" s="2">
        <f t="shared" si="97"/>
        <v>68.116666666654055</v>
      </c>
    </row>
    <row r="6213" spans="1:5" x14ac:dyDescent="0.25">
      <c r="A6213" t="s">
        <v>27</v>
      </c>
      <c r="B6213" t="s">
        <v>18</v>
      </c>
      <c r="C6213" s="1">
        <v>46053.75</v>
      </c>
      <c r="D6213" s="1">
        <v>46103.675694444442</v>
      </c>
      <c r="E6213" s="2">
        <f t="shared" si="97"/>
        <v>49.925694444442343</v>
      </c>
    </row>
    <row r="6214" spans="1:5" x14ac:dyDescent="0.25">
      <c r="A6214" t="s">
        <v>16</v>
      </c>
      <c r="B6214" t="s">
        <v>6</v>
      </c>
      <c r="C6214" s="1">
        <v>45728.875</v>
      </c>
      <c r="D6214" s="1">
        <v>45815.533333333333</v>
      </c>
      <c r="E6214" s="2">
        <f t="shared" si="97"/>
        <v>86.658333333332848</v>
      </c>
    </row>
    <row r="6215" spans="1:5" x14ac:dyDescent="0.25">
      <c r="A6215" t="s">
        <v>27</v>
      </c>
      <c r="B6215" t="s">
        <v>8</v>
      </c>
      <c r="C6215" s="1">
        <v>45946.25</v>
      </c>
      <c r="D6215" s="1">
        <v>45991.530555555553</v>
      </c>
      <c r="E6215" s="2">
        <f t="shared" si="97"/>
        <v>45.280555555553292</v>
      </c>
    </row>
    <row r="6216" spans="1:5" x14ac:dyDescent="0.25">
      <c r="A6216" t="s">
        <v>12</v>
      </c>
      <c r="B6216" t="s">
        <v>13</v>
      </c>
      <c r="C6216" s="1">
        <v>45855.097222222219</v>
      </c>
      <c r="D6216" s="1">
        <v>45903.462500000001</v>
      </c>
      <c r="E6216" s="2">
        <f t="shared" si="97"/>
        <v>48.365277777782467</v>
      </c>
    </row>
    <row r="6217" spans="1:5" x14ac:dyDescent="0.25">
      <c r="A6217" t="s">
        <v>27</v>
      </c>
      <c r="B6217" t="s">
        <v>8</v>
      </c>
      <c r="C6217" s="1">
        <v>46083.95416666667</v>
      </c>
      <c r="D6217" s="1">
        <v>46124.397222222222</v>
      </c>
      <c r="E6217" s="2">
        <f t="shared" si="97"/>
        <v>40.443055555551837</v>
      </c>
    </row>
    <row r="6218" spans="1:5" x14ac:dyDescent="0.25">
      <c r="A6218" t="s">
        <v>12</v>
      </c>
      <c r="B6218" t="s">
        <v>18</v>
      </c>
      <c r="C6218" s="1">
        <v>45947.123611111107</v>
      </c>
      <c r="D6218" s="1">
        <v>46008.915277777778</v>
      </c>
      <c r="E6218" s="2">
        <f t="shared" si="97"/>
        <v>61.791666666671517</v>
      </c>
    </row>
    <row r="6219" spans="1:5" x14ac:dyDescent="0.25">
      <c r="A6219" t="s">
        <v>27</v>
      </c>
      <c r="B6219" t="s">
        <v>8</v>
      </c>
      <c r="C6219" s="1">
        <v>46187.342361111107</v>
      </c>
      <c r="D6219" s="1">
        <v>46249.770833333343</v>
      </c>
      <c r="E6219" s="2">
        <f t="shared" si="97"/>
        <v>62.428472222236451</v>
      </c>
    </row>
    <row r="6220" spans="1:5" x14ac:dyDescent="0.25">
      <c r="A6220" t="s">
        <v>7</v>
      </c>
      <c r="B6220" t="s">
        <v>20</v>
      </c>
      <c r="C6220" s="1">
        <v>46013.586111111108</v>
      </c>
      <c r="D6220" s="1">
        <v>46065.584027777782</v>
      </c>
      <c r="E6220" s="2">
        <f t="shared" si="97"/>
        <v>51.997916666674428</v>
      </c>
    </row>
    <row r="6221" spans="1:5" x14ac:dyDescent="0.25">
      <c r="A6221" t="s">
        <v>28</v>
      </c>
      <c r="B6221" t="s">
        <v>8</v>
      </c>
      <c r="C6221" s="1">
        <v>46017.34652777778</v>
      </c>
      <c r="D6221" s="1">
        <v>46082.083333333343</v>
      </c>
      <c r="E6221" s="2">
        <f t="shared" si="97"/>
        <v>64.736805555563478</v>
      </c>
    </row>
    <row r="6222" spans="1:5" x14ac:dyDescent="0.25">
      <c r="A6222" t="s">
        <v>12</v>
      </c>
      <c r="B6222" t="s">
        <v>8</v>
      </c>
      <c r="C6222" s="1">
        <v>46162.882638888892</v>
      </c>
      <c r="D6222" s="1">
        <v>46235.826388888891</v>
      </c>
      <c r="E6222" s="2">
        <f t="shared" si="97"/>
        <v>72.943749999998545</v>
      </c>
    </row>
    <row r="6223" spans="1:5" x14ac:dyDescent="0.25">
      <c r="A6223" t="s">
        <v>23</v>
      </c>
      <c r="B6223" t="s">
        <v>8</v>
      </c>
      <c r="C6223" s="1">
        <v>45990.091273148151</v>
      </c>
      <c r="D6223" s="1">
        <v>46025</v>
      </c>
      <c r="E6223" s="2">
        <f t="shared" si="97"/>
        <v>34.908726851848769</v>
      </c>
    </row>
    <row r="6224" spans="1:5" x14ac:dyDescent="0.25">
      <c r="A6224" t="s">
        <v>34</v>
      </c>
      <c r="B6224" t="s">
        <v>8</v>
      </c>
      <c r="C6224" s="1">
        <v>45850.995138888888</v>
      </c>
      <c r="D6224" s="1">
        <v>45886.078472222223</v>
      </c>
      <c r="E6224" s="2">
        <f t="shared" si="97"/>
        <v>35.083333333335759</v>
      </c>
    </row>
    <row r="6225" spans="1:5" x14ac:dyDescent="0.25">
      <c r="A6225" t="s">
        <v>20</v>
      </c>
      <c r="B6225" t="s">
        <v>8</v>
      </c>
      <c r="C6225" s="1">
        <v>45920.474999999999</v>
      </c>
      <c r="D6225" s="1">
        <v>45953.417361111111</v>
      </c>
      <c r="E6225" s="2">
        <f t="shared" si="97"/>
        <v>32.942361111112405</v>
      </c>
    </row>
    <row r="6226" spans="1:5" x14ac:dyDescent="0.25">
      <c r="A6226" t="s">
        <v>12</v>
      </c>
      <c r="B6226" t="s">
        <v>18</v>
      </c>
      <c r="C6226" s="1">
        <v>45722.584722222222</v>
      </c>
      <c r="D6226" s="1">
        <v>45783.079861111109</v>
      </c>
      <c r="E6226" s="2">
        <f t="shared" si="97"/>
        <v>60.495138888887595</v>
      </c>
    </row>
    <row r="6227" spans="1:5" x14ac:dyDescent="0.25">
      <c r="A6227" t="s">
        <v>8</v>
      </c>
      <c r="B6227" t="s">
        <v>18</v>
      </c>
      <c r="C6227" s="1">
        <v>46162.799305555563</v>
      </c>
      <c r="D6227" s="1">
        <v>46210.020833333343</v>
      </c>
      <c r="E6227" s="2">
        <f t="shared" si="97"/>
        <v>47.221527777779556</v>
      </c>
    </row>
    <row r="6228" spans="1:5" x14ac:dyDescent="0.25">
      <c r="A6228" t="s">
        <v>15</v>
      </c>
      <c r="B6228" t="s">
        <v>19</v>
      </c>
      <c r="C6228" s="1">
        <v>45894.113993055558</v>
      </c>
      <c r="D6228" s="1">
        <v>45932.267418981479</v>
      </c>
      <c r="E6228" s="2">
        <f t="shared" si="97"/>
        <v>38.153425925920601</v>
      </c>
    </row>
    <row r="6229" spans="1:5" x14ac:dyDescent="0.25">
      <c r="A6229" t="s">
        <v>9</v>
      </c>
      <c r="B6229" t="s">
        <v>11</v>
      </c>
      <c r="C6229" s="1">
        <v>45732.026388888888</v>
      </c>
      <c r="D6229" s="1">
        <v>45812.137499999997</v>
      </c>
      <c r="E6229" s="2">
        <f t="shared" si="97"/>
        <v>80.111111111109494</v>
      </c>
    </row>
    <row r="6230" spans="1:5" x14ac:dyDescent="0.25">
      <c r="A6230" t="s">
        <v>13</v>
      </c>
      <c r="B6230" t="s">
        <v>8</v>
      </c>
      <c r="C6230" s="1">
        <v>46115.3</v>
      </c>
      <c r="D6230" s="1">
        <v>46142.0625</v>
      </c>
      <c r="E6230" s="2">
        <f t="shared" si="97"/>
        <v>26.76249999999709</v>
      </c>
    </row>
    <row r="6231" spans="1:5" x14ac:dyDescent="0.25">
      <c r="A6231" t="s">
        <v>12</v>
      </c>
      <c r="B6231" t="s">
        <v>13</v>
      </c>
      <c r="C6231" s="1">
        <v>46027.166666666657</v>
      </c>
      <c r="D6231" s="1">
        <v>46087.020833333343</v>
      </c>
      <c r="E6231" s="2">
        <f t="shared" si="97"/>
        <v>59.854166666686069</v>
      </c>
    </row>
    <row r="6232" spans="1:5" x14ac:dyDescent="0.25">
      <c r="A6232" t="s">
        <v>22</v>
      </c>
      <c r="B6232" t="s">
        <v>19</v>
      </c>
      <c r="C6232" s="1">
        <v>45932.332187499997</v>
      </c>
      <c r="D6232" s="1">
        <v>45975.527314814812</v>
      </c>
      <c r="E6232" s="2">
        <f t="shared" si="97"/>
        <v>43.195127314815181</v>
      </c>
    </row>
    <row r="6233" spans="1:5" x14ac:dyDescent="0.25">
      <c r="A6233" t="s">
        <v>5</v>
      </c>
      <c r="B6233" t="s">
        <v>6</v>
      </c>
      <c r="C6233" s="1">
        <v>45925.979166666657</v>
      </c>
      <c r="D6233" s="1">
        <v>45978.85833333333</v>
      </c>
      <c r="E6233" s="2">
        <f t="shared" si="97"/>
        <v>52.879166666672972</v>
      </c>
    </row>
    <row r="6234" spans="1:5" x14ac:dyDescent="0.25">
      <c r="A6234" t="s">
        <v>22</v>
      </c>
      <c r="B6234" t="s">
        <v>51</v>
      </c>
      <c r="C6234" s="1">
        <v>45737.5</v>
      </c>
      <c r="D6234" s="1">
        <v>45808.729861111111</v>
      </c>
      <c r="E6234" s="2">
        <f t="shared" si="97"/>
        <v>71.229861111110949</v>
      </c>
    </row>
    <row r="6235" spans="1:5" x14ac:dyDescent="0.25">
      <c r="A6235" t="s">
        <v>9</v>
      </c>
      <c r="B6235" t="s">
        <v>8</v>
      </c>
      <c r="C6235" s="1">
        <v>46231.36041666667</v>
      </c>
      <c r="D6235" s="1">
        <v>46278.113888888889</v>
      </c>
      <c r="E6235" s="2">
        <f t="shared" si="97"/>
        <v>46.753472222218988</v>
      </c>
    </row>
    <row r="6236" spans="1:5" x14ac:dyDescent="0.25">
      <c r="A6236" t="s">
        <v>15</v>
      </c>
      <c r="B6236" t="s">
        <v>18</v>
      </c>
      <c r="C6236" s="1">
        <v>46218.020833333343</v>
      </c>
      <c r="D6236" s="1">
        <v>46257.706944444442</v>
      </c>
      <c r="E6236" s="2">
        <f t="shared" si="97"/>
        <v>39.686111111099308</v>
      </c>
    </row>
    <row r="6237" spans="1:5" x14ac:dyDescent="0.25">
      <c r="A6237" t="s">
        <v>41</v>
      </c>
      <c r="B6237" t="s">
        <v>8</v>
      </c>
      <c r="C6237" s="1">
        <v>46187.908333333333</v>
      </c>
      <c r="D6237" s="1">
        <v>46225.791666666657</v>
      </c>
      <c r="E6237" s="2">
        <f t="shared" si="97"/>
        <v>37.883333333324117</v>
      </c>
    </row>
    <row r="6238" spans="1:5" x14ac:dyDescent="0.25">
      <c r="A6238" t="s">
        <v>48</v>
      </c>
      <c r="B6238" t="s">
        <v>12</v>
      </c>
      <c r="C6238" s="1">
        <v>46066.07916666667</v>
      </c>
      <c r="D6238" s="1">
        <v>46134.0625</v>
      </c>
      <c r="E6238" s="2">
        <f t="shared" si="97"/>
        <v>67.983333333329938</v>
      </c>
    </row>
    <row r="6239" spans="1:5" x14ac:dyDescent="0.25">
      <c r="A6239" t="s">
        <v>5</v>
      </c>
      <c r="B6239" t="s">
        <v>8</v>
      </c>
      <c r="C6239" s="1">
        <v>45945.658333333333</v>
      </c>
      <c r="D6239" s="1">
        <v>45993.345833333333</v>
      </c>
      <c r="E6239" s="2">
        <f t="shared" si="97"/>
        <v>47.6875</v>
      </c>
    </row>
    <row r="6240" spans="1:5" x14ac:dyDescent="0.25">
      <c r="A6240" t="s">
        <v>5</v>
      </c>
      <c r="B6240" t="s">
        <v>8</v>
      </c>
      <c r="C6240" s="1">
        <v>46035.520833333343</v>
      </c>
      <c r="D6240" s="1">
        <v>46073.45416666667</v>
      </c>
      <c r="E6240" s="2">
        <f t="shared" si="97"/>
        <v>37.933333333327028</v>
      </c>
    </row>
    <row r="6241" spans="1:5" x14ac:dyDescent="0.25">
      <c r="A6241" t="s">
        <v>7</v>
      </c>
      <c r="B6241" t="s">
        <v>8</v>
      </c>
      <c r="C6241" s="1">
        <v>45911.604166666657</v>
      </c>
      <c r="D6241" s="1">
        <v>45948.104166666657</v>
      </c>
      <c r="E6241" s="2">
        <f t="shared" si="97"/>
        <v>36.5</v>
      </c>
    </row>
    <row r="6242" spans="1:5" x14ac:dyDescent="0.25">
      <c r="A6242" t="s">
        <v>5</v>
      </c>
      <c r="B6242" t="s">
        <v>8</v>
      </c>
      <c r="C6242" s="1">
        <v>46128.754166666673</v>
      </c>
      <c r="D6242" s="1">
        <v>46162.866666666669</v>
      </c>
      <c r="E6242" s="2">
        <f t="shared" si="97"/>
        <v>34.112499999995634</v>
      </c>
    </row>
    <row r="6243" spans="1:5" x14ac:dyDescent="0.25">
      <c r="A6243" t="s">
        <v>12</v>
      </c>
      <c r="B6243" t="s">
        <v>18</v>
      </c>
      <c r="C6243" s="1">
        <v>45697.637499999997</v>
      </c>
      <c r="D6243" s="1">
        <v>45757.104166666657</v>
      </c>
      <c r="E6243" s="2">
        <f t="shared" si="97"/>
        <v>59.466666666659876</v>
      </c>
    </row>
    <row r="6244" spans="1:5" x14ac:dyDescent="0.25">
      <c r="A6244" t="s">
        <v>7</v>
      </c>
      <c r="B6244" t="s">
        <v>13</v>
      </c>
      <c r="C6244" s="1">
        <v>46086.833333333343</v>
      </c>
      <c r="D6244" s="1">
        <v>46134.854166666657</v>
      </c>
      <c r="E6244" s="2">
        <f t="shared" si="97"/>
        <v>48.020833333313931</v>
      </c>
    </row>
    <row r="6245" spans="1:5" x14ac:dyDescent="0.25">
      <c r="A6245" t="s">
        <v>23</v>
      </c>
      <c r="B6245" t="s">
        <v>8</v>
      </c>
      <c r="C6245" s="1">
        <v>46034.098611111112</v>
      </c>
      <c r="D6245" s="1">
        <v>46074.836805555547</v>
      </c>
      <c r="E6245" s="2">
        <f t="shared" si="97"/>
        <v>40.738194444435067</v>
      </c>
    </row>
    <row r="6246" spans="1:5" x14ac:dyDescent="0.25">
      <c r="A6246" t="s">
        <v>26</v>
      </c>
      <c r="B6246" t="s">
        <v>21</v>
      </c>
      <c r="C6246" s="1">
        <v>46232.533333333333</v>
      </c>
      <c r="D6246" s="1">
        <v>46282.279166666667</v>
      </c>
      <c r="E6246" s="2">
        <f t="shared" si="97"/>
        <v>49.745833333334303</v>
      </c>
    </row>
    <row r="6247" spans="1:5" x14ac:dyDescent="0.25">
      <c r="A6247" t="s">
        <v>23</v>
      </c>
      <c r="B6247" t="s">
        <v>46</v>
      </c>
      <c r="C6247" s="1">
        <v>46015.541666666657</v>
      </c>
      <c r="D6247" s="1">
        <v>46070.198611111111</v>
      </c>
      <c r="E6247" s="2">
        <f t="shared" si="97"/>
        <v>54.656944444453984</v>
      </c>
    </row>
    <row r="6248" spans="1:5" x14ac:dyDescent="0.25">
      <c r="A6248" t="s">
        <v>11</v>
      </c>
      <c r="B6248" t="s">
        <v>37</v>
      </c>
      <c r="C6248" s="1">
        <v>46075.289988425917</v>
      </c>
      <c r="D6248" s="1">
        <v>46092.325775462959</v>
      </c>
      <c r="E6248" s="2">
        <f t="shared" si="97"/>
        <v>17.03578703704261</v>
      </c>
    </row>
    <row r="6249" spans="1:5" x14ac:dyDescent="0.25">
      <c r="A6249" t="s">
        <v>15</v>
      </c>
      <c r="B6249" t="s">
        <v>13</v>
      </c>
      <c r="C6249" s="1">
        <v>46081.041666666657</v>
      </c>
      <c r="D6249" s="1">
        <v>46123.083333333343</v>
      </c>
      <c r="E6249" s="2">
        <f t="shared" si="97"/>
        <v>42.041666666686069</v>
      </c>
    </row>
    <row r="6250" spans="1:5" x14ac:dyDescent="0.25">
      <c r="A6250" t="s">
        <v>12</v>
      </c>
      <c r="B6250" t="s">
        <v>13</v>
      </c>
      <c r="C6250" s="1">
        <v>45986.5</v>
      </c>
      <c r="D6250" s="1">
        <v>46035.51666666667</v>
      </c>
      <c r="E6250" s="2">
        <f t="shared" si="97"/>
        <v>49.016666666670062</v>
      </c>
    </row>
    <row r="6251" spans="1:5" x14ac:dyDescent="0.25">
      <c r="A6251" t="s">
        <v>19</v>
      </c>
      <c r="B6251" t="s">
        <v>8</v>
      </c>
      <c r="C6251" s="1">
        <v>45855.331944444442</v>
      </c>
      <c r="D6251" s="1">
        <v>45883.720833333333</v>
      </c>
      <c r="E6251" s="2">
        <f t="shared" si="97"/>
        <v>28.388888888890506</v>
      </c>
    </row>
    <row r="6252" spans="1:5" x14ac:dyDescent="0.25">
      <c r="A6252" t="s">
        <v>41</v>
      </c>
      <c r="B6252" t="s">
        <v>8</v>
      </c>
      <c r="C6252" s="1">
        <v>46201.175694444442</v>
      </c>
      <c r="D6252" s="1">
        <v>46237.043749999997</v>
      </c>
      <c r="E6252" s="2">
        <f t="shared" si="97"/>
        <v>35.868055555554747</v>
      </c>
    </row>
    <row r="6253" spans="1:5" x14ac:dyDescent="0.25">
      <c r="A6253" t="s">
        <v>12</v>
      </c>
      <c r="B6253" t="s">
        <v>18</v>
      </c>
      <c r="C6253" s="1">
        <v>45764</v>
      </c>
      <c r="D6253" s="1">
        <v>45827.402777777781</v>
      </c>
      <c r="E6253" s="2">
        <f t="shared" si="97"/>
        <v>63.402777777781012</v>
      </c>
    </row>
    <row r="6254" spans="1:5" x14ac:dyDescent="0.25">
      <c r="A6254" t="s">
        <v>27</v>
      </c>
      <c r="B6254" t="s">
        <v>20</v>
      </c>
      <c r="C6254" s="1">
        <v>45702.770833333343</v>
      </c>
      <c r="D6254" s="1">
        <v>45763</v>
      </c>
      <c r="E6254" s="2">
        <f t="shared" si="97"/>
        <v>60.229166666656965</v>
      </c>
    </row>
    <row r="6255" spans="1:5" x14ac:dyDescent="0.25">
      <c r="A6255" t="s">
        <v>28</v>
      </c>
      <c r="B6255" t="s">
        <v>18</v>
      </c>
      <c r="C6255" s="1">
        <v>45890.753472222219</v>
      </c>
      <c r="D6255" s="1">
        <v>45970</v>
      </c>
      <c r="E6255" s="2">
        <f t="shared" si="97"/>
        <v>79.246527777781012</v>
      </c>
    </row>
    <row r="6256" spans="1:5" x14ac:dyDescent="0.25">
      <c r="A6256" t="s">
        <v>16</v>
      </c>
      <c r="B6256" t="s">
        <v>13</v>
      </c>
      <c r="C6256" s="1">
        <v>45714.612500000003</v>
      </c>
      <c r="D6256" s="1">
        <v>45758</v>
      </c>
      <c r="E6256" s="2">
        <f t="shared" si="97"/>
        <v>43.38749999999709</v>
      </c>
    </row>
    <row r="6257" spans="1:5" x14ac:dyDescent="0.25">
      <c r="A6257" t="s">
        <v>15</v>
      </c>
      <c r="B6257" t="s">
        <v>18</v>
      </c>
      <c r="C6257" s="1">
        <v>45682.567361111112</v>
      </c>
      <c r="D6257" s="1">
        <v>45735.020833333343</v>
      </c>
      <c r="E6257" s="2">
        <f t="shared" si="97"/>
        <v>52.45347222223063</v>
      </c>
    </row>
    <row r="6258" spans="1:5" x14ac:dyDescent="0.25">
      <c r="A6258" t="s">
        <v>13</v>
      </c>
      <c r="B6258" t="s">
        <v>8</v>
      </c>
      <c r="C6258" s="1">
        <v>45904.879166666673</v>
      </c>
      <c r="D6258" s="1">
        <v>45931</v>
      </c>
      <c r="E6258" s="2">
        <f t="shared" si="97"/>
        <v>26.120833333327028</v>
      </c>
    </row>
    <row r="6259" spans="1:5" x14ac:dyDescent="0.25">
      <c r="A6259" t="s">
        <v>11</v>
      </c>
      <c r="B6259" t="s">
        <v>7</v>
      </c>
      <c r="C6259" s="1">
        <v>45839.01666666667</v>
      </c>
      <c r="D6259" s="1">
        <v>45918.208333333343</v>
      </c>
      <c r="E6259" s="2">
        <f t="shared" si="97"/>
        <v>79.191666666672972</v>
      </c>
    </row>
    <row r="6260" spans="1:5" x14ac:dyDescent="0.25">
      <c r="A6260" t="s">
        <v>12</v>
      </c>
      <c r="B6260" t="s">
        <v>13</v>
      </c>
      <c r="C6260" s="1">
        <v>45838.333333333343</v>
      </c>
      <c r="D6260" s="1">
        <v>45884.808333333327</v>
      </c>
      <c r="E6260" s="2">
        <f t="shared" si="97"/>
        <v>46.474999999983993</v>
      </c>
    </row>
    <row r="6261" spans="1:5" x14ac:dyDescent="0.25">
      <c r="A6261" t="s">
        <v>12</v>
      </c>
      <c r="B6261" t="s">
        <v>13</v>
      </c>
      <c r="C6261" s="1">
        <v>46056.25277777778</v>
      </c>
      <c r="D6261" s="1">
        <v>46095.833333333343</v>
      </c>
      <c r="E6261" s="2">
        <f t="shared" si="97"/>
        <v>39.580555555563478</v>
      </c>
    </row>
    <row r="6262" spans="1:5" x14ac:dyDescent="0.25">
      <c r="A6262" t="s">
        <v>10</v>
      </c>
      <c r="B6262" t="s">
        <v>8</v>
      </c>
      <c r="C6262" s="1">
        <v>46120.625</v>
      </c>
      <c r="D6262" s="1">
        <v>46139.593055555553</v>
      </c>
      <c r="E6262" s="2">
        <f t="shared" si="97"/>
        <v>18.968055555553292</v>
      </c>
    </row>
    <row r="6263" spans="1:5" x14ac:dyDescent="0.25">
      <c r="A6263" t="s">
        <v>6</v>
      </c>
      <c r="B6263" t="s">
        <v>8</v>
      </c>
      <c r="C6263" s="1">
        <v>45690.933333333327</v>
      </c>
      <c r="D6263" s="1">
        <v>45735.334027777782</v>
      </c>
      <c r="E6263" s="2">
        <f t="shared" si="97"/>
        <v>44.400694444455439</v>
      </c>
    </row>
    <row r="6264" spans="1:5" x14ac:dyDescent="0.25">
      <c r="A6264" t="s">
        <v>22</v>
      </c>
      <c r="B6264" t="s">
        <v>19</v>
      </c>
      <c r="C6264" s="1">
        <v>45984.224305555559</v>
      </c>
      <c r="D6264" s="1">
        <v>46038.279861111107</v>
      </c>
      <c r="E6264" s="2">
        <f t="shared" si="97"/>
        <v>54.055555555547471</v>
      </c>
    </row>
    <row r="6265" spans="1:5" x14ac:dyDescent="0.25">
      <c r="A6265" t="s">
        <v>14</v>
      </c>
      <c r="B6265" t="s">
        <v>22</v>
      </c>
      <c r="C6265" s="1">
        <v>45697.130555555559</v>
      </c>
      <c r="D6265" s="1">
        <v>45747.317627314813</v>
      </c>
      <c r="E6265" s="2">
        <f t="shared" si="97"/>
        <v>50.18707175925374</v>
      </c>
    </row>
    <row r="6266" spans="1:5" x14ac:dyDescent="0.25">
      <c r="A6266" t="s">
        <v>45</v>
      </c>
      <c r="B6266" t="s">
        <v>19</v>
      </c>
      <c r="C6266" s="1">
        <v>45929.191666666673</v>
      </c>
      <c r="D6266" s="1">
        <v>45968.824305555558</v>
      </c>
      <c r="E6266" s="2">
        <f t="shared" si="97"/>
        <v>39.632638888884685</v>
      </c>
    </row>
    <row r="6267" spans="1:5" x14ac:dyDescent="0.25">
      <c r="A6267" t="s">
        <v>22</v>
      </c>
      <c r="B6267" t="s">
        <v>53</v>
      </c>
      <c r="C6267" s="1">
        <v>45665.777777777781</v>
      </c>
      <c r="D6267" s="1">
        <v>45734.253425925926</v>
      </c>
      <c r="E6267" s="2">
        <f t="shared" si="97"/>
        <v>68.47564814814541</v>
      </c>
    </row>
    <row r="6268" spans="1:5" x14ac:dyDescent="0.25">
      <c r="A6268" t="s">
        <v>7</v>
      </c>
      <c r="B6268" t="s">
        <v>8</v>
      </c>
      <c r="C6268" s="1">
        <v>45891.654166666667</v>
      </c>
      <c r="D6268" s="1">
        <v>45938.662499999999</v>
      </c>
      <c r="E6268" s="2">
        <f t="shared" si="97"/>
        <v>47.008333333331393</v>
      </c>
    </row>
    <row r="6269" spans="1:5" x14ac:dyDescent="0.25">
      <c r="A6269" t="s">
        <v>5</v>
      </c>
      <c r="B6269" t="s">
        <v>8</v>
      </c>
      <c r="C6269" s="1">
        <v>46113.60833333333</v>
      </c>
      <c r="D6269" s="1">
        <v>46155.262499999997</v>
      </c>
      <c r="E6269" s="2">
        <f t="shared" si="97"/>
        <v>41.654166666667152</v>
      </c>
    </row>
    <row r="6270" spans="1:5" x14ac:dyDescent="0.25">
      <c r="A6270" t="s">
        <v>8</v>
      </c>
      <c r="B6270" t="s">
        <v>18</v>
      </c>
      <c r="C6270" s="1">
        <v>46234.25</v>
      </c>
      <c r="D6270" s="1">
        <v>46284.76666666667</v>
      </c>
      <c r="E6270" s="2">
        <f t="shared" si="97"/>
        <v>50.516666666670062</v>
      </c>
    </row>
    <row r="6271" spans="1:5" x14ac:dyDescent="0.25">
      <c r="A6271" t="s">
        <v>7</v>
      </c>
      <c r="B6271" t="s">
        <v>8</v>
      </c>
      <c r="C6271" s="1">
        <v>45882.166666666657</v>
      </c>
      <c r="D6271" s="1">
        <v>45938.662499999999</v>
      </c>
      <c r="E6271" s="2">
        <f t="shared" si="97"/>
        <v>56.495833333341579</v>
      </c>
    </row>
    <row r="6272" spans="1:5" x14ac:dyDescent="0.25">
      <c r="A6272" t="s">
        <v>7</v>
      </c>
      <c r="B6272" t="s">
        <v>11</v>
      </c>
      <c r="C6272" s="1">
        <v>46086.82916666667</v>
      </c>
      <c r="D6272" s="1">
        <v>46161.837500000001</v>
      </c>
      <c r="E6272" s="2">
        <f t="shared" si="97"/>
        <v>75.008333333331393</v>
      </c>
    </row>
    <row r="6273" spans="1:5" x14ac:dyDescent="0.25">
      <c r="A6273" t="s">
        <v>7</v>
      </c>
      <c r="B6273" t="s">
        <v>11</v>
      </c>
      <c r="C6273" s="1">
        <v>45850.695833333331</v>
      </c>
      <c r="D6273" s="1">
        <v>45923.237500000003</v>
      </c>
      <c r="E6273" s="2">
        <f t="shared" si="97"/>
        <v>72.541666666671517</v>
      </c>
    </row>
    <row r="6274" spans="1:5" x14ac:dyDescent="0.25">
      <c r="A6274" t="s">
        <v>7</v>
      </c>
      <c r="B6274" t="s">
        <v>8</v>
      </c>
      <c r="C6274" s="1">
        <v>45939.950694444437</v>
      </c>
      <c r="D6274" s="1">
        <v>45989.166666666657</v>
      </c>
      <c r="E6274" s="2">
        <f t="shared" ref="E6274:E6337" si="98">D6274-C6274</f>
        <v>49.215972222220444</v>
      </c>
    </row>
    <row r="6275" spans="1:5" x14ac:dyDescent="0.25">
      <c r="A6275" t="s">
        <v>7</v>
      </c>
      <c r="B6275" t="s">
        <v>11</v>
      </c>
      <c r="C6275" s="1">
        <v>46142.229166666657</v>
      </c>
      <c r="D6275" s="1">
        <v>46225.55</v>
      </c>
      <c r="E6275" s="2">
        <f t="shared" si="98"/>
        <v>83.320833333345945</v>
      </c>
    </row>
    <row r="6276" spans="1:5" x14ac:dyDescent="0.25">
      <c r="A6276" t="s">
        <v>7</v>
      </c>
      <c r="B6276" t="s">
        <v>8</v>
      </c>
      <c r="C6276" s="1">
        <v>45777.64166666667</v>
      </c>
      <c r="D6276" s="1">
        <v>45818.433333333327</v>
      </c>
      <c r="E6276" s="2">
        <f t="shared" si="98"/>
        <v>40.791666666656965</v>
      </c>
    </row>
    <row r="6277" spans="1:5" x14ac:dyDescent="0.25">
      <c r="A6277" t="s">
        <v>14</v>
      </c>
      <c r="B6277" t="s">
        <v>22</v>
      </c>
      <c r="C6277" s="1">
        <v>46181.869490740741</v>
      </c>
      <c r="D6277" s="1">
        <v>46237.561805555553</v>
      </c>
      <c r="E6277" s="2">
        <f t="shared" si="98"/>
        <v>55.692314814812562</v>
      </c>
    </row>
    <row r="6278" spans="1:5" x14ac:dyDescent="0.25">
      <c r="A6278" t="s">
        <v>15</v>
      </c>
      <c r="B6278" t="s">
        <v>13</v>
      </c>
      <c r="C6278" s="1">
        <v>45902.17083333333</v>
      </c>
      <c r="D6278" s="1">
        <v>45942.058333333327</v>
      </c>
      <c r="E6278" s="2">
        <f t="shared" si="98"/>
        <v>39.88749999999709</v>
      </c>
    </row>
    <row r="6279" spans="1:5" x14ac:dyDescent="0.25">
      <c r="A6279" t="s">
        <v>19</v>
      </c>
      <c r="B6279" t="s">
        <v>11</v>
      </c>
      <c r="C6279" s="1">
        <v>46233.256249999999</v>
      </c>
      <c r="D6279" s="1">
        <v>46274.036805555559</v>
      </c>
      <c r="E6279" s="2">
        <f t="shared" si="98"/>
        <v>40.780555555560568</v>
      </c>
    </row>
    <row r="6280" spans="1:5" x14ac:dyDescent="0.25">
      <c r="A6280" t="s">
        <v>11</v>
      </c>
      <c r="B6280" t="s">
        <v>37</v>
      </c>
      <c r="C6280" s="1">
        <v>45766.887499999997</v>
      </c>
      <c r="D6280" s="1">
        <v>45783.916666666657</v>
      </c>
      <c r="E6280" s="2">
        <f t="shared" si="98"/>
        <v>17.029166666659876</v>
      </c>
    </row>
    <row r="6281" spans="1:5" x14ac:dyDescent="0.25">
      <c r="A6281" t="s">
        <v>18</v>
      </c>
      <c r="B6281" t="s">
        <v>27</v>
      </c>
      <c r="C6281" s="1">
        <v>45704.913194444453</v>
      </c>
      <c r="D6281" s="1">
        <v>45778.336805555547</v>
      </c>
      <c r="E6281" s="2">
        <f t="shared" si="98"/>
        <v>73.423611111094942</v>
      </c>
    </row>
    <row r="6282" spans="1:5" x14ac:dyDescent="0.25">
      <c r="A6282" t="s">
        <v>10</v>
      </c>
      <c r="B6282" t="s">
        <v>11</v>
      </c>
      <c r="C6282" s="1">
        <v>45918.925000000003</v>
      </c>
      <c r="D6282" s="1">
        <v>45952.625</v>
      </c>
      <c r="E6282" s="2">
        <f t="shared" si="98"/>
        <v>33.69999999999709</v>
      </c>
    </row>
    <row r="6283" spans="1:5" x14ac:dyDescent="0.25">
      <c r="A6283" t="s">
        <v>15</v>
      </c>
      <c r="B6283" t="s">
        <v>13</v>
      </c>
      <c r="C6283" s="1">
        <v>46198.539953703701</v>
      </c>
      <c r="D6283" s="1">
        <v>46236.826388888891</v>
      </c>
      <c r="E6283" s="2">
        <f t="shared" si="98"/>
        <v>38.286435185189475</v>
      </c>
    </row>
    <row r="6284" spans="1:5" x14ac:dyDescent="0.25">
      <c r="A6284" t="s">
        <v>19</v>
      </c>
      <c r="B6284" t="s">
        <v>11</v>
      </c>
      <c r="C6284" s="1">
        <v>46192.554861111108</v>
      </c>
      <c r="D6284" s="1">
        <v>46238.836805555547</v>
      </c>
      <c r="E6284" s="2">
        <f t="shared" si="98"/>
        <v>46.281944444439432</v>
      </c>
    </row>
    <row r="6285" spans="1:5" x14ac:dyDescent="0.25">
      <c r="A6285" t="s">
        <v>22</v>
      </c>
      <c r="B6285" t="s">
        <v>19</v>
      </c>
      <c r="C6285" s="1">
        <v>45776.180555555547</v>
      </c>
      <c r="D6285" s="1">
        <v>45842.425000000003</v>
      </c>
      <c r="E6285" s="2">
        <f t="shared" si="98"/>
        <v>66.244444444455439</v>
      </c>
    </row>
    <row r="6286" spans="1:5" x14ac:dyDescent="0.25">
      <c r="A6286" t="s">
        <v>22</v>
      </c>
      <c r="B6286" t="s">
        <v>19</v>
      </c>
      <c r="C6286" s="1">
        <v>45698.170138888891</v>
      </c>
      <c r="D6286" s="1">
        <v>45760.508333333331</v>
      </c>
      <c r="E6286" s="2">
        <f t="shared" si="98"/>
        <v>62.338194444440887</v>
      </c>
    </row>
    <row r="6287" spans="1:5" x14ac:dyDescent="0.25">
      <c r="A6287" t="s">
        <v>22</v>
      </c>
      <c r="B6287" t="s">
        <v>36</v>
      </c>
      <c r="C6287" s="1">
        <v>45698.170138888891</v>
      </c>
      <c r="D6287" s="1">
        <v>45760.508333333331</v>
      </c>
      <c r="E6287" s="2">
        <f t="shared" si="98"/>
        <v>62.338194444440887</v>
      </c>
    </row>
    <row r="6288" spans="1:5" x14ac:dyDescent="0.25">
      <c r="A6288" t="s">
        <v>7</v>
      </c>
      <c r="B6288" t="s">
        <v>8</v>
      </c>
      <c r="C6288" s="1">
        <v>45785.595833333333</v>
      </c>
      <c r="D6288" s="1">
        <v>45818.433333333327</v>
      </c>
      <c r="E6288" s="2">
        <f t="shared" si="98"/>
        <v>32.837499999994179</v>
      </c>
    </row>
    <row r="6289" spans="1:5" x14ac:dyDescent="0.25">
      <c r="A6289" t="s">
        <v>22</v>
      </c>
      <c r="B6289" t="s">
        <v>19</v>
      </c>
      <c r="C6289" s="1">
        <v>45966.167245370372</v>
      </c>
      <c r="D6289" s="1">
        <v>46015.497349537043</v>
      </c>
      <c r="E6289" s="2">
        <f t="shared" si="98"/>
        <v>49.330104166670935</v>
      </c>
    </row>
    <row r="6290" spans="1:5" x14ac:dyDescent="0.25">
      <c r="A6290" t="s">
        <v>13</v>
      </c>
      <c r="B6290" t="s">
        <v>8</v>
      </c>
      <c r="C6290" s="1">
        <v>45688.375</v>
      </c>
      <c r="D6290" s="1">
        <v>45710.989583333343</v>
      </c>
      <c r="E6290" s="2">
        <f t="shared" si="98"/>
        <v>22.614583333343035</v>
      </c>
    </row>
    <row r="6291" spans="1:5" x14ac:dyDescent="0.25">
      <c r="A6291" t="s">
        <v>13</v>
      </c>
      <c r="B6291" t="s">
        <v>8</v>
      </c>
      <c r="C6291" s="1">
        <v>46260.05568287037</v>
      </c>
      <c r="D6291" s="1">
        <v>46282.479166666657</v>
      </c>
      <c r="E6291" s="2">
        <f t="shared" si="98"/>
        <v>22.423483796286746</v>
      </c>
    </row>
    <row r="6292" spans="1:5" x14ac:dyDescent="0.25">
      <c r="A6292" t="s">
        <v>12</v>
      </c>
      <c r="B6292" t="s">
        <v>14</v>
      </c>
      <c r="C6292" s="1">
        <v>45998.517534722218</v>
      </c>
      <c r="D6292" s="1">
        <v>46076.111111111109</v>
      </c>
      <c r="E6292" s="2">
        <f t="shared" si="98"/>
        <v>77.593576388891961</v>
      </c>
    </row>
    <row r="6293" spans="1:5" x14ac:dyDescent="0.25">
      <c r="A6293" t="s">
        <v>5</v>
      </c>
      <c r="B6293" t="s">
        <v>25</v>
      </c>
      <c r="C6293" s="1">
        <v>45757.627337962957</v>
      </c>
      <c r="D6293" s="1">
        <v>45822.643750000003</v>
      </c>
      <c r="E6293" s="2">
        <f t="shared" si="98"/>
        <v>65.016412037046393</v>
      </c>
    </row>
    <row r="6294" spans="1:5" x14ac:dyDescent="0.25">
      <c r="A6294" t="s">
        <v>5</v>
      </c>
      <c r="B6294" t="s">
        <v>8</v>
      </c>
      <c r="C6294" s="1">
        <v>45750.686111111107</v>
      </c>
      <c r="D6294" s="1">
        <v>45782.671527777777</v>
      </c>
      <c r="E6294" s="2">
        <f t="shared" si="98"/>
        <v>31.985416666670062</v>
      </c>
    </row>
    <row r="6295" spans="1:5" x14ac:dyDescent="0.25">
      <c r="A6295" t="s">
        <v>5</v>
      </c>
      <c r="B6295" t="s">
        <v>8</v>
      </c>
      <c r="C6295" s="1">
        <v>46225.412569444437</v>
      </c>
      <c r="D6295" s="1">
        <v>46250.73541666667</v>
      </c>
      <c r="E6295" s="2">
        <f t="shared" si="98"/>
        <v>25.322847222232667</v>
      </c>
    </row>
    <row r="6296" spans="1:5" x14ac:dyDescent="0.25">
      <c r="A6296" t="s">
        <v>5</v>
      </c>
      <c r="B6296" t="s">
        <v>8</v>
      </c>
      <c r="C6296" s="1">
        <v>46137.216666666667</v>
      </c>
      <c r="D6296" s="1">
        <v>46188.845833333333</v>
      </c>
      <c r="E6296" s="2">
        <f t="shared" si="98"/>
        <v>51.629166666665697</v>
      </c>
    </row>
    <row r="6297" spans="1:5" x14ac:dyDescent="0.25">
      <c r="A6297" t="s">
        <v>13</v>
      </c>
      <c r="B6297" t="s">
        <v>11</v>
      </c>
      <c r="C6297" s="1">
        <v>46115.3</v>
      </c>
      <c r="D6297" s="1">
        <v>46155.36041666667</v>
      </c>
      <c r="E6297" s="2">
        <f t="shared" si="98"/>
        <v>40.060416666667152</v>
      </c>
    </row>
    <row r="6298" spans="1:5" x14ac:dyDescent="0.25">
      <c r="A6298" t="s">
        <v>7</v>
      </c>
      <c r="B6298" t="s">
        <v>11</v>
      </c>
      <c r="C6298" s="1">
        <v>45751.851388888892</v>
      </c>
      <c r="D6298" s="1">
        <v>45840.291666666657</v>
      </c>
      <c r="E6298" s="2">
        <f t="shared" si="98"/>
        <v>88.440277777765004</v>
      </c>
    </row>
    <row r="6299" spans="1:5" x14ac:dyDescent="0.25">
      <c r="A6299" t="s">
        <v>5</v>
      </c>
      <c r="B6299" t="s">
        <v>8</v>
      </c>
      <c r="C6299" s="1">
        <v>45967.658333333333</v>
      </c>
      <c r="D6299" s="1">
        <v>46003.89166666667</v>
      </c>
      <c r="E6299" s="2">
        <f t="shared" si="98"/>
        <v>36.233333333337214</v>
      </c>
    </row>
    <row r="6300" spans="1:5" x14ac:dyDescent="0.25">
      <c r="A6300" t="s">
        <v>11</v>
      </c>
      <c r="B6300" t="s">
        <v>37</v>
      </c>
      <c r="C6300" s="1">
        <v>46075.289988425917</v>
      </c>
      <c r="D6300" s="1">
        <v>46092.310416666667</v>
      </c>
      <c r="E6300" s="2">
        <f t="shared" si="98"/>
        <v>17.020428240750334</v>
      </c>
    </row>
    <row r="6301" spans="1:5" x14ac:dyDescent="0.25">
      <c r="A6301" t="s">
        <v>7</v>
      </c>
      <c r="B6301" t="s">
        <v>20</v>
      </c>
      <c r="C6301" s="1">
        <v>46007.30972222222</v>
      </c>
      <c r="D6301" s="1">
        <v>46065.584027777782</v>
      </c>
      <c r="E6301" s="2">
        <f t="shared" si="98"/>
        <v>58.274305555562023</v>
      </c>
    </row>
    <row r="6302" spans="1:5" x14ac:dyDescent="0.25">
      <c r="A6302" t="s">
        <v>15</v>
      </c>
      <c r="B6302" t="s">
        <v>13</v>
      </c>
      <c r="C6302" s="1">
        <v>45839.987500000003</v>
      </c>
      <c r="D6302" s="1">
        <v>45878.583333333343</v>
      </c>
      <c r="E6302" s="2">
        <f t="shared" si="98"/>
        <v>38.595833333340124</v>
      </c>
    </row>
    <row r="6303" spans="1:5" x14ac:dyDescent="0.25">
      <c r="A6303" t="s">
        <v>5</v>
      </c>
      <c r="B6303" t="s">
        <v>8</v>
      </c>
      <c r="C6303" s="1">
        <v>45750.686111111107</v>
      </c>
      <c r="D6303" s="1">
        <v>45782.683333333327</v>
      </c>
      <c r="E6303" s="2">
        <f t="shared" si="98"/>
        <v>31.997222222220444</v>
      </c>
    </row>
    <row r="6304" spans="1:5" x14ac:dyDescent="0.25">
      <c r="A6304" t="s">
        <v>5</v>
      </c>
      <c r="B6304" t="s">
        <v>8</v>
      </c>
      <c r="C6304" s="1">
        <v>45758.429166666669</v>
      </c>
      <c r="D6304" s="1">
        <v>45789.869444444441</v>
      </c>
      <c r="E6304" s="2">
        <f t="shared" si="98"/>
        <v>31.44027777777228</v>
      </c>
    </row>
    <row r="6305" spans="1:5" x14ac:dyDescent="0.25">
      <c r="A6305" t="s">
        <v>15</v>
      </c>
      <c r="B6305" t="s">
        <v>6</v>
      </c>
      <c r="C6305" s="1">
        <v>45886.5</v>
      </c>
      <c r="D6305" s="1">
        <v>45943.01666666667</v>
      </c>
      <c r="E6305" s="2">
        <f t="shared" si="98"/>
        <v>56.516666666670062</v>
      </c>
    </row>
    <row r="6306" spans="1:5" x14ac:dyDescent="0.25">
      <c r="A6306" t="s">
        <v>11</v>
      </c>
      <c r="B6306" t="s">
        <v>37</v>
      </c>
      <c r="C6306" s="1">
        <v>46026.289583333331</v>
      </c>
      <c r="D6306" s="1">
        <v>46043.270833333343</v>
      </c>
      <c r="E6306" s="2">
        <f t="shared" si="98"/>
        <v>16.981250000011642</v>
      </c>
    </row>
    <row r="6307" spans="1:5" x14ac:dyDescent="0.25">
      <c r="A6307" t="s">
        <v>11</v>
      </c>
      <c r="B6307" t="s">
        <v>37</v>
      </c>
      <c r="C6307" s="1">
        <v>46130.855856481481</v>
      </c>
      <c r="D6307" s="1">
        <v>46148.272916666669</v>
      </c>
      <c r="E6307" s="2">
        <f t="shared" si="98"/>
        <v>17.417060185187438</v>
      </c>
    </row>
    <row r="6308" spans="1:5" x14ac:dyDescent="0.25">
      <c r="A6308" t="s">
        <v>22</v>
      </c>
      <c r="B6308" t="s">
        <v>19</v>
      </c>
      <c r="C6308" s="1">
        <v>45883.767754629633</v>
      </c>
      <c r="D6308" s="1">
        <v>45932.267418981479</v>
      </c>
      <c r="E6308" s="2">
        <f t="shared" si="98"/>
        <v>48.49966435184615</v>
      </c>
    </row>
    <row r="6309" spans="1:5" x14ac:dyDescent="0.25">
      <c r="A6309" t="s">
        <v>16</v>
      </c>
      <c r="B6309" t="s">
        <v>6</v>
      </c>
      <c r="C6309" s="1">
        <v>45744.76666666667</v>
      </c>
      <c r="D6309" s="1">
        <v>45811.491666666669</v>
      </c>
      <c r="E6309" s="2">
        <f t="shared" si="98"/>
        <v>66.724999999998545</v>
      </c>
    </row>
    <row r="6310" spans="1:5" x14ac:dyDescent="0.25">
      <c r="A6310" t="s">
        <v>5</v>
      </c>
      <c r="B6310" t="s">
        <v>8</v>
      </c>
      <c r="C6310" s="1">
        <v>46206.119351851848</v>
      </c>
      <c r="D6310" s="1">
        <v>46230.578472222223</v>
      </c>
      <c r="E6310" s="2">
        <f t="shared" si="98"/>
        <v>24.459120370374876</v>
      </c>
    </row>
    <row r="6311" spans="1:5" x14ac:dyDescent="0.25">
      <c r="A6311" t="s">
        <v>8</v>
      </c>
      <c r="B6311" t="s">
        <v>18</v>
      </c>
      <c r="C6311" s="1">
        <v>46227.745833333327</v>
      </c>
      <c r="D6311" s="1">
        <v>46269.7</v>
      </c>
      <c r="E6311" s="2">
        <f t="shared" si="98"/>
        <v>41.954166666670062</v>
      </c>
    </row>
    <row r="6312" spans="1:5" x14ac:dyDescent="0.25">
      <c r="A6312" t="s">
        <v>5</v>
      </c>
      <c r="B6312" t="s">
        <v>55</v>
      </c>
      <c r="C6312" s="1">
        <v>45695.8125</v>
      </c>
      <c r="D6312" s="1">
        <v>45722.695833333331</v>
      </c>
      <c r="E6312" s="2">
        <f t="shared" si="98"/>
        <v>26.883333333331393</v>
      </c>
    </row>
    <row r="6313" spans="1:5" x14ac:dyDescent="0.25">
      <c r="A6313" t="s">
        <v>5</v>
      </c>
      <c r="B6313" t="s">
        <v>8</v>
      </c>
      <c r="C6313" s="1">
        <v>45758.019780092603</v>
      </c>
      <c r="D6313" s="1">
        <v>45789.869444444441</v>
      </c>
      <c r="E6313" s="2">
        <f t="shared" si="98"/>
        <v>31.849664351837419</v>
      </c>
    </row>
    <row r="6314" spans="1:5" x14ac:dyDescent="0.25">
      <c r="A6314" t="s">
        <v>10</v>
      </c>
      <c r="B6314" t="s">
        <v>11</v>
      </c>
      <c r="C6314" s="1">
        <v>46097.92291666667</v>
      </c>
      <c r="D6314" s="1">
        <v>46127.34652777778</v>
      </c>
      <c r="E6314" s="2">
        <f t="shared" si="98"/>
        <v>29.423611111109494</v>
      </c>
    </row>
    <row r="6315" spans="1:5" x14ac:dyDescent="0.25">
      <c r="A6315" t="s">
        <v>5</v>
      </c>
      <c r="B6315" t="s">
        <v>8</v>
      </c>
      <c r="C6315" s="1">
        <v>45995.0625</v>
      </c>
      <c r="D6315" s="1">
        <v>46028.791666666657</v>
      </c>
      <c r="E6315" s="2">
        <f t="shared" si="98"/>
        <v>33.729166666656965</v>
      </c>
    </row>
    <row r="6316" spans="1:5" x14ac:dyDescent="0.25">
      <c r="A6316" t="s">
        <v>5</v>
      </c>
      <c r="B6316" t="s">
        <v>47</v>
      </c>
      <c r="C6316" s="1">
        <v>46115.291666666657</v>
      </c>
      <c r="D6316" s="1">
        <v>46168.10833333333</v>
      </c>
      <c r="E6316" s="2">
        <f t="shared" si="98"/>
        <v>52.816666666672972</v>
      </c>
    </row>
    <row r="6317" spans="1:5" x14ac:dyDescent="0.25">
      <c r="A6317" t="s">
        <v>5</v>
      </c>
      <c r="B6317" t="s">
        <v>8</v>
      </c>
      <c r="C6317" s="1">
        <v>45998.14166666667</v>
      </c>
      <c r="D6317" s="1">
        <v>46039.5</v>
      </c>
      <c r="E6317" s="2">
        <f t="shared" si="98"/>
        <v>41.358333333329938</v>
      </c>
    </row>
    <row r="6318" spans="1:5" x14ac:dyDescent="0.25">
      <c r="A6318" t="s">
        <v>12</v>
      </c>
      <c r="B6318" t="s">
        <v>14</v>
      </c>
      <c r="C6318" s="1">
        <v>45998.517534722218</v>
      </c>
      <c r="D6318" s="1">
        <v>46076.111111111109</v>
      </c>
      <c r="E6318" s="2">
        <f t="shared" si="98"/>
        <v>77.593576388891961</v>
      </c>
    </row>
    <row r="6319" spans="1:5" x14ac:dyDescent="0.25">
      <c r="A6319" t="s">
        <v>6</v>
      </c>
      <c r="B6319" t="s">
        <v>8</v>
      </c>
      <c r="C6319" s="1">
        <v>45877.553472222222</v>
      </c>
      <c r="D6319" s="1">
        <v>45915.506249999999</v>
      </c>
      <c r="E6319" s="2">
        <f t="shared" si="98"/>
        <v>37.952777777776646</v>
      </c>
    </row>
    <row r="6320" spans="1:5" x14ac:dyDescent="0.25">
      <c r="A6320" t="s">
        <v>7</v>
      </c>
      <c r="B6320" t="s">
        <v>8</v>
      </c>
      <c r="C6320" s="1">
        <v>45777.64166666667</v>
      </c>
      <c r="D6320" s="1">
        <v>45818.433333333327</v>
      </c>
      <c r="E6320" s="2">
        <f t="shared" si="98"/>
        <v>40.791666666656965</v>
      </c>
    </row>
    <row r="6321" spans="1:5" x14ac:dyDescent="0.25">
      <c r="A6321" t="s">
        <v>12</v>
      </c>
      <c r="B6321" t="s">
        <v>18</v>
      </c>
      <c r="C6321" s="1">
        <v>45895.17083333333</v>
      </c>
      <c r="D6321" s="1">
        <v>45964.081944444442</v>
      </c>
      <c r="E6321" s="2">
        <f t="shared" si="98"/>
        <v>68.911111111112405</v>
      </c>
    </row>
    <row r="6322" spans="1:5" x14ac:dyDescent="0.25">
      <c r="A6322" t="s">
        <v>14</v>
      </c>
      <c r="B6322" t="s">
        <v>22</v>
      </c>
      <c r="C6322" s="1">
        <v>45797.754166666673</v>
      </c>
      <c r="D6322" s="1">
        <v>45872.091666666667</v>
      </c>
      <c r="E6322" s="2">
        <f t="shared" si="98"/>
        <v>74.337499999994179</v>
      </c>
    </row>
    <row r="6323" spans="1:5" x14ac:dyDescent="0.25">
      <c r="A6323" t="s">
        <v>17</v>
      </c>
      <c r="B6323" t="s">
        <v>18</v>
      </c>
      <c r="C6323" s="1">
        <v>45709</v>
      </c>
      <c r="D6323" s="1">
        <v>45757</v>
      </c>
      <c r="E6323" s="2">
        <f t="shared" si="98"/>
        <v>48</v>
      </c>
    </row>
    <row r="6324" spans="1:5" x14ac:dyDescent="0.25">
      <c r="A6324" t="s">
        <v>28</v>
      </c>
      <c r="B6324" t="s">
        <v>18</v>
      </c>
      <c r="C6324" s="1">
        <v>45883.958333333343</v>
      </c>
      <c r="D6324" s="1">
        <v>45955.333333333343</v>
      </c>
      <c r="E6324" s="2">
        <f t="shared" si="98"/>
        <v>71.375</v>
      </c>
    </row>
    <row r="6325" spans="1:5" x14ac:dyDescent="0.25">
      <c r="A6325" t="s">
        <v>6</v>
      </c>
      <c r="B6325" t="s">
        <v>8</v>
      </c>
      <c r="C6325" s="1">
        <v>45702.237500000003</v>
      </c>
      <c r="D6325" s="1">
        <v>45742.319444444453</v>
      </c>
      <c r="E6325" s="2">
        <f t="shared" si="98"/>
        <v>40.081944444449618</v>
      </c>
    </row>
    <row r="6326" spans="1:5" x14ac:dyDescent="0.25">
      <c r="A6326" t="s">
        <v>10</v>
      </c>
      <c r="B6326" t="s">
        <v>8</v>
      </c>
      <c r="C6326" s="1">
        <v>46133.75</v>
      </c>
      <c r="D6326" s="1">
        <v>46153.31527777778</v>
      </c>
      <c r="E6326" s="2">
        <f t="shared" si="98"/>
        <v>19.565277777779556</v>
      </c>
    </row>
    <row r="6327" spans="1:5" x14ac:dyDescent="0.25">
      <c r="A6327" t="s">
        <v>11</v>
      </c>
      <c r="B6327" t="s">
        <v>21</v>
      </c>
      <c r="C6327" s="1">
        <v>46185.310416666667</v>
      </c>
      <c r="D6327" s="1">
        <v>46197.404166666667</v>
      </c>
      <c r="E6327" s="2">
        <f t="shared" si="98"/>
        <v>12.09375</v>
      </c>
    </row>
    <row r="6328" spans="1:5" x14ac:dyDescent="0.25">
      <c r="A6328" t="s">
        <v>7</v>
      </c>
      <c r="B6328" t="s">
        <v>11</v>
      </c>
      <c r="C6328" s="1">
        <v>45751.84375</v>
      </c>
      <c r="D6328" s="1">
        <v>45840.291666666657</v>
      </c>
      <c r="E6328" s="2">
        <f t="shared" si="98"/>
        <v>88.447916666656965</v>
      </c>
    </row>
    <row r="6329" spans="1:5" x14ac:dyDescent="0.25">
      <c r="A6329" t="s">
        <v>12</v>
      </c>
      <c r="B6329" t="s">
        <v>18</v>
      </c>
      <c r="C6329" s="1">
        <v>45951.631944444453</v>
      </c>
      <c r="D6329" s="1">
        <v>46008.915277777778</v>
      </c>
      <c r="E6329" s="2">
        <f t="shared" si="98"/>
        <v>57.283333333325572</v>
      </c>
    </row>
    <row r="6330" spans="1:5" x14ac:dyDescent="0.25">
      <c r="A6330" t="s">
        <v>10</v>
      </c>
      <c r="B6330" t="s">
        <v>8</v>
      </c>
      <c r="C6330" s="1">
        <v>45951.932638888888</v>
      </c>
      <c r="D6330" s="1">
        <v>45978</v>
      </c>
      <c r="E6330" s="2">
        <f t="shared" si="98"/>
        <v>26.067361111112405</v>
      </c>
    </row>
    <row r="6331" spans="1:5" x14ac:dyDescent="0.25">
      <c r="A6331" t="s">
        <v>18</v>
      </c>
      <c r="B6331" t="s">
        <v>8</v>
      </c>
      <c r="C6331" s="1">
        <v>46063.429861111108</v>
      </c>
      <c r="D6331" s="1">
        <v>46092.381944444453</v>
      </c>
      <c r="E6331" s="2">
        <f t="shared" si="98"/>
        <v>28.95208333334449</v>
      </c>
    </row>
    <row r="6332" spans="1:5" x14ac:dyDescent="0.25">
      <c r="A6332" t="s">
        <v>8</v>
      </c>
      <c r="B6332" t="s">
        <v>18</v>
      </c>
      <c r="C6332" s="1">
        <v>46121.831250000003</v>
      </c>
      <c r="D6332" s="1">
        <v>46157.072222222218</v>
      </c>
      <c r="E6332" s="2">
        <f t="shared" si="98"/>
        <v>35.240972222214623</v>
      </c>
    </row>
    <row r="6333" spans="1:5" x14ac:dyDescent="0.25">
      <c r="A6333" t="s">
        <v>5</v>
      </c>
      <c r="B6333" t="s">
        <v>8</v>
      </c>
      <c r="C6333" s="1">
        <v>46128.754166666673</v>
      </c>
      <c r="D6333" s="1">
        <v>46162.866666666669</v>
      </c>
      <c r="E6333" s="2">
        <f t="shared" si="98"/>
        <v>34.112499999995634</v>
      </c>
    </row>
    <row r="6334" spans="1:5" x14ac:dyDescent="0.25">
      <c r="A6334" t="s">
        <v>7</v>
      </c>
      <c r="B6334" t="s">
        <v>8</v>
      </c>
      <c r="C6334" s="1">
        <v>45785.595833333333</v>
      </c>
      <c r="D6334" s="1">
        <v>45818.433333333327</v>
      </c>
      <c r="E6334" s="2">
        <f t="shared" si="98"/>
        <v>32.837499999994179</v>
      </c>
    </row>
    <row r="6335" spans="1:5" x14ac:dyDescent="0.25">
      <c r="A6335" t="s">
        <v>5</v>
      </c>
      <c r="B6335" t="s">
        <v>8</v>
      </c>
      <c r="C6335" s="1">
        <v>46018.725694444453</v>
      </c>
      <c r="D6335" s="1">
        <v>46071.058333333327</v>
      </c>
      <c r="E6335" s="2">
        <f t="shared" si="98"/>
        <v>52.332638888874499</v>
      </c>
    </row>
    <row r="6336" spans="1:5" x14ac:dyDescent="0.25">
      <c r="A6336" t="s">
        <v>5</v>
      </c>
      <c r="B6336" t="s">
        <v>8</v>
      </c>
      <c r="C6336" s="1">
        <v>46113.60833333333</v>
      </c>
      <c r="D6336" s="1">
        <v>46155.262499999997</v>
      </c>
      <c r="E6336" s="2">
        <f t="shared" si="98"/>
        <v>41.654166666667152</v>
      </c>
    </row>
    <row r="6337" spans="1:5" x14ac:dyDescent="0.25">
      <c r="A6337" t="s">
        <v>7</v>
      </c>
      <c r="B6337" t="s">
        <v>8</v>
      </c>
      <c r="C6337" s="1">
        <v>45847.879166666673</v>
      </c>
      <c r="D6337" s="1">
        <v>45910.25</v>
      </c>
      <c r="E6337" s="2">
        <f t="shared" si="98"/>
        <v>62.370833333327028</v>
      </c>
    </row>
    <row r="6338" spans="1:5" x14ac:dyDescent="0.25">
      <c r="A6338" t="s">
        <v>5</v>
      </c>
      <c r="B6338" t="s">
        <v>8</v>
      </c>
      <c r="C6338" s="1">
        <v>46078.916666666657</v>
      </c>
      <c r="D6338" s="1">
        <v>46113.395833333343</v>
      </c>
      <c r="E6338" s="2">
        <f t="shared" ref="E6338:E6401" si="99">D6338-C6338</f>
        <v>34.479166666686069</v>
      </c>
    </row>
    <row r="6339" spans="1:5" x14ac:dyDescent="0.25">
      <c r="A6339" t="s">
        <v>7</v>
      </c>
      <c r="B6339" t="s">
        <v>8</v>
      </c>
      <c r="C6339" s="1">
        <v>45920.587500000001</v>
      </c>
      <c r="D6339" s="1">
        <v>45965.662499999999</v>
      </c>
      <c r="E6339" s="2">
        <f t="shared" si="99"/>
        <v>45.07499999999709</v>
      </c>
    </row>
    <row r="6340" spans="1:5" x14ac:dyDescent="0.25">
      <c r="A6340" t="s">
        <v>22</v>
      </c>
      <c r="B6340" t="s">
        <v>19</v>
      </c>
      <c r="C6340" s="1">
        <v>45953.913090277783</v>
      </c>
      <c r="D6340" s="1">
        <v>46002.550821759258</v>
      </c>
      <c r="E6340" s="2">
        <f t="shared" si="99"/>
        <v>48.637731481474475</v>
      </c>
    </row>
    <row r="6341" spans="1:5" x14ac:dyDescent="0.25">
      <c r="A6341" t="s">
        <v>7</v>
      </c>
      <c r="B6341" t="s">
        <v>8</v>
      </c>
      <c r="C6341" s="1">
        <v>45792.854166666657</v>
      </c>
      <c r="D6341" s="1">
        <v>45839.3125</v>
      </c>
      <c r="E6341" s="2">
        <f t="shared" si="99"/>
        <v>46.458333333343035</v>
      </c>
    </row>
    <row r="6342" spans="1:5" x14ac:dyDescent="0.25">
      <c r="A6342" t="s">
        <v>5</v>
      </c>
      <c r="B6342" t="s">
        <v>8</v>
      </c>
      <c r="C6342" s="1">
        <v>46115.291666666657</v>
      </c>
      <c r="D6342" s="1">
        <v>46188.845833333333</v>
      </c>
      <c r="E6342" s="2">
        <f t="shared" si="99"/>
        <v>73.554166666675883</v>
      </c>
    </row>
    <row r="6343" spans="1:5" x14ac:dyDescent="0.25">
      <c r="A6343" t="s">
        <v>7</v>
      </c>
      <c r="B6343" t="s">
        <v>8</v>
      </c>
      <c r="C6343" s="1">
        <v>45847.879166666673</v>
      </c>
      <c r="D6343" s="1">
        <v>45910.25</v>
      </c>
      <c r="E6343" s="2">
        <f t="shared" si="99"/>
        <v>62.370833333327028</v>
      </c>
    </row>
    <row r="6344" spans="1:5" x14ac:dyDescent="0.25">
      <c r="A6344" t="s">
        <v>7</v>
      </c>
      <c r="B6344" t="s">
        <v>8</v>
      </c>
      <c r="C6344" s="1">
        <v>45931.208333333343</v>
      </c>
      <c r="D6344" s="1">
        <v>45966.508333333331</v>
      </c>
      <c r="E6344" s="2">
        <f t="shared" si="99"/>
        <v>35.299999999988358</v>
      </c>
    </row>
    <row r="6345" spans="1:5" x14ac:dyDescent="0.25">
      <c r="A6345" t="s">
        <v>7</v>
      </c>
      <c r="B6345" t="s">
        <v>8</v>
      </c>
      <c r="C6345" s="1">
        <v>45920.587500000001</v>
      </c>
      <c r="D6345" s="1">
        <v>45965.662499999999</v>
      </c>
      <c r="E6345" s="2">
        <f t="shared" si="99"/>
        <v>45.07499999999709</v>
      </c>
    </row>
    <row r="6346" spans="1:5" x14ac:dyDescent="0.25">
      <c r="A6346" t="s">
        <v>15</v>
      </c>
      <c r="B6346" t="s">
        <v>13</v>
      </c>
      <c r="C6346" s="1">
        <v>46113.662499999999</v>
      </c>
      <c r="D6346" s="1">
        <v>46159.270833333343</v>
      </c>
      <c r="E6346" s="2">
        <f t="shared" si="99"/>
        <v>45.60833333334449</v>
      </c>
    </row>
    <row r="6347" spans="1:5" x14ac:dyDescent="0.25">
      <c r="A6347" t="s">
        <v>7</v>
      </c>
      <c r="B6347" t="s">
        <v>8</v>
      </c>
      <c r="C6347" s="1">
        <v>45834.541666666657</v>
      </c>
      <c r="D6347" s="1">
        <v>45885.791666666657</v>
      </c>
      <c r="E6347" s="2">
        <f t="shared" si="99"/>
        <v>51.25</v>
      </c>
    </row>
    <row r="6348" spans="1:5" x14ac:dyDescent="0.25">
      <c r="A6348" t="s">
        <v>22</v>
      </c>
      <c r="B6348" t="s">
        <v>19</v>
      </c>
      <c r="C6348" s="1">
        <v>45873.851388888892</v>
      </c>
      <c r="D6348" s="1">
        <v>45931.597916666673</v>
      </c>
      <c r="E6348" s="2">
        <f t="shared" si="99"/>
        <v>57.746527777781012</v>
      </c>
    </row>
    <row r="6349" spans="1:5" x14ac:dyDescent="0.25">
      <c r="A6349" t="s">
        <v>13</v>
      </c>
      <c r="B6349" t="s">
        <v>8</v>
      </c>
      <c r="C6349" s="1">
        <v>45929.5</v>
      </c>
      <c r="D6349" s="1">
        <v>45957.322222222218</v>
      </c>
      <c r="E6349" s="2">
        <f t="shared" si="99"/>
        <v>27.822222222217533</v>
      </c>
    </row>
    <row r="6350" spans="1:5" x14ac:dyDescent="0.25">
      <c r="A6350" t="s">
        <v>7</v>
      </c>
      <c r="B6350" t="s">
        <v>8</v>
      </c>
      <c r="C6350" s="1">
        <v>45911.071527777778</v>
      </c>
      <c r="D6350" s="1">
        <v>45948.104166666657</v>
      </c>
      <c r="E6350" s="2">
        <f t="shared" si="99"/>
        <v>37.032638888878864</v>
      </c>
    </row>
    <row r="6351" spans="1:5" x14ac:dyDescent="0.25">
      <c r="A6351" t="s">
        <v>15</v>
      </c>
      <c r="B6351" t="s">
        <v>13</v>
      </c>
      <c r="C6351" s="1">
        <v>46114.436111111107</v>
      </c>
      <c r="D6351" s="1">
        <v>46152.242361111108</v>
      </c>
      <c r="E6351" s="2">
        <f t="shared" si="99"/>
        <v>37.806250000001455</v>
      </c>
    </row>
    <row r="6352" spans="1:5" x14ac:dyDescent="0.25">
      <c r="A6352" t="s">
        <v>34</v>
      </c>
      <c r="B6352" t="s">
        <v>13</v>
      </c>
      <c r="C6352" s="1">
        <v>46079.626388888893</v>
      </c>
      <c r="D6352" s="1">
        <v>46113.236805555563</v>
      </c>
      <c r="E6352" s="2">
        <f t="shared" si="99"/>
        <v>33.610416666670062</v>
      </c>
    </row>
    <row r="6353" spans="1:5" x14ac:dyDescent="0.25">
      <c r="A6353" t="s">
        <v>41</v>
      </c>
      <c r="B6353" t="s">
        <v>8</v>
      </c>
      <c r="C6353" s="1">
        <v>46187.908333333333</v>
      </c>
      <c r="D6353" s="1">
        <v>46225.791666666657</v>
      </c>
      <c r="E6353" s="2">
        <f t="shared" si="99"/>
        <v>37.883333333324117</v>
      </c>
    </row>
    <row r="6354" spans="1:5" x14ac:dyDescent="0.25">
      <c r="A6354" t="s">
        <v>41</v>
      </c>
      <c r="B6354" t="s">
        <v>8</v>
      </c>
      <c r="C6354" s="1">
        <v>46209.07708333333</v>
      </c>
      <c r="D6354" s="1">
        <v>46249.788194444453</v>
      </c>
      <c r="E6354" s="2">
        <f t="shared" si="99"/>
        <v>40.711111111122591</v>
      </c>
    </row>
    <row r="6355" spans="1:5" x14ac:dyDescent="0.25">
      <c r="A6355" t="s">
        <v>41</v>
      </c>
      <c r="B6355" t="s">
        <v>8</v>
      </c>
      <c r="C6355" s="1">
        <v>46163.695138888892</v>
      </c>
      <c r="D6355" s="1">
        <v>46203.938194444447</v>
      </c>
      <c r="E6355" s="2">
        <f t="shared" si="99"/>
        <v>40.243055555554747</v>
      </c>
    </row>
    <row r="6356" spans="1:5" x14ac:dyDescent="0.25">
      <c r="A6356" t="s">
        <v>22</v>
      </c>
      <c r="B6356" t="s">
        <v>14</v>
      </c>
      <c r="C6356" s="1">
        <v>46036.670138888891</v>
      </c>
      <c r="D6356" s="1">
        <v>46155.262499999997</v>
      </c>
      <c r="E6356" s="2">
        <f t="shared" si="99"/>
        <v>118.59236111110658</v>
      </c>
    </row>
    <row r="6357" spans="1:5" x14ac:dyDescent="0.25">
      <c r="A6357" t="s">
        <v>22</v>
      </c>
      <c r="B6357" t="s">
        <v>14</v>
      </c>
      <c r="C6357" s="1">
        <v>46027.677083333343</v>
      </c>
      <c r="D6357" s="1">
        <v>46088.996527777781</v>
      </c>
      <c r="E6357" s="2">
        <f t="shared" si="99"/>
        <v>61.319444444437977</v>
      </c>
    </row>
    <row r="6358" spans="1:5" x14ac:dyDescent="0.25">
      <c r="A6358" t="s">
        <v>41</v>
      </c>
      <c r="B6358" t="s">
        <v>8</v>
      </c>
      <c r="C6358" s="1">
        <v>46193.822916666657</v>
      </c>
      <c r="D6358" s="1">
        <v>46233.649305555547</v>
      </c>
      <c r="E6358" s="2">
        <f t="shared" si="99"/>
        <v>39.826388888890506</v>
      </c>
    </row>
    <row r="6359" spans="1:5" x14ac:dyDescent="0.25">
      <c r="A6359" t="s">
        <v>7</v>
      </c>
      <c r="B6359" t="s">
        <v>8</v>
      </c>
      <c r="C6359" s="1">
        <v>45807.791666666657</v>
      </c>
      <c r="D6359" s="1">
        <v>45853.816666666673</v>
      </c>
      <c r="E6359" s="2">
        <f t="shared" si="99"/>
        <v>46.025000000016007</v>
      </c>
    </row>
    <row r="6360" spans="1:5" x14ac:dyDescent="0.25">
      <c r="A6360" t="s">
        <v>7</v>
      </c>
      <c r="B6360" t="s">
        <v>8</v>
      </c>
      <c r="C6360" s="1">
        <v>45940.345833333333</v>
      </c>
      <c r="D6360" s="1">
        <v>45989.166666666657</v>
      </c>
      <c r="E6360" s="2">
        <f t="shared" si="99"/>
        <v>48.820833333324117</v>
      </c>
    </row>
    <row r="6361" spans="1:5" x14ac:dyDescent="0.25">
      <c r="A6361" t="s">
        <v>11</v>
      </c>
      <c r="B6361" t="s">
        <v>37</v>
      </c>
      <c r="C6361" s="1">
        <v>45708.521840277783</v>
      </c>
      <c r="D6361" s="1">
        <v>45728.283333333333</v>
      </c>
      <c r="E6361" s="2">
        <f t="shared" si="99"/>
        <v>19.761493055550091</v>
      </c>
    </row>
    <row r="6362" spans="1:5" x14ac:dyDescent="0.25">
      <c r="A6362" t="s">
        <v>7</v>
      </c>
      <c r="B6362" t="s">
        <v>8</v>
      </c>
      <c r="C6362" s="1">
        <v>45792.875</v>
      </c>
      <c r="D6362" s="1">
        <v>45839.333333333343</v>
      </c>
      <c r="E6362" s="2">
        <f t="shared" si="99"/>
        <v>46.458333333343035</v>
      </c>
    </row>
    <row r="6363" spans="1:5" x14ac:dyDescent="0.25">
      <c r="A6363" t="s">
        <v>5</v>
      </c>
      <c r="B6363" t="s">
        <v>8</v>
      </c>
      <c r="C6363" s="1">
        <v>46121.404166666667</v>
      </c>
      <c r="D6363" s="1">
        <v>46162.866666666669</v>
      </c>
      <c r="E6363" s="2">
        <f t="shared" si="99"/>
        <v>41.462500000001455</v>
      </c>
    </row>
    <row r="6364" spans="1:5" x14ac:dyDescent="0.25">
      <c r="A6364" t="s">
        <v>7</v>
      </c>
      <c r="B6364" t="s">
        <v>8</v>
      </c>
      <c r="C6364" s="1">
        <v>45792.854166666657</v>
      </c>
      <c r="D6364" s="1">
        <v>45839.3125</v>
      </c>
      <c r="E6364" s="2">
        <f t="shared" si="99"/>
        <v>46.458333333343035</v>
      </c>
    </row>
    <row r="6365" spans="1:5" x14ac:dyDescent="0.25">
      <c r="A6365" t="s">
        <v>14</v>
      </c>
      <c r="B6365" t="s">
        <v>22</v>
      </c>
      <c r="C6365" s="1">
        <v>46160.434606481482</v>
      </c>
      <c r="D6365" s="1">
        <v>46211.320833333331</v>
      </c>
      <c r="E6365" s="2">
        <f t="shared" si="99"/>
        <v>50.886226851849642</v>
      </c>
    </row>
    <row r="6366" spans="1:5" x14ac:dyDescent="0.25">
      <c r="A6366" t="s">
        <v>28</v>
      </c>
      <c r="B6366" t="s">
        <v>30</v>
      </c>
      <c r="C6366" s="1">
        <v>45819.390972222223</v>
      </c>
      <c r="D6366" s="1">
        <v>45871.194444444453</v>
      </c>
      <c r="E6366" s="2">
        <f t="shared" si="99"/>
        <v>51.803472222229175</v>
      </c>
    </row>
    <row r="6367" spans="1:5" x14ac:dyDescent="0.25">
      <c r="A6367" t="s">
        <v>27</v>
      </c>
      <c r="B6367" t="s">
        <v>18</v>
      </c>
      <c r="C6367" s="1">
        <v>46045.083333333343</v>
      </c>
      <c r="D6367" s="1">
        <v>46100.083333333343</v>
      </c>
      <c r="E6367" s="2">
        <f t="shared" si="99"/>
        <v>55</v>
      </c>
    </row>
    <row r="6368" spans="1:5" x14ac:dyDescent="0.25">
      <c r="A6368" t="s">
        <v>12</v>
      </c>
      <c r="B6368" t="s">
        <v>8</v>
      </c>
      <c r="C6368" s="1">
        <v>46179</v>
      </c>
      <c r="D6368" s="1">
        <v>46222.083333333343</v>
      </c>
      <c r="E6368" s="2">
        <f t="shared" si="99"/>
        <v>43.083333333343035</v>
      </c>
    </row>
    <row r="6369" spans="1:5" x14ac:dyDescent="0.25">
      <c r="A6369" t="s">
        <v>22</v>
      </c>
      <c r="B6369" t="s">
        <v>19</v>
      </c>
      <c r="C6369" s="1">
        <v>45748.2</v>
      </c>
      <c r="D6369" s="1">
        <v>45816.841666666667</v>
      </c>
      <c r="E6369" s="2">
        <f t="shared" si="99"/>
        <v>68.641666666670062</v>
      </c>
    </row>
    <row r="6370" spans="1:5" x14ac:dyDescent="0.25">
      <c r="A6370" t="s">
        <v>5</v>
      </c>
      <c r="B6370" t="s">
        <v>8</v>
      </c>
      <c r="C6370" s="1">
        <v>46093.616666666669</v>
      </c>
      <c r="D6370" s="1">
        <v>46141.354166666657</v>
      </c>
      <c r="E6370" s="2">
        <f t="shared" si="99"/>
        <v>47.737499999988358</v>
      </c>
    </row>
    <row r="6371" spans="1:5" x14ac:dyDescent="0.25">
      <c r="A6371" t="s">
        <v>7</v>
      </c>
      <c r="B6371" t="s">
        <v>8</v>
      </c>
      <c r="C6371" s="1">
        <v>45891.60833333333</v>
      </c>
      <c r="D6371" s="1">
        <v>45938.662499999999</v>
      </c>
      <c r="E6371" s="2">
        <f t="shared" si="99"/>
        <v>47.054166666668607</v>
      </c>
    </row>
    <row r="6372" spans="1:5" x14ac:dyDescent="0.25">
      <c r="A6372" t="s">
        <v>6</v>
      </c>
      <c r="B6372" t="s">
        <v>8</v>
      </c>
      <c r="C6372" s="1">
        <v>45744.258333333331</v>
      </c>
      <c r="D6372" s="1">
        <v>45784.279861111107</v>
      </c>
      <c r="E6372" s="2">
        <f t="shared" si="99"/>
        <v>40.021527777775191</v>
      </c>
    </row>
    <row r="6373" spans="1:5" x14ac:dyDescent="0.25">
      <c r="A6373" t="s">
        <v>5</v>
      </c>
      <c r="B6373" t="s">
        <v>8</v>
      </c>
      <c r="C6373" s="1">
        <v>46025.436111111107</v>
      </c>
      <c r="D6373" s="1">
        <v>46071.058333333327</v>
      </c>
      <c r="E6373" s="2">
        <f t="shared" si="99"/>
        <v>45.622222222220444</v>
      </c>
    </row>
    <row r="6374" spans="1:5" x14ac:dyDescent="0.25">
      <c r="A6374" t="s">
        <v>11</v>
      </c>
      <c r="B6374" t="s">
        <v>37</v>
      </c>
      <c r="C6374" s="1">
        <v>45991.25</v>
      </c>
      <c r="D6374" s="1">
        <v>46006.245833333327</v>
      </c>
      <c r="E6374" s="2">
        <f t="shared" si="99"/>
        <v>14.995833333327028</v>
      </c>
    </row>
    <row r="6375" spans="1:5" x14ac:dyDescent="0.25">
      <c r="A6375" t="s">
        <v>42</v>
      </c>
      <c r="B6375" t="s">
        <v>19</v>
      </c>
      <c r="C6375" s="1">
        <v>45828.326701388891</v>
      </c>
      <c r="D6375" s="1">
        <v>45869.8125</v>
      </c>
      <c r="E6375" s="2">
        <f t="shared" si="99"/>
        <v>41.485798611109203</v>
      </c>
    </row>
    <row r="6376" spans="1:5" x14ac:dyDescent="0.25">
      <c r="A6376" t="s">
        <v>14</v>
      </c>
      <c r="B6376" t="s">
        <v>22</v>
      </c>
      <c r="C6376" s="1">
        <v>46060.165289351848</v>
      </c>
      <c r="D6376" s="1">
        <v>46100.311111111107</v>
      </c>
      <c r="E6376" s="2">
        <f t="shared" si="99"/>
        <v>40.145821759258979</v>
      </c>
    </row>
    <row r="6377" spans="1:5" x14ac:dyDescent="0.25">
      <c r="A6377" t="s">
        <v>11</v>
      </c>
      <c r="B6377" t="s">
        <v>21</v>
      </c>
      <c r="C6377" s="1">
        <v>45913.212500000001</v>
      </c>
      <c r="D6377" s="1">
        <v>45923.6</v>
      </c>
      <c r="E6377" s="2">
        <f t="shared" si="99"/>
        <v>10.38749999999709</v>
      </c>
    </row>
    <row r="6378" spans="1:5" x14ac:dyDescent="0.25">
      <c r="A6378" t="s">
        <v>27</v>
      </c>
      <c r="B6378" t="s">
        <v>8</v>
      </c>
      <c r="C6378" s="1">
        <v>45879.625</v>
      </c>
      <c r="D6378" s="1">
        <v>45928.208333333343</v>
      </c>
      <c r="E6378" s="2">
        <f t="shared" si="99"/>
        <v>48.583333333343035</v>
      </c>
    </row>
    <row r="6379" spans="1:5" x14ac:dyDescent="0.25">
      <c r="A6379" t="s">
        <v>11</v>
      </c>
      <c r="B6379" t="s">
        <v>37</v>
      </c>
      <c r="C6379" s="1">
        <v>46053.289583333331</v>
      </c>
      <c r="D6379" s="1">
        <v>46071.635416666657</v>
      </c>
      <c r="E6379" s="2">
        <f t="shared" si="99"/>
        <v>18.345833333325572</v>
      </c>
    </row>
    <row r="6380" spans="1:5" x14ac:dyDescent="0.25">
      <c r="A6380" t="s">
        <v>40</v>
      </c>
      <c r="B6380" t="s">
        <v>37</v>
      </c>
      <c r="C6380" s="1">
        <v>45717.002164351848</v>
      </c>
      <c r="D6380" s="1">
        <v>45728.283333333333</v>
      </c>
      <c r="E6380" s="2">
        <f t="shared" si="99"/>
        <v>11.28116898148437</v>
      </c>
    </row>
    <row r="6381" spans="1:5" x14ac:dyDescent="0.25">
      <c r="A6381" t="s">
        <v>16</v>
      </c>
      <c r="B6381" t="s">
        <v>8</v>
      </c>
      <c r="C6381" s="1">
        <v>45773.75</v>
      </c>
      <c r="D6381" s="1">
        <v>45830.208333333343</v>
      </c>
      <c r="E6381" s="2">
        <f t="shared" si="99"/>
        <v>56.458333333343035</v>
      </c>
    </row>
    <row r="6382" spans="1:5" x14ac:dyDescent="0.25">
      <c r="A6382" t="s">
        <v>28</v>
      </c>
      <c r="B6382" t="s">
        <v>13</v>
      </c>
      <c r="C6382" s="1">
        <v>46138.647222222222</v>
      </c>
      <c r="D6382" s="1">
        <v>46200.333333333343</v>
      </c>
      <c r="E6382" s="2">
        <f t="shared" si="99"/>
        <v>61.686111111121136</v>
      </c>
    </row>
    <row r="6383" spans="1:5" x14ac:dyDescent="0.25">
      <c r="A6383" t="s">
        <v>8</v>
      </c>
      <c r="B6383" t="s">
        <v>18</v>
      </c>
      <c r="C6383" s="1">
        <v>46227.745833333327</v>
      </c>
      <c r="D6383" s="1">
        <v>46269.7</v>
      </c>
      <c r="E6383" s="2">
        <f t="shared" si="99"/>
        <v>41.954166666670062</v>
      </c>
    </row>
    <row r="6384" spans="1:5" x14ac:dyDescent="0.25">
      <c r="A6384" t="s">
        <v>12</v>
      </c>
      <c r="B6384" t="s">
        <v>18</v>
      </c>
      <c r="C6384" s="1">
        <v>45889.784722222219</v>
      </c>
      <c r="D6384" s="1">
        <v>45964.081944444442</v>
      </c>
      <c r="E6384" s="2">
        <f t="shared" si="99"/>
        <v>74.297222222223354</v>
      </c>
    </row>
    <row r="6385" spans="1:5" x14ac:dyDescent="0.25">
      <c r="A6385" t="s">
        <v>8</v>
      </c>
      <c r="B6385" t="s">
        <v>18</v>
      </c>
      <c r="C6385" s="1">
        <v>46192.1875</v>
      </c>
      <c r="D6385" s="1">
        <v>46227.5</v>
      </c>
      <c r="E6385" s="2">
        <f t="shared" si="99"/>
        <v>35.3125</v>
      </c>
    </row>
    <row r="6386" spans="1:5" x14ac:dyDescent="0.25">
      <c r="A6386" t="s">
        <v>8</v>
      </c>
      <c r="B6386" t="s">
        <v>18</v>
      </c>
      <c r="C6386" s="1">
        <v>46162.799305555563</v>
      </c>
      <c r="D6386" s="1">
        <v>46210.020833333343</v>
      </c>
      <c r="E6386" s="2">
        <f t="shared" si="99"/>
        <v>47.221527777779556</v>
      </c>
    </row>
    <row r="6387" spans="1:5" x14ac:dyDescent="0.25">
      <c r="A6387" t="s">
        <v>20</v>
      </c>
      <c r="B6387" t="s">
        <v>8</v>
      </c>
      <c r="C6387" s="1">
        <v>46039.441666666673</v>
      </c>
      <c r="D6387" s="1">
        <v>46078.697916666657</v>
      </c>
      <c r="E6387" s="2">
        <f t="shared" si="99"/>
        <v>39.256249999983993</v>
      </c>
    </row>
    <row r="6388" spans="1:5" x14ac:dyDescent="0.25">
      <c r="A6388" t="s">
        <v>5</v>
      </c>
      <c r="B6388" t="s">
        <v>6</v>
      </c>
      <c r="C6388" s="1">
        <v>46128.754166666673</v>
      </c>
      <c r="D6388" s="1">
        <v>46184.75</v>
      </c>
      <c r="E6388" s="2">
        <f t="shared" si="99"/>
        <v>55.995833333327028</v>
      </c>
    </row>
    <row r="6389" spans="1:5" x14ac:dyDescent="0.25">
      <c r="A6389" t="s">
        <v>15</v>
      </c>
      <c r="B6389" t="s">
        <v>8</v>
      </c>
      <c r="C6389" s="1">
        <v>45874.927777777782</v>
      </c>
      <c r="D6389" s="1">
        <v>45923.416666666657</v>
      </c>
      <c r="E6389" s="2">
        <f t="shared" si="99"/>
        <v>48.488888888874499</v>
      </c>
    </row>
    <row r="6390" spans="1:5" x14ac:dyDescent="0.25">
      <c r="A6390" t="s">
        <v>15</v>
      </c>
      <c r="B6390" t="s">
        <v>38</v>
      </c>
      <c r="C6390" s="1">
        <v>46047.075694444437</v>
      </c>
      <c r="D6390" s="1">
        <v>46091.270833333343</v>
      </c>
      <c r="E6390" s="2">
        <f t="shared" si="99"/>
        <v>44.195138888906513</v>
      </c>
    </row>
    <row r="6391" spans="1:5" x14ac:dyDescent="0.25">
      <c r="A6391" t="s">
        <v>15</v>
      </c>
      <c r="B6391" t="s">
        <v>8</v>
      </c>
      <c r="C6391" s="1">
        <v>46128.64166666667</v>
      </c>
      <c r="D6391" s="1">
        <v>46175.798611111109</v>
      </c>
      <c r="E6391" s="2">
        <f t="shared" si="99"/>
        <v>47.156944444439432</v>
      </c>
    </row>
    <row r="6392" spans="1:5" x14ac:dyDescent="0.25">
      <c r="A6392" t="s">
        <v>15</v>
      </c>
      <c r="B6392" t="s">
        <v>8</v>
      </c>
      <c r="C6392" s="1">
        <v>45791.95</v>
      </c>
      <c r="D6392" s="1">
        <v>45873</v>
      </c>
      <c r="E6392" s="2">
        <f t="shared" si="99"/>
        <v>81.05000000000291</v>
      </c>
    </row>
    <row r="6393" spans="1:5" x14ac:dyDescent="0.25">
      <c r="A6393" t="s">
        <v>15</v>
      </c>
      <c r="B6393" t="s">
        <v>8</v>
      </c>
      <c r="C6393" s="1">
        <v>45889.688888888893</v>
      </c>
      <c r="D6393" s="1">
        <v>45928.208333333343</v>
      </c>
      <c r="E6393" s="2">
        <f t="shared" si="99"/>
        <v>38.519444444449618</v>
      </c>
    </row>
    <row r="6394" spans="1:5" x14ac:dyDescent="0.25">
      <c r="A6394" t="s">
        <v>15</v>
      </c>
      <c r="B6394" t="s">
        <v>8</v>
      </c>
      <c r="C6394" s="1">
        <v>46108.948611111111</v>
      </c>
      <c r="D6394" s="1">
        <v>46144.908333333333</v>
      </c>
      <c r="E6394" s="2">
        <f t="shared" si="99"/>
        <v>35.959722222221899</v>
      </c>
    </row>
    <row r="6395" spans="1:5" x14ac:dyDescent="0.25">
      <c r="A6395" t="s">
        <v>15</v>
      </c>
      <c r="B6395" t="s">
        <v>8</v>
      </c>
      <c r="C6395" s="1">
        <v>46031.183333333327</v>
      </c>
      <c r="D6395" s="1">
        <v>46074.836805555547</v>
      </c>
      <c r="E6395" s="2">
        <f t="shared" si="99"/>
        <v>43.653472222220444</v>
      </c>
    </row>
    <row r="6396" spans="1:5" x14ac:dyDescent="0.25">
      <c r="A6396" t="s">
        <v>15</v>
      </c>
      <c r="B6396" t="s">
        <v>8</v>
      </c>
      <c r="C6396" s="1">
        <v>45920.875</v>
      </c>
      <c r="D6396" s="1">
        <v>45970</v>
      </c>
      <c r="E6396" s="2">
        <f t="shared" si="99"/>
        <v>49.125</v>
      </c>
    </row>
    <row r="6397" spans="1:5" x14ac:dyDescent="0.25">
      <c r="A6397" t="s">
        <v>15</v>
      </c>
      <c r="B6397" t="s">
        <v>38</v>
      </c>
      <c r="C6397" s="1">
        <v>46218.13789351852</v>
      </c>
      <c r="D6397" s="1">
        <v>46274.261631944442</v>
      </c>
      <c r="E6397" s="2">
        <f t="shared" si="99"/>
        <v>56.123738425922056</v>
      </c>
    </row>
    <row r="6398" spans="1:5" x14ac:dyDescent="0.25">
      <c r="A6398" t="s">
        <v>15</v>
      </c>
      <c r="B6398" t="s">
        <v>8</v>
      </c>
      <c r="C6398" s="1">
        <v>45680.654166666667</v>
      </c>
      <c r="D6398" s="1">
        <v>45724.601388888892</v>
      </c>
      <c r="E6398" s="2">
        <f t="shared" si="99"/>
        <v>43.947222222224809</v>
      </c>
    </row>
    <row r="6399" spans="1:5" x14ac:dyDescent="0.25">
      <c r="A6399" t="s">
        <v>15</v>
      </c>
      <c r="B6399" t="s">
        <v>16</v>
      </c>
      <c r="C6399" s="1">
        <v>46144.999305555553</v>
      </c>
      <c r="D6399" s="1">
        <v>46157.333333333343</v>
      </c>
      <c r="E6399" s="2">
        <f t="shared" si="99"/>
        <v>12.334027777789743</v>
      </c>
    </row>
    <row r="6400" spans="1:5" x14ac:dyDescent="0.25">
      <c r="A6400" t="s">
        <v>15</v>
      </c>
      <c r="B6400" t="s">
        <v>38</v>
      </c>
      <c r="C6400" s="1">
        <v>46205.645833333343</v>
      </c>
      <c r="D6400" s="1">
        <v>46266.483865740738</v>
      </c>
      <c r="E6400" s="2">
        <f t="shared" si="99"/>
        <v>60.838032407395076</v>
      </c>
    </row>
    <row r="6401" spans="1:5" x14ac:dyDescent="0.25">
      <c r="A6401" t="s">
        <v>15</v>
      </c>
      <c r="B6401" t="s">
        <v>8</v>
      </c>
      <c r="C6401" s="1">
        <v>45858.856249999997</v>
      </c>
      <c r="D6401" s="1">
        <v>45901.583333333343</v>
      </c>
      <c r="E6401" s="2">
        <f t="shared" si="99"/>
        <v>42.727083333345945</v>
      </c>
    </row>
    <row r="6402" spans="1:5" x14ac:dyDescent="0.25">
      <c r="A6402" t="s">
        <v>15</v>
      </c>
      <c r="B6402" t="s">
        <v>38</v>
      </c>
      <c r="C6402" s="1">
        <v>46205.645833333343</v>
      </c>
      <c r="D6402" s="1">
        <v>46266.483865740738</v>
      </c>
      <c r="E6402" s="2">
        <f t="shared" ref="E6402:E6465" si="100">D6402-C6402</f>
        <v>60.838032407395076</v>
      </c>
    </row>
    <row r="6403" spans="1:5" x14ac:dyDescent="0.25">
      <c r="A6403" t="s">
        <v>15</v>
      </c>
      <c r="B6403" t="s">
        <v>38</v>
      </c>
      <c r="C6403" s="1">
        <v>46218.13789351852</v>
      </c>
      <c r="D6403" s="1">
        <v>46274.261631944442</v>
      </c>
      <c r="E6403" s="2">
        <f t="shared" si="100"/>
        <v>56.123738425922056</v>
      </c>
    </row>
    <row r="6404" spans="1:5" x14ac:dyDescent="0.25">
      <c r="A6404" t="s">
        <v>15</v>
      </c>
      <c r="B6404" t="s">
        <v>8</v>
      </c>
      <c r="C6404" s="1">
        <v>46031.183333333327</v>
      </c>
      <c r="D6404" s="1">
        <v>46074.836805555547</v>
      </c>
      <c r="E6404" s="2">
        <f t="shared" si="100"/>
        <v>43.653472222220444</v>
      </c>
    </row>
    <row r="6405" spans="1:5" x14ac:dyDescent="0.25">
      <c r="A6405" t="s">
        <v>15</v>
      </c>
      <c r="B6405" t="s">
        <v>38</v>
      </c>
      <c r="C6405" s="1">
        <v>46095.359722222223</v>
      </c>
      <c r="D6405" s="1">
        <v>46139.943055555559</v>
      </c>
      <c r="E6405" s="2">
        <f t="shared" si="100"/>
        <v>44.583333333335759</v>
      </c>
    </row>
    <row r="6406" spans="1:5" x14ac:dyDescent="0.25">
      <c r="A6406" t="s">
        <v>15</v>
      </c>
      <c r="B6406" t="s">
        <v>38</v>
      </c>
      <c r="C6406" s="1">
        <v>46218.13789351852</v>
      </c>
      <c r="D6406" s="1">
        <v>46274.261631944442</v>
      </c>
      <c r="E6406" s="2">
        <f t="shared" si="100"/>
        <v>56.123738425922056</v>
      </c>
    </row>
    <row r="6407" spans="1:5" x14ac:dyDescent="0.25">
      <c r="A6407" t="s">
        <v>15</v>
      </c>
      <c r="B6407" t="s">
        <v>38</v>
      </c>
      <c r="C6407" s="1">
        <v>46205.645833333343</v>
      </c>
      <c r="D6407" s="1">
        <v>46266.483865740738</v>
      </c>
      <c r="E6407" s="2">
        <f t="shared" si="100"/>
        <v>60.838032407395076</v>
      </c>
    </row>
    <row r="6408" spans="1:5" x14ac:dyDescent="0.25">
      <c r="A6408" t="s">
        <v>15</v>
      </c>
      <c r="B6408" t="s">
        <v>38</v>
      </c>
      <c r="C6408" s="1">
        <v>46205.640636574077</v>
      </c>
      <c r="D6408" s="1">
        <v>46266.483865740738</v>
      </c>
      <c r="E6408" s="2">
        <f t="shared" si="100"/>
        <v>60.843229166661331</v>
      </c>
    </row>
    <row r="6409" spans="1:5" x14ac:dyDescent="0.25">
      <c r="A6409" t="s">
        <v>15</v>
      </c>
      <c r="B6409" t="s">
        <v>8</v>
      </c>
      <c r="C6409" s="1">
        <v>45944.345833333333</v>
      </c>
      <c r="D6409" s="1">
        <v>45991</v>
      </c>
      <c r="E6409" s="2">
        <f t="shared" si="100"/>
        <v>46.654166666667152</v>
      </c>
    </row>
    <row r="6410" spans="1:5" x14ac:dyDescent="0.25">
      <c r="A6410" t="s">
        <v>7</v>
      </c>
      <c r="B6410" t="s">
        <v>8</v>
      </c>
      <c r="C6410" s="1">
        <v>45822.8</v>
      </c>
      <c r="D6410" s="1">
        <v>45875.612500000003</v>
      </c>
      <c r="E6410" s="2">
        <f t="shared" si="100"/>
        <v>52.8125</v>
      </c>
    </row>
    <row r="6411" spans="1:5" x14ac:dyDescent="0.25">
      <c r="A6411" t="s">
        <v>12</v>
      </c>
      <c r="B6411" t="s">
        <v>13</v>
      </c>
      <c r="C6411" s="1">
        <v>45865.176388888889</v>
      </c>
      <c r="D6411" s="1">
        <v>45912.715277777781</v>
      </c>
      <c r="E6411" s="2">
        <f t="shared" si="100"/>
        <v>47.538888888891961</v>
      </c>
    </row>
    <row r="6412" spans="1:5" x14ac:dyDescent="0.25">
      <c r="A6412" t="s">
        <v>7</v>
      </c>
      <c r="B6412" t="s">
        <v>11</v>
      </c>
      <c r="C6412" s="1">
        <v>46050.741666666669</v>
      </c>
      <c r="D6412" s="1">
        <v>46133.220833333333</v>
      </c>
      <c r="E6412" s="2">
        <f t="shared" si="100"/>
        <v>82.479166666664241</v>
      </c>
    </row>
    <row r="6413" spans="1:5" x14ac:dyDescent="0.25">
      <c r="A6413" t="s">
        <v>5</v>
      </c>
      <c r="B6413" t="s">
        <v>8</v>
      </c>
      <c r="C6413" s="1">
        <v>46049.5</v>
      </c>
      <c r="D6413" s="1">
        <v>46091.345833333333</v>
      </c>
      <c r="E6413" s="2">
        <f t="shared" si="100"/>
        <v>41.845833333332848</v>
      </c>
    </row>
    <row r="6414" spans="1:5" x14ac:dyDescent="0.25">
      <c r="A6414" t="s">
        <v>7</v>
      </c>
      <c r="B6414" t="s">
        <v>8</v>
      </c>
      <c r="C6414" s="1">
        <v>45808.775000000001</v>
      </c>
      <c r="D6414" s="1">
        <v>45853.816666666673</v>
      </c>
      <c r="E6414" s="2">
        <f t="shared" si="100"/>
        <v>45.041666666671517</v>
      </c>
    </row>
    <row r="6415" spans="1:5" x14ac:dyDescent="0.25">
      <c r="A6415" t="s">
        <v>5</v>
      </c>
      <c r="B6415" t="s">
        <v>8</v>
      </c>
      <c r="C6415" s="1">
        <v>45945.658333333333</v>
      </c>
      <c r="D6415" s="1">
        <v>45993.345833333333</v>
      </c>
      <c r="E6415" s="2">
        <f t="shared" si="100"/>
        <v>47.6875</v>
      </c>
    </row>
    <row r="6416" spans="1:5" x14ac:dyDescent="0.25">
      <c r="A6416" t="s">
        <v>10</v>
      </c>
      <c r="B6416" t="s">
        <v>8</v>
      </c>
      <c r="C6416" s="1">
        <v>45951.932638888888</v>
      </c>
      <c r="D6416" s="1">
        <v>45978</v>
      </c>
      <c r="E6416" s="2">
        <f t="shared" si="100"/>
        <v>26.067361111112405</v>
      </c>
    </row>
    <row r="6417" spans="1:5" x14ac:dyDescent="0.25">
      <c r="A6417" t="s">
        <v>28</v>
      </c>
      <c r="B6417" t="s">
        <v>46</v>
      </c>
      <c r="C6417" s="1">
        <v>45873.162499999999</v>
      </c>
      <c r="D6417" s="1">
        <v>45919.411111111112</v>
      </c>
      <c r="E6417" s="2">
        <f t="shared" si="100"/>
        <v>46.24861111111386</v>
      </c>
    </row>
    <row r="6418" spans="1:5" x14ac:dyDescent="0.25">
      <c r="A6418" t="s">
        <v>5</v>
      </c>
      <c r="B6418" t="s">
        <v>8</v>
      </c>
      <c r="C6418" s="1">
        <v>46078.916666666657</v>
      </c>
      <c r="D6418" s="1">
        <v>46113.395833333343</v>
      </c>
      <c r="E6418" s="2">
        <f t="shared" si="100"/>
        <v>34.479166666686069</v>
      </c>
    </row>
    <row r="6419" spans="1:5" x14ac:dyDescent="0.25">
      <c r="A6419" t="s">
        <v>7</v>
      </c>
      <c r="B6419" t="s">
        <v>8</v>
      </c>
      <c r="C6419" s="1">
        <v>45911.059027777781</v>
      </c>
      <c r="D6419" s="1">
        <v>45948.104166666657</v>
      </c>
      <c r="E6419" s="2">
        <f t="shared" si="100"/>
        <v>37.045138888875954</v>
      </c>
    </row>
    <row r="6420" spans="1:5" x14ac:dyDescent="0.25">
      <c r="A6420" t="s">
        <v>5</v>
      </c>
      <c r="B6420" t="s">
        <v>8</v>
      </c>
      <c r="C6420" s="1">
        <v>46093.616666666669</v>
      </c>
      <c r="D6420" s="1">
        <v>46141.354166666657</v>
      </c>
      <c r="E6420" s="2">
        <f t="shared" si="100"/>
        <v>47.737499999988358</v>
      </c>
    </row>
    <row r="6421" spans="1:5" x14ac:dyDescent="0.25">
      <c r="A6421" t="s">
        <v>22</v>
      </c>
      <c r="B6421" t="s">
        <v>51</v>
      </c>
      <c r="C6421" s="1">
        <v>45918.582638888889</v>
      </c>
      <c r="D6421" s="1">
        <v>45978.011805555558</v>
      </c>
      <c r="E6421" s="2">
        <f t="shared" si="100"/>
        <v>59.429166666668607</v>
      </c>
    </row>
    <row r="6422" spans="1:5" x14ac:dyDescent="0.25">
      <c r="A6422" t="s">
        <v>5</v>
      </c>
      <c r="B6422" t="s">
        <v>8</v>
      </c>
      <c r="C6422" s="1">
        <v>46028.258333333331</v>
      </c>
      <c r="D6422" s="1">
        <v>46071.058333333327</v>
      </c>
      <c r="E6422" s="2">
        <f t="shared" si="100"/>
        <v>42.799999999995634</v>
      </c>
    </row>
    <row r="6423" spans="1:5" x14ac:dyDescent="0.25">
      <c r="A6423" t="s">
        <v>5</v>
      </c>
      <c r="B6423" t="s">
        <v>8</v>
      </c>
      <c r="C6423" s="1">
        <v>46011.283333333333</v>
      </c>
      <c r="D6423" s="1">
        <v>46047.712500000001</v>
      </c>
      <c r="E6423" s="2">
        <f t="shared" si="100"/>
        <v>36.429166666668607</v>
      </c>
    </row>
    <row r="6424" spans="1:5" x14ac:dyDescent="0.25">
      <c r="A6424" t="s">
        <v>15</v>
      </c>
      <c r="B6424" t="s">
        <v>13</v>
      </c>
      <c r="C6424" s="1">
        <v>45798.966666666667</v>
      </c>
      <c r="D6424" s="1">
        <v>45836.48333333333</v>
      </c>
      <c r="E6424" s="2">
        <f t="shared" si="100"/>
        <v>37.516666666662786</v>
      </c>
    </row>
    <row r="6425" spans="1:5" x14ac:dyDescent="0.25">
      <c r="A6425" t="s">
        <v>48</v>
      </c>
      <c r="B6425" t="s">
        <v>12</v>
      </c>
      <c r="C6425" s="1">
        <v>46066.07916666667</v>
      </c>
      <c r="D6425" s="1">
        <v>46134.0625</v>
      </c>
      <c r="E6425" s="2">
        <f t="shared" si="100"/>
        <v>67.983333333329938</v>
      </c>
    </row>
    <row r="6426" spans="1:5" x14ac:dyDescent="0.25">
      <c r="A6426" t="s">
        <v>5</v>
      </c>
      <c r="B6426" t="s">
        <v>8</v>
      </c>
      <c r="C6426" s="1">
        <v>45735.674305555563</v>
      </c>
      <c r="D6426" s="1">
        <v>45764.501828703702</v>
      </c>
      <c r="E6426" s="2">
        <f t="shared" si="100"/>
        <v>28.827523148138425</v>
      </c>
    </row>
    <row r="6427" spans="1:5" x14ac:dyDescent="0.25">
      <c r="A6427" t="s">
        <v>5</v>
      </c>
      <c r="B6427" t="s">
        <v>55</v>
      </c>
      <c r="C6427" s="1">
        <v>45707.716666666667</v>
      </c>
      <c r="D6427" s="1">
        <v>45735.98541666667</v>
      </c>
      <c r="E6427" s="2">
        <f t="shared" si="100"/>
        <v>28.26875000000291</v>
      </c>
    </row>
    <row r="6428" spans="1:5" x14ac:dyDescent="0.25">
      <c r="A6428" t="s">
        <v>16</v>
      </c>
      <c r="B6428" t="s">
        <v>13</v>
      </c>
      <c r="C6428" s="1">
        <v>45714.612500000003</v>
      </c>
      <c r="D6428" s="1">
        <v>45758</v>
      </c>
      <c r="E6428" s="2">
        <f t="shared" si="100"/>
        <v>43.38749999999709</v>
      </c>
    </row>
    <row r="6429" spans="1:5" x14ac:dyDescent="0.25">
      <c r="A6429" t="s">
        <v>7</v>
      </c>
      <c r="B6429" t="s">
        <v>11</v>
      </c>
      <c r="C6429" s="1">
        <v>46005.17083333333</v>
      </c>
      <c r="D6429" s="1">
        <v>46092.324999999997</v>
      </c>
      <c r="E6429" s="2">
        <f t="shared" si="100"/>
        <v>87.154166666667152</v>
      </c>
    </row>
    <row r="6430" spans="1:5" x14ac:dyDescent="0.25">
      <c r="A6430" t="s">
        <v>12</v>
      </c>
      <c r="B6430" t="s">
        <v>13</v>
      </c>
      <c r="C6430" s="1">
        <v>45711.834027777782</v>
      </c>
      <c r="D6430" s="1">
        <v>45758</v>
      </c>
      <c r="E6430" s="2">
        <f t="shared" si="100"/>
        <v>46.165972222217533</v>
      </c>
    </row>
    <row r="6431" spans="1:5" x14ac:dyDescent="0.25">
      <c r="A6431" t="s">
        <v>13</v>
      </c>
      <c r="B6431" t="s">
        <v>8</v>
      </c>
      <c r="C6431" s="1">
        <v>45793.995833333327</v>
      </c>
      <c r="D6431" s="1">
        <v>45819.640972222223</v>
      </c>
      <c r="E6431" s="2">
        <f t="shared" si="100"/>
        <v>25.645138888896327</v>
      </c>
    </row>
    <row r="6432" spans="1:5" x14ac:dyDescent="0.25">
      <c r="A6432" t="s">
        <v>16</v>
      </c>
      <c r="B6432" t="s">
        <v>20</v>
      </c>
      <c r="C6432" s="1">
        <v>45744.76666666667</v>
      </c>
      <c r="D6432" s="1">
        <v>45802.775000000001</v>
      </c>
      <c r="E6432" s="2">
        <f t="shared" si="100"/>
        <v>58.008333333331393</v>
      </c>
    </row>
    <row r="6433" spans="1:5" x14ac:dyDescent="0.25">
      <c r="A6433" t="s">
        <v>8</v>
      </c>
      <c r="B6433" t="s">
        <v>18</v>
      </c>
      <c r="C6433" s="1">
        <v>46241.460416666669</v>
      </c>
      <c r="D6433" s="1">
        <v>46284.76666666667</v>
      </c>
      <c r="E6433" s="2">
        <f t="shared" si="100"/>
        <v>43.306250000001455</v>
      </c>
    </row>
    <row r="6434" spans="1:5" x14ac:dyDescent="0.25">
      <c r="A6434" t="s">
        <v>15</v>
      </c>
      <c r="B6434" t="s">
        <v>13</v>
      </c>
      <c r="C6434" s="1">
        <v>45723.118750000001</v>
      </c>
      <c r="D6434" s="1">
        <v>45765.578472222223</v>
      </c>
      <c r="E6434" s="2">
        <f t="shared" si="100"/>
        <v>42.459722222221899</v>
      </c>
    </row>
    <row r="6435" spans="1:5" x14ac:dyDescent="0.25">
      <c r="A6435" t="s">
        <v>23</v>
      </c>
      <c r="B6435" t="s">
        <v>18</v>
      </c>
      <c r="C6435" s="1">
        <v>45919.554166666669</v>
      </c>
      <c r="D6435" s="1">
        <v>45970.963194444441</v>
      </c>
      <c r="E6435" s="2">
        <f t="shared" si="100"/>
        <v>51.40902777777228</v>
      </c>
    </row>
    <row r="6436" spans="1:5" x14ac:dyDescent="0.25">
      <c r="A6436" t="s">
        <v>15</v>
      </c>
      <c r="B6436" t="s">
        <v>18</v>
      </c>
      <c r="C6436" s="1">
        <v>45957.560416666667</v>
      </c>
      <c r="D6436" s="1">
        <v>46008.915277777778</v>
      </c>
      <c r="E6436" s="2">
        <f t="shared" si="100"/>
        <v>51.354861111110949</v>
      </c>
    </row>
    <row r="6437" spans="1:5" x14ac:dyDescent="0.25">
      <c r="A6437" t="s">
        <v>15</v>
      </c>
      <c r="B6437" t="s">
        <v>19</v>
      </c>
      <c r="C6437" s="1">
        <v>46179.804166666669</v>
      </c>
      <c r="D6437" s="1">
        <v>46216.590636574067</v>
      </c>
      <c r="E6437" s="2">
        <f t="shared" si="100"/>
        <v>36.786469907397986</v>
      </c>
    </row>
    <row r="6438" spans="1:5" x14ac:dyDescent="0.25">
      <c r="A6438" t="s">
        <v>12</v>
      </c>
      <c r="B6438" t="s">
        <v>13</v>
      </c>
      <c r="C6438" s="1">
        <v>45775.875</v>
      </c>
      <c r="D6438" s="1">
        <v>45820.898611111108</v>
      </c>
      <c r="E6438" s="2">
        <f t="shared" si="100"/>
        <v>45.023611111108039</v>
      </c>
    </row>
    <row r="6439" spans="1:5" x14ac:dyDescent="0.25">
      <c r="A6439" t="s">
        <v>13</v>
      </c>
      <c r="B6439" t="s">
        <v>8</v>
      </c>
      <c r="C6439" s="1">
        <v>45850.0625</v>
      </c>
      <c r="D6439" s="1">
        <v>45876.867361111108</v>
      </c>
      <c r="E6439" s="2">
        <f t="shared" si="100"/>
        <v>26.804861111108039</v>
      </c>
    </row>
    <row r="6440" spans="1:5" x14ac:dyDescent="0.25">
      <c r="A6440" t="s">
        <v>11</v>
      </c>
      <c r="B6440" t="s">
        <v>16</v>
      </c>
      <c r="C6440" s="1">
        <v>46132.974999999999</v>
      </c>
      <c r="D6440" s="1">
        <v>46248.876388888893</v>
      </c>
      <c r="E6440" s="2">
        <f t="shared" si="100"/>
        <v>115.90138888889487</v>
      </c>
    </row>
    <row r="6441" spans="1:5" x14ac:dyDescent="0.25">
      <c r="A6441" t="s">
        <v>11</v>
      </c>
      <c r="B6441" t="s">
        <v>7</v>
      </c>
      <c r="C6441" s="1">
        <v>46132.974999999999</v>
      </c>
      <c r="D6441" s="1">
        <v>46248.876388888893</v>
      </c>
      <c r="E6441" s="2">
        <f t="shared" si="100"/>
        <v>115.90138888889487</v>
      </c>
    </row>
    <row r="6442" spans="1:5" x14ac:dyDescent="0.25">
      <c r="A6442" t="s">
        <v>15</v>
      </c>
      <c r="B6442" t="s">
        <v>13</v>
      </c>
      <c r="C6442" s="1">
        <v>45774.129166666673</v>
      </c>
      <c r="D6442" s="1">
        <v>45817.291666666657</v>
      </c>
      <c r="E6442" s="2">
        <f t="shared" si="100"/>
        <v>43.162499999983993</v>
      </c>
    </row>
    <row r="6443" spans="1:5" x14ac:dyDescent="0.25">
      <c r="A6443" t="s">
        <v>13</v>
      </c>
      <c r="B6443" t="s">
        <v>8</v>
      </c>
      <c r="C6443" s="1">
        <v>45836.020833333343</v>
      </c>
      <c r="D6443" s="1">
        <v>45859.28125</v>
      </c>
      <c r="E6443" s="2">
        <f t="shared" si="100"/>
        <v>23.260416666656965</v>
      </c>
    </row>
    <row r="6444" spans="1:5" x14ac:dyDescent="0.25">
      <c r="A6444" t="s">
        <v>23</v>
      </c>
      <c r="B6444" t="s">
        <v>18</v>
      </c>
      <c r="C6444" s="1">
        <v>45939.654166666667</v>
      </c>
      <c r="D6444" s="1">
        <v>45990.75</v>
      </c>
      <c r="E6444" s="2">
        <f t="shared" si="100"/>
        <v>51.095833333332848</v>
      </c>
    </row>
    <row r="6445" spans="1:5" x14ac:dyDescent="0.25">
      <c r="A6445" t="s">
        <v>26</v>
      </c>
      <c r="B6445" t="s">
        <v>21</v>
      </c>
      <c r="C6445" s="1">
        <v>46020.320833333331</v>
      </c>
      <c r="D6445" s="1">
        <v>46065.188194444447</v>
      </c>
      <c r="E6445" s="2">
        <f t="shared" si="100"/>
        <v>44.867361111115315</v>
      </c>
    </row>
    <row r="6446" spans="1:5" x14ac:dyDescent="0.25">
      <c r="A6446" t="s">
        <v>12</v>
      </c>
      <c r="B6446" t="s">
        <v>18</v>
      </c>
      <c r="C6446" s="1">
        <v>45722.584722222222</v>
      </c>
      <c r="D6446" s="1">
        <v>45783.079861111109</v>
      </c>
      <c r="E6446" s="2">
        <f t="shared" si="100"/>
        <v>60.495138888887595</v>
      </c>
    </row>
    <row r="6447" spans="1:5" x14ac:dyDescent="0.25">
      <c r="A6447" t="s">
        <v>15</v>
      </c>
      <c r="B6447" t="s">
        <v>13</v>
      </c>
      <c r="C6447" s="1">
        <v>46185.171527777777</v>
      </c>
      <c r="D6447" s="1">
        <v>46221.126388888893</v>
      </c>
      <c r="E6447" s="2">
        <f t="shared" si="100"/>
        <v>35.95486111111677</v>
      </c>
    </row>
    <row r="6448" spans="1:5" x14ac:dyDescent="0.25">
      <c r="A6448" t="s">
        <v>7</v>
      </c>
      <c r="B6448" t="s">
        <v>11</v>
      </c>
      <c r="C6448" s="1">
        <v>45736.234722222223</v>
      </c>
      <c r="D6448" s="1">
        <v>45812.137499999997</v>
      </c>
      <c r="E6448" s="2">
        <f t="shared" si="100"/>
        <v>75.902777777773736</v>
      </c>
    </row>
    <row r="6449" spans="1:5" x14ac:dyDescent="0.25">
      <c r="A6449" t="s">
        <v>12</v>
      </c>
      <c r="B6449" t="s">
        <v>13</v>
      </c>
      <c r="C6449" s="1">
        <v>45836.675000000003</v>
      </c>
      <c r="D6449" s="1">
        <v>45884.808333333327</v>
      </c>
      <c r="E6449" s="2">
        <f t="shared" si="100"/>
        <v>48.133333333324117</v>
      </c>
    </row>
    <row r="6450" spans="1:5" x14ac:dyDescent="0.25">
      <c r="A6450" t="s">
        <v>13</v>
      </c>
      <c r="B6450" t="s">
        <v>8</v>
      </c>
      <c r="C6450" s="1">
        <v>45920.629166666673</v>
      </c>
      <c r="D6450" s="1">
        <v>45944.317361111112</v>
      </c>
      <c r="E6450" s="2">
        <f t="shared" si="100"/>
        <v>23.688194444439432</v>
      </c>
    </row>
    <row r="6451" spans="1:5" x14ac:dyDescent="0.25">
      <c r="A6451" t="s">
        <v>13</v>
      </c>
      <c r="B6451" t="s">
        <v>8</v>
      </c>
      <c r="C6451" s="1">
        <v>46130.258333333331</v>
      </c>
      <c r="D6451" s="1">
        <v>46155.814583333333</v>
      </c>
      <c r="E6451" s="2">
        <f t="shared" si="100"/>
        <v>25.556250000001455</v>
      </c>
    </row>
    <row r="6452" spans="1:5" x14ac:dyDescent="0.25">
      <c r="A6452" t="s">
        <v>12</v>
      </c>
      <c r="B6452" t="s">
        <v>13</v>
      </c>
      <c r="C6452" s="1">
        <v>45933.466666666667</v>
      </c>
      <c r="D6452" s="1">
        <v>45983.504166666673</v>
      </c>
      <c r="E6452" s="2">
        <f t="shared" si="100"/>
        <v>50.037500000005821</v>
      </c>
    </row>
    <row r="6453" spans="1:5" x14ac:dyDescent="0.25">
      <c r="A6453" t="s">
        <v>13</v>
      </c>
      <c r="B6453" t="s">
        <v>8</v>
      </c>
      <c r="C6453" s="1">
        <v>46024.841666666667</v>
      </c>
      <c r="D6453" s="1">
        <v>46050.554166666669</v>
      </c>
      <c r="E6453" s="2">
        <f t="shared" si="100"/>
        <v>25.712500000001455</v>
      </c>
    </row>
    <row r="6454" spans="1:5" x14ac:dyDescent="0.25">
      <c r="A6454" t="s">
        <v>7</v>
      </c>
      <c r="B6454" t="s">
        <v>8</v>
      </c>
      <c r="C6454" s="1">
        <v>45940.345833333333</v>
      </c>
      <c r="D6454" s="1">
        <v>45989.166666666657</v>
      </c>
      <c r="E6454" s="2">
        <f t="shared" si="100"/>
        <v>48.820833333324117</v>
      </c>
    </row>
    <row r="6455" spans="1:5" x14ac:dyDescent="0.25">
      <c r="A6455" t="s">
        <v>12</v>
      </c>
      <c r="B6455" t="s">
        <v>18</v>
      </c>
      <c r="C6455" s="1">
        <v>46065.302083333343</v>
      </c>
      <c r="D6455" s="1">
        <v>46131.375</v>
      </c>
      <c r="E6455" s="2">
        <f t="shared" si="100"/>
        <v>66.072916666656965</v>
      </c>
    </row>
    <row r="6456" spans="1:5" x14ac:dyDescent="0.25">
      <c r="A6456" t="s">
        <v>7</v>
      </c>
      <c r="B6456" t="s">
        <v>8</v>
      </c>
      <c r="C6456" s="1">
        <v>45911.604166666657</v>
      </c>
      <c r="D6456" s="1">
        <v>45948.104166666657</v>
      </c>
      <c r="E6456" s="2">
        <f t="shared" si="100"/>
        <v>36.5</v>
      </c>
    </row>
    <row r="6457" spans="1:5" x14ac:dyDescent="0.25">
      <c r="A6457" t="s">
        <v>7</v>
      </c>
      <c r="B6457" t="s">
        <v>8</v>
      </c>
      <c r="C6457" s="1">
        <v>45822.8</v>
      </c>
      <c r="D6457" s="1">
        <v>45875.612500000003</v>
      </c>
      <c r="E6457" s="2">
        <f t="shared" si="100"/>
        <v>52.8125</v>
      </c>
    </row>
    <row r="6458" spans="1:5" x14ac:dyDescent="0.25">
      <c r="A6458" t="s">
        <v>7</v>
      </c>
      <c r="B6458" t="s">
        <v>8</v>
      </c>
      <c r="C6458" s="1">
        <v>45847.879166666673</v>
      </c>
      <c r="D6458" s="1">
        <v>45910.25</v>
      </c>
      <c r="E6458" s="2">
        <f t="shared" si="100"/>
        <v>62.370833333327028</v>
      </c>
    </row>
    <row r="6459" spans="1:5" x14ac:dyDescent="0.25">
      <c r="A6459" t="s">
        <v>5</v>
      </c>
      <c r="B6459" t="s">
        <v>8</v>
      </c>
      <c r="C6459" s="1">
        <v>46018.725694444453</v>
      </c>
      <c r="D6459" s="1">
        <v>46071.058333333327</v>
      </c>
      <c r="E6459" s="2">
        <f t="shared" si="100"/>
        <v>52.332638888874499</v>
      </c>
    </row>
    <row r="6460" spans="1:5" x14ac:dyDescent="0.25">
      <c r="A6460" t="s">
        <v>7</v>
      </c>
      <c r="B6460" t="s">
        <v>8</v>
      </c>
      <c r="C6460" s="1">
        <v>45891.654166666667</v>
      </c>
      <c r="D6460" s="1">
        <v>45938.662499999999</v>
      </c>
      <c r="E6460" s="2">
        <f t="shared" si="100"/>
        <v>47.008333333331393</v>
      </c>
    </row>
    <row r="6461" spans="1:5" x14ac:dyDescent="0.25">
      <c r="A6461" t="s">
        <v>7</v>
      </c>
      <c r="B6461" t="s">
        <v>8</v>
      </c>
      <c r="C6461" s="1">
        <v>45920.587500000001</v>
      </c>
      <c r="D6461" s="1">
        <v>45965.662499999999</v>
      </c>
      <c r="E6461" s="2">
        <f t="shared" si="100"/>
        <v>45.07499999999709</v>
      </c>
    </row>
    <row r="6462" spans="1:5" x14ac:dyDescent="0.25">
      <c r="A6462" t="s">
        <v>16</v>
      </c>
      <c r="B6462" t="s">
        <v>13</v>
      </c>
      <c r="C6462" s="1">
        <v>45674.50277777778</v>
      </c>
      <c r="D6462" s="1">
        <v>45714.583333333343</v>
      </c>
      <c r="E6462" s="2">
        <f t="shared" si="100"/>
        <v>40.080555555563478</v>
      </c>
    </row>
    <row r="6463" spans="1:5" x14ac:dyDescent="0.25">
      <c r="A6463" t="s">
        <v>7</v>
      </c>
      <c r="B6463" t="s">
        <v>11</v>
      </c>
      <c r="C6463" s="1">
        <v>45959.416666666657</v>
      </c>
      <c r="D6463" s="1">
        <v>46027.887499999997</v>
      </c>
      <c r="E6463" s="2">
        <f t="shared" si="100"/>
        <v>68.470833333340124</v>
      </c>
    </row>
    <row r="6464" spans="1:5" x14ac:dyDescent="0.25">
      <c r="A6464" t="s">
        <v>19</v>
      </c>
      <c r="B6464" t="s">
        <v>8</v>
      </c>
      <c r="C6464" s="1">
        <v>46237.485000000001</v>
      </c>
      <c r="D6464" s="1">
        <v>46285.236631944441</v>
      </c>
      <c r="E6464" s="2">
        <f t="shared" si="100"/>
        <v>47.751631944440305</v>
      </c>
    </row>
    <row r="6465" spans="1:5" x14ac:dyDescent="0.25">
      <c r="A6465" t="s">
        <v>7</v>
      </c>
      <c r="B6465" t="s">
        <v>8</v>
      </c>
      <c r="C6465" s="1">
        <v>45808.775000000001</v>
      </c>
      <c r="D6465" s="1">
        <v>45853.816666666673</v>
      </c>
      <c r="E6465" s="2">
        <f t="shared" si="100"/>
        <v>45.041666666671517</v>
      </c>
    </row>
    <row r="6466" spans="1:5" x14ac:dyDescent="0.25">
      <c r="A6466" t="s">
        <v>12</v>
      </c>
      <c r="B6466" t="s">
        <v>13</v>
      </c>
      <c r="C6466" s="1">
        <v>45799.050694444442</v>
      </c>
      <c r="D6466" s="1">
        <v>45844.353472222218</v>
      </c>
      <c r="E6466" s="2">
        <f t="shared" ref="E6466:E6529" si="101">D6466-C6466</f>
        <v>45.302777777775191</v>
      </c>
    </row>
    <row r="6467" spans="1:5" x14ac:dyDescent="0.25">
      <c r="A6467" t="s">
        <v>10</v>
      </c>
      <c r="B6467" t="s">
        <v>11</v>
      </c>
      <c r="C6467" s="1">
        <v>45761.239583333343</v>
      </c>
      <c r="D6467" s="1">
        <v>45790.239583333343</v>
      </c>
      <c r="E6467" s="2">
        <f t="shared" si="101"/>
        <v>29</v>
      </c>
    </row>
    <row r="6468" spans="1:5" x14ac:dyDescent="0.25">
      <c r="A6468" t="s">
        <v>7</v>
      </c>
      <c r="B6468" t="s">
        <v>8</v>
      </c>
      <c r="C6468" s="1">
        <v>45931.208333333343</v>
      </c>
      <c r="D6468" s="1">
        <v>45966.508333333331</v>
      </c>
      <c r="E6468" s="2">
        <f t="shared" si="101"/>
        <v>35.299999999988358</v>
      </c>
    </row>
    <row r="6469" spans="1:5" x14ac:dyDescent="0.25">
      <c r="A6469" t="s">
        <v>14</v>
      </c>
      <c r="B6469" t="s">
        <v>22</v>
      </c>
      <c r="C6469" s="1">
        <v>45939.833333333343</v>
      </c>
      <c r="D6469" s="1">
        <v>46028.270833333343</v>
      </c>
      <c r="E6469" s="2">
        <f t="shared" si="101"/>
        <v>88.4375</v>
      </c>
    </row>
    <row r="6470" spans="1:5" x14ac:dyDescent="0.25">
      <c r="A6470" t="s">
        <v>9</v>
      </c>
      <c r="B6470" t="s">
        <v>11</v>
      </c>
      <c r="C6470" s="1">
        <v>45750.540277777778</v>
      </c>
      <c r="D6470" s="1">
        <v>45840.291666666657</v>
      </c>
      <c r="E6470" s="2">
        <f t="shared" si="101"/>
        <v>89.751388888878864</v>
      </c>
    </row>
    <row r="6471" spans="1:5" x14ac:dyDescent="0.25">
      <c r="A6471" t="s">
        <v>9</v>
      </c>
      <c r="B6471" t="s">
        <v>11</v>
      </c>
      <c r="C6471" s="1">
        <v>45750.540277777778</v>
      </c>
      <c r="D6471" s="1">
        <v>45840.291666666657</v>
      </c>
      <c r="E6471" s="2">
        <f t="shared" si="101"/>
        <v>89.751388888878864</v>
      </c>
    </row>
    <row r="6472" spans="1:5" x14ac:dyDescent="0.25">
      <c r="A6472" t="s">
        <v>5</v>
      </c>
      <c r="B6472" t="s">
        <v>33</v>
      </c>
      <c r="C6472" s="1">
        <v>45791.783333333333</v>
      </c>
      <c r="D6472" s="1">
        <v>45851.945833333331</v>
      </c>
      <c r="E6472" s="2">
        <f t="shared" si="101"/>
        <v>60.162499999998545</v>
      </c>
    </row>
    <row r="6473" spans="1:5" x14ac:dyDescent="0.25">
      <c r="A6473" t="s">
        <v>27</v>
      </c>
      <c r="B6473" t="s">
        <v>8</v>
      </c>
      <c r="C6473" s="1">
        <v>45865.095833333333</v>
      </c>
      <c r="D6473" s="1">
        <v>45920.869444444441</v>
      </c>
      <c r="E6473" s="2">
        <f t="shared" si="101"/>
        <v>55.773611111108039</v>
      </c>
    </row>
    <row r="6474" spans="1:5" x14ac:dyDescent="0.25">
      <c r="A6474" t="s">
        <v>15</v>
      </c>
      <c r="B6474" t="s">
        <v>18</v>
      </c>
      <c r="C6474" s="1">
        <v>45779</v>
      </c>
      <c r="D6474" s="1">
        <v>45832.666666666657</v>
      </c>
      <c r="E6474" s="2">
        <f t="shared" si="101"/>
        <v>53.666666666656965</v>
      </c>
    </row>
    <row r="6475" spans="1:5" x14ac:dyDescent="0.25">
      <c r="A6475" t="s">
        <v>10</v>
      </c>
      <c r="B6475" t="s">
        <v>11</v>
      </c>
      <c r="C6475" s="1">
        <v>46059.586805555547</v>
      </c>
      <c r="D6475" s="1">
        <v>46091.958333333343</v>
      </c>
      <c r="E6475" s="2">
        <f t="shared" si="101"/>
        <v>32.371527777795563</v>
      </c>
    </row>
    <row r="6476" spans="1:5" x14ac:dyDescent="0.25">
      <c r="A6476" t="s">
        <v>5</v>
      </c>
      <c r="B6476" t="s">
        <v>8</v>
      </c>
      <c r="C6476" s="1">
        <v>46078.916666666657</v>
      </c>
      <c r="D6476" s="1">
        <v>46113.395833333343</v>
      </c>
      <c r="E6476" s="2">
        <f t="shared" si="101"/>
        <v>34.479166666686069</v>
      </c>
    </row>
    <row r="6477" spans="1:5" x14ac:dyDescent="0.25">
      <c r="A6477" t="s">
        <v>5</v>
      </c>
      <c r="B6477" t="s">
        <v>8</v>
      </c>
      <c r="C6477" s="1">
        <v>46018.725694444453</v>
      </c>
      <c r="D6477" s="1">
        <v>46071.058333333327</v>
      </c>
      <c r="E6477" s="2">
        <f t="shared" si="101"/>
        <v>52.332638888874499</v>
      </c>
    </row>
    <row r="6478" spans="1:5" x14ac:dyDescent="0.25">
      <c r="A6478" t="s">
        <v>5</v>
      </c>
      <c r="B6478" t="s">
        <v>8</v>
      </c>
      <c r="C6478" s="1">
        <v>46078.916666666657</v>
      </c>
      <c r="D6478" s="1">
        <v>46113.395833333343</v>
      </c>
      <c r="E6478" s="2">
        <f t="shared" si="101"/>
        <v>34.479166666686069</v>
      </c>
    </row>
    <row r="6479" spans="1:5" x14ac:dyDescent="0.25">
      <c r="A6479" t="s">
        <v>7</v>
      </c>
      <c r="B6479" t="s">
        <v>8</v>
      </c>
      <c r="C6479" s="1">
        <v>45940.345833333333</v>
      </c>
      <c r="D6479" s="1">
        <v>45989.166666666657</v>
      </c>
      <c r="E6479" s="2">
        <f t="shared" si="101"/>
        <v>48.820833333324117</v>
      </c>
    </row>
    <row r="6480" spans="1:5" x14ac:dyDescent="0.25">
      <c r="A6480" t="s">
        <v>5</v>
      </c>
      <c r="B6480" t="s">
        <v>8</v>
      </c>
      <c r="C6480" s="1">
        <v>45998.14166666667</v>
      </c>
      <c r="D6480" s="1">
        <v>46039.5</v>
      </c>
      <c r="E6480" s="2">
        <f t="shared" si="101"/>
        <v>41.358333333329938</v>
      </c>
    </row>
    <row r="6481" spans="1:5" x14ac:dyDescent="0.25">
      <c r="A6481" t="s">
        <v>5</v>
      </c>
      <c r="B6481" t="s">
        <v>8</v>
      </c>
      <c r="C6481" s="1">
        <v>45952.57916666667</v>
      </c>
      <c r="D6481" s="1">
        <v>45993.345833333333</v>
      </c>
      <c r="E6481" s="2">
        <f t="shared" si="101"/>
        <v>40.766666666662786</v>
      </c>
    </row>
    <row r="6482" spans="1:5" x14ac:dyDescent="0.25">
      <c r="A6482" t="s">
        <v>5</v>
      </c>
      <c r="B6482" t="s">
        <v>8</v>
      </c>
      <c r="C6482" s="1">
        <v>45952.57916666667</v>
      </c>
      <c r="D6482" s="1">
        <v>45993.345833333333</v>
      </c>
      <c r="E6482" s="2">
        <f t="shared" si="101"/>
        <v>40.766666666662786</v>
      </c>
    </row>
    <row r="6483" spans="1:5" x14ac:dyDescent="0.25">
      <c r="A6483" t="s">
        <v>12</v>
      </c>
      <c r="B6483" t="s">
        <v>13</v>
      </c>
      <c r="C6483" s="1">
        <v>45879.837500000001</v>
      </c>
      <c r="D6483" s="1">
        <v>45932.57916666667</v>
      </c>
      <c r="E6483" s="2">
        <f t="shared" si="101"/>
        <v>52.741666666668607</v>
      </c>
    </row>
    <row r="6484" spans="1:5" x14ac:dyDescent="0.25">
      <c r="A6484" t="s">
        <v>7</v>
      </c>
      <c r="B6484" t="s">
        <v>8</v>
      </c>
      <c r="C6484" s="1">
        <v>45792.875</v>
      </c>
      <c r="D6484" s="1">
        <v>45839.333333333343</v>
      </c>
      <c r="E6484" s="2">
        <f t="shared" si="101"/>
        <v>46.458333333343035</v>
      </c>
    </row>
    <row r="6485" spans="1:5" x14ac:dyDescent="0.25">
      <c r="A6485" t="s">
        <v>34</v>
      </c>
      <c r="B6485" t="s">
        <v>8</v>
      </c>
      <c r="C6485" s="1">
        <v>45790.104166666657</v>
      </c>
      <c r="D6485" s="1">
        <v>45819.638495370367</v>
      </c>
      <c r="E6485" s="2">
        <f t="shared" si="101"/>
        <v>29.534328703710344</v>
      </c>
    </row>
    <row r="6486" spans="1:5" x14ac:dyDescent="0.25">
      <c r="A6486" t="s">
        <v>22</v>
      </c>
      <c r="B6486" t="s">
        <v>51</v>
      </c>
      <c r="C6486" s="1">
        <v>45831.472916666673</v>
      </c>
      <c r="D6486" s="1">
        <v>45882.65347222222</v>
      </c>
      <c r="E6486" s="2">
        <f t="shared" si="101"/>
        <v>51.180555555547471</v>
      </c>
    </row>
    <row r="6487" spans="1:5" x14ac:dyDescent="0.25">
      <c r="A6487" t="s">
        <v>22</v>
      </c>
      <c r="B6487" t="s">
        <v>51</v>
      </c>
      <c r="C6487" s="1">
        <v>46020.635416666657</v>
      </c>
      <c r="D6487" s="1">
        <v>46093.324999999997</v>
      </c>
      <c r="E6487" s="2">
        <f t="shared" si="101"/>
        <v>72.689583333340124</v>
      </c>
    </row>
    <row r="6488" spans="1:5" x14ac:dyDescent="0.25">
      <c r="A6488" t="s">
        <v>34</v>
      </c>
      <c r="B6488" t="s">
        <v>8</v>
      </c>
      <c r="C6488" s="1">
        <v>45925.183333333327</v>
      </c>
      <c r="D6488" s="1">
        <v>45953.584027777782</v>
      </c>
      <c r="E6488" s="2">
        <f t="shared" si="101"/>
        <v>28.400694444455439</v>
      </c>
    </row>
    <row r="6489" spans="1:5" x14ac:dyDescent="0.25">
      <c r="A6489" t="s">
        <v>22</v>
      </c>
      <c r="B6489" t="s">
        <v>19</v>
      </c>
      <c r="C6489" s="1">
        <v>46216.888888888891</v>
      </c>
      <c r="D6489" s="1">
        <v>46276.277777777781</v>
      </c>
      <c r="E6489" s="2">
        <f t="shared" si="101"/>
        <v>59.388888888890506</v>
      </c>
    </row>
    <row r="6490" spans="1:5" x14ac:dyDescent="0.25">
      <c r="A6490" t="s">
        <v>22</v>
      </c>
      <c r="B6490" t="s">
        <v>19</v>
      </c>
      <c r="C6490" s="1">
        <v>45970.664583333331</v>
      </c>
      <c r="D6490" s="1">
        <v>46025.578472222223</v>
      </c>
      <c r="E6490" s="2">
        <f t="shared" si="101"/>
        <v>54.913888888891961</v>
      </c>
    </row>
    <row r="6491" spans="1:5" x14ac:dyDescent="0.25">
      <c r="A6491" t="s">
        <v>22</v>
      </c>
      <c r="B6491" t="s">
        <v>19</v>
      </c>
      <c r="C6491" s="1">
        <v>46084.957638888889</v>
      </c>
      <c r="D6491" s="1">
        <v>46140.578472222223</v>
      </c>
      <c r="E6491" s="2">
        <f t="shared" si="101"/>
        <v>55.620833333334303</v>
      </c>
    </row>
    <row r="6492" spans="1:5" x14ac:dyDescent="0.25">
      <c r="A6492" t="s">
        <v>15</v>
      </c>
      <c r="B6492" t="s">
        <v>18</v>
      </c>
      <c r="C6492" s="1">
        <v>45752.384722222218</v>
      </c>
      <c r="D6492" s="1">
        <v>45795.936805555553</v>
      </c>
      <c r="E6492" s="2">
        <f t="shared" si="101"/>
        <v>43.552083333335759</v>
      </c>
    </row>
    <row r="6493" spans="1:5" x14ac:dyDescent="0.25">
      <c r="A6493" t="s">
        <v>22</v>
      </c>
      <c r="B6493" t="s">
        <v>6</v>
      </c>
      <c r="C6493" s="1">
        <v>45823.977083333331</v>
      </c>
      <c r="D6493" s="1">
        <v>45890.335416666669</v>
      </c>
      <c r="E6493" s="2">
        <f t="shared" si="101"/>
        <v>66.358333333337214</v>
      </c>
    </row>
    <row r="6494" spans="1:5" x14ac:dyDescent="0.25">
      <c r="A6494" t="s">
        <v>7</v>
      </c>
      <c r="B6494" t="s">
        <v>18</v>
      </c>
      <c r="C6494" s="1">
        <v>46153.550694444442</v>
      </c>
      <c r="D6494" s="1">
        <v>46200.245833333327</v>
      </c>
      <c r="E6494" s="2">
        <f t="shared" si="101"/>
        <v>46.695138888884685</v>
      </c>
    </row>
    <row r="6495" spans="1:5" x14ac:dyDescent="0.25">
      <c r="A6495" t="s">
        <v>12</v>
      </c>
      <c r="B6495" t="s">
        <v>13</v>
      </c>
      <c r="C6495" s="1">
        <v>46057.875</v>
      </c>
      <c r="D6495" s="1">
        <v>46102.833333333343</v>
      </c>
      <c r="E6495" s="2">
        <f t="shared" si="101"/>
        <v>44.958333333343035</v>
      </c>
    </row>
    <row r="6496" spans="1:5" x14ac:dyDescent="0.25">
      <c r="A6496" t="s">
        <v>12</v>
      </c>
      <c r="B6496" t="s">
        <v>8</v>
      </c>
      <c r="C6496" s="1">
        <v>46079.304166666669</v>
      </c>
      <c r="D6496" s="1">
        <v>46124.397222222222</v>
      </c>
      <c r="E6496" s="2">
        <f t="shared" si="101"/>
        <v>45.093055555553292</v>
      </c>
    </row>
    <row r="6497" spans="1:5" x14ac:dyDescent="0.25">
      <c r="A6497" t="s">
        <v>22</v>
      </c>
      <c r="B6497" t="s">
        <v>32</v>
      </c>
      <c r="C6497" s="1">
        <v>45675.611203703702</v>
      </c>
      <c r="D6497" s="1">
        <v>45740.292361111111</v>
      </c>
      <c r="E6497" s="2">
        <f t="shared" si="101"/>
        <v>64.681157407409046</v>
      </c>
    </row>
    <row r="6498" spans="1:5" x14ac:dyDescent="0.25">
      <c r="A6498" t="s">
        <v>14</v>
      </c>
      <c r="B6498" t="s">
        <v>22</v>
      </c>
      <c r="C6498" s="1">
        <v>46002.25</v>
      </c>
      <c r="D6498" s="1">
        <v>46067.566666666673</v>
      </c>
      <c r="E6498" s="2">
        <f t="shared" si="101"/>
        <v>65.316666666672972</v>
      </c>
    </row>
    <row r="6499" spans="1:5" x14ac:dyDescent="0.25">
      <c r="A6499" t="s">
        <v>12</v>
      </c>
      <c r="B6499" t="s">
        <v>13</v>
      </c>
      <c r="C6499" s="1">
        <v>45949.916666666657</v>
      </c>
      <c r="D6499" s="1">
        <v>46002.104166666657</v>
      </c>
      <c r="E6499" s="2">
        <f t="shared" si="101"/>
        <v>52.1875</v>
      </c>
    </row>
    <row r="6500" spans="1:5" x14ac:dyDescent="0.25">
      <c r="A6500" t="s">
        <v>13</v>
      </c>
      <c r="B6500" t="s">
        <v>8</v>
      </c>
      <c r="C6500" s="1">
        <v>46037.32708333333</v>
      </c>
      <c r="D6500" s="1">
        <v>46078.697916666657</v>
      </c>
      <c r="E6500" s="2">
        <f t="shared" si="101"/>
        <v>41.370833333327028</v>
      </c>
    </row>
    <row r="6501" spans="1:5" x14ac:dyDescent="0.25">
      <c r="A6501" t="s">
        <v>7</v>
      </c>
      <c r="B6501" t="s">
        <v>8</v>
      </c>
      <c r="C6501" s="1">
        <v>45822.8</v>
      </c>
      <c r="D6501" s="1">
        <v>45875.612500000003</v>
      </c>
      <c r="E6501" s="2">
        <f t="shared" si="101"/>
        <v>52.8125</v>
      </c>
    </row>
    <row r="6502" spans="1:5" x14ac:dyDescent="0.25">
      <c r="A6502" t="s">
        <v>22</v>
      </c>
      <c r="B6502" t="s">
        <v>13</v>
      </c>
      <c r="C6502" s="1">
        <v>46209.154166666667</v>
      </c>
      <c r="D6502" s="1">
        <v>46263.520833333343</v>
      </c>
      <c r="E6502" s="2">
        <f t="shared" si="101"/>
        <v>54.366666666675883</v>
      </c>
    </row>
    <row r="6503" spans="1:5" x14ac:dyDescent="0.25">
      <c r="A6503" t="s">
        <v>7</v>
      </c>
      <c r="B6503" t="s">
        <v>8</v>
      </c>
      <c r="C6503" s="1">
        <v>45834.537499999999</v>
      </c>
      <c r="D6503" s="1">
        <v>45885.783333333333</v>
      </c>
      <c r="E6503" s="2">
        <f t="shared" si="101"/>
        <v>51.245833333334303</v>
      </c>
    </row>
    <row r="6504" spans="1:5" x14ac:dyDescent="0.25">
      <c r="A6504" t="s">
        <v>9</v>
      </c>
      <c r="B6504" t="s">
        <v>8</v>
      </c>
      <c r="C6504" s="1">
        <v>46062.116666666669</v>
      </c>
      <c r="D6504" s="1">
        <v>46112.529166666667</v>
      </c>
      <c r="E6504" s="2">
        <f t="shared" si="101"/>
        <v>50.412499999998545</v>
      </c>
    </row>
    <row r="6505" spans="1:5" x14ac:dyDescent="0.25">
      <c r="A6505" t="s">
        <v>7</v>
      </c>
      <c r="B6505" t="s">
        <v>8</v>
      </c>
      <c r="C6505" s="1">
        <v>45891.654166666667</v>
      </c>
      <c r="D6505" s="1">
        <v>45938.662499999999</v>
      </c>
      <c r="E6505" s="2">
        <f t="shared" si="101"/>
        <v>47.008333333331393</v>
      </c>
    </row>
    <row r="6506" spans="1:5" x14ac:dyDescent="0.25">
      <c r="A6506" t="s">
        <v>8</v>
      </c>
      <c r="B6506" t="s">
        <v>7</v>
      </c>
      <c r="C6506" s="1">
        <v>45995.354166666657</v>
      </c>
      <c r="D6506" s="1">
        <v>46041.408333333333</v>
      </c>
      <c r="E6506" s="2">
        <f t="shared" si="101"/>
        <v>46.054166666675883</v>
      </c>
    </row>
    <row r="6507" spans="1:5" x14ac:dyDescent="0.25">
      <c r="A6507" t="s">
        <v>8</v>
      </c>
      <c r="B6507" t="s">
        <v>18</v>
      </c>
      <c r="C6507" s="1">
        <v>46199.770833333343</v>
      </c>
      <c r="D6507" s="1">
        <v>46241.870833333327</v>
      </c>
      <c r="E6507" s="2">
        <f t="shared" si="101"/>
        <v>42.099999999983993</v>
      </c>
    </row>
    <row r="6508" spans="1:5" x14ac:dyDescent="0.25">
      <c r="A6508" t="s">
        <v>23</v>
      </c>
      <c r="B6508" t="s">
        <v>12</v>
      </c>
      <c r="C6508" s="1">
        <v>46070.694444444453</v>
      </c>
      <c r="D6508" s="1">
        <v>46086.125</v>
      </c>
      <c r="E6508" s="2">
        <f t="shared" si="101"/>
        <v>15.430555555547471</v>
      </c>
    </row>
    <row r="6509" spans="1:5" x14ac:dyDescent="0.25">
      <c r="A6509" t="s">
        <v>5</v>
      </c>
      <c r="B6509" t="s">
        <v>47</v>
      </c>
      <c r="C6509" s="1">
        <v>46121.404166666667</v>
      </c>
      <c r="D6509" s="1">
        <v>46160.966666666667</v>
      </c>
      <c r="E6509" s="2">
        <f t="shared" si="101"/>
        <v>39.5625</v>
      </c>
    </row>
    <row r="6510" spans="1:5" x14ac:dyDescent="0.25">
      <c r="A6510" t="s">
        <v>27</v>
      </c>
      <c r="B6510" t="s">
        <v>18</v>
      </c>
      <c r="C6510" s="1">
        <v>45915.629166666673</v>
      </c>
      <c r="D6510" s="1">
        <v>45973.306944444441</v>
      </c>
      <c r="E6510" s="2">
        <f t="shared" si="101"/>
        <v>57.677777777767915</v>
      </c>
    </row>
    <row r="6511" spans="1:5" x14ac:dyDescent="0.25">
      <c r="A6511" t="s">
        <v>7</v>
      </c>
      <c r="B6511" t="s">
        <v>13</v>
      </c>
      <c r="C6511" s="1">
        <v>45836.792361111111</v>
      </c>
      <c r="D6511" s="1">
        <v>45875.92083333333</v>
      </c>
      <c r="E6511" s="2">
        <f t="shared" si="101"/>
        <v>39.128472222218988</v>
      </c>
    </row>
    <row r="6512" spans="1:5" x14ac:dyDescent="0.25">
      <c r="A6512" t="s">
        <v>13</v>
      </c>
      <c r="B6512" t="s">
        <v>11</v>
      </c>
      <c r="C6512" s="1">
        <v>45912.958333333343</v>
      </c>
      <c r="D6512" s="1">
        <v>45952.625</v>
      </c>
      <c r="E6512" s="2">
        <f t="shared" si="101"/>
        <v>39.666666666656965</v>
      </c>
    </row>
    <row r="6513" spans="1:5" x14ac:dyDescent="0.25">
      <c r="A6513" t="s">
        <v>8</v>
      </c>
      <c r="B6513" t="s">
        <v>18</v>
      </c>
      <c r="C6513" s="1">
        <v>46149.661805555559</v>
      </c>
      <c r="D6513" s="1">
        <v>46195.804166666669</v>
      </c>
      <c r="E6513" s="2">
        <f t="shared" si="101"/>
        <v>46.142361111109494</v>
      </c>
    </row>
    <row r="6514" spans="1:5" x14ac:dyDescent="0.25">
      <c r="A6514" t="s">
        <v>9</v>
      </c>
      <c r="B6514" t="s">
        <v>11</v>
      </c>
      <c r="C6514" s="1">
        <v>45898.10833333333</v>
      </c>
      <c r="D6514" s="1">
        <v>45971.879166666673</v>
      </c>
      <c r="E6514" s="2">
        <f t="shared" si="101"/>
        <v>73.770833333343035</v>
      </c>
    </row>
    <row r="6515" spans="1:5" x14ac:dyDescent="0.25">
      <c r="A6515" t="s">
        <v>35</v>
      </c>
      <c r="B6515" t="s">
        <v>19</v>
      </c>
      <c r="C6515" s="1">
        <v>45894.404166666667</v>
      </c>
      <c r="D6515" s="1">
        <v>45932.209722222222</v>
      </c>
      <c r="E6515" s="2">
        <f t="shared" si="101"/>
        <v>37.805555555554747</v>
      </c>
    </row>
    <row r="6516" spans="1:5" x14ac:dyDescent="0.25">
      <c r="A6516" t="s">
        <v>5</v>
      </c>
      <c r="B6516" t="s">
        <v>8</v>
      </c>
      <c r="C6516" s="1">
        <v>45945.658333333333</v>
      </c>
      <c r="D6516" s="1">
        <v>45993.345833333333</v>
      </c>
      <c r="E6516" s="2">
        <f t="shared" si="101"/>
        <v>47.6875</v>
      </c>
    </row>
    <row r="6517" spans="1:5" x14ac:dyDescent="0.25">
      <c r="A6517" t="s">
        <v>7</v>
      </c>
      <c r="B6517" t="s">
        <v>13</v>
      </c>
      <c r="C6517" s="1">
        <v>45961.6875</v>
      </c>
      <c r="D6517" s="1">
        <v>46011.265972222223</v>
      </c>
      <c r="E6517" s="2">
        <f t="shared" si="101"/>
        <v>49.578472222223354</v>
      </c>
    </row>
    <row r="6518" spans="1:5" x14ac:dyDescent="0.25">
      <c r="A6518" t="s">
        <v>20</v>
      </c>
      <c r="B6518" t="s">
        <v>8</v>
      </c>
      <c r="C6518" s="1">
        <v>45893.622916666667</v>
      </c>
      <c r="D6518" s="1">
        <v>45925.07916666667</v>
      </c>
      <c r="E6518" s="2">
        <f t="shared" si="101"/>
        <v>31.45625000000291</v>
      </c>
    </row>
    <row r="6519" spans="1:5" x14ac:dyDescent="0.25">
      <c r="A6519" t="s">
        <v>22</v>
      </c>
      <c r="B6519" t="s">
        <v>19</v>
      </c>
      <c r="C6519" s="1">
        <v>45947.776655092603</v>
      </c>
      <c r="D6519" s="1">
        <v>45994.358368055553</v>
      </c>
      <c r="E6519" s="2">
        <f t="shared" si="101"/>
        <v>46.581712962950405</v>
      </c>
    </row>
    <row r="6520" spans="1:5" x14ac:dyDescent="0.25">
      <c r="A6520" t="s">
        <v>22</v>
      </c>
      <c r="B6520" t="s">
        <v>51</v>
      </c>
      <c r="C6520" s="1">
        <v>45970.664583333331</v>
      </c>
      <c r="D6520" s="1">
        <v>46032.332638888889</v>
      </c>
      <c r="E6520" s="2">
        <f t="shared" si="101"/>
        <v>61.668055555557657</v>
      </c>
    </row>
    <row r="6521" spans="1:5" x14ac:dyDescent="0.25">
      <c r="A6521" t="s">
        <v>15</v>
      </c>
      <c r="B6521" t="s">
        <v>19</v>
      </c>
      <c r="C6521" s="1">
        <v>45851.361851851849</v>
      </c>
      <c r="D6521" s="1">
        <v>45894.516793981478</v>
      </c>
      <c r="E6521" s="2">
        <f t="shared" si="101"/>
        <v>43.15494212962949</v>
      </c>
    </row>
    <row r="6522" spans="1:5" x14ac:dyDescent="0.25">
      <c r="A6522" t="s">
        <v>22</v>
      </c>
      <c r="B6522" t="s">
        <v>19</v>
      </c>
      <c r="C6522" s="1">
        <v>45932.332187499997</v>
      </c>
      <c r="D6522" s="1">
        <v>45975.527314814812</v>
      </c>
      <c r="E6522" s="2">
        <f t="shared" si="101"/>
        <v>43.195127314815181</v>
      </c>
    </row>
    <row r="6523" spans="1:5" x14ac:dyDescent="0.25">
      <c r="A6523" t="s">
        <v>6</v>
      </c>
      <c r="B6523" t="s">
        <v>8</v>
      </c>
      <c r="C6523" s="1">
        <v>45818.236111111109</v>
      </c>
      <c r="D6523" s="1">
        <v>45859.28125</v>
      </c>
      <c r="E6523" s="2">
        <f t="shared" si="101"/>
        <v>41.045138888890506</v>
      </c>
    </row>
    <row r="6524" spans="1:5" x14ac:dyDescent="0.25">
      <c r="A6524" t="s">
        <v>22</v>
      </c>
      <c r="B6524" t="s">
        <v>19</v>
      </c>
      <c r="C6524" s="1">
        <v>46198.158333333333</v>
      </c>
      <c r="D6524" s="1">
        <v>46254.5</v>
      </c>
      <c r="E6524" s="2">
        <f t="shared" si="101"/>
        <v>56.341666666667152</v>
      </c>
    </row>
    <row r="6525" spans="1:5" x14ac:dyDescent="0.25">
      <c r="A6525" t="s">
        <v>7</v>
      </c>
      <c r="B6525" t="s">
        <v>8</v>
      </c>
      <c r="C6525" s="1">
        <v>45940.345833333333</v>
      </c>
      <c r="D6525" s="1">
        <v>45989.166666666657</v>
      </c>
      <c r="E6525" s="2">
        <f t="shared" si="101"/>
        <v>48.820833333324117</v>
      </c>
    </row>
    <row r="6526" spans="1:5" x14ac:dyDescent="0.25">
      <c r="A6526" t="s">
        <v>5</v>
      </c>
      <c r="B6526" t="s">
        <v>47</v>
      </c>
      <c r="C6526" s="1">
        <v>46049.5</v>
      </c>
      <c r="D6526" s="1">
        <v>46079.145833333343</v>
      </c>
      <c r="E6526" s="2">
        <f t="shared" si="101"/>
        <v>29.645833333343035</v>
      </c>
    </row>
    <row r="6527" spans="1:5" x14ac:dyDescent="0.25">
      <c r="A6527" t="s">
        <v>8</v>
      </c>
      <c r="B6527" t="s">
        <v>27</v>
      </c>
      <c r="C6527" s="1">
        <v>45719.203472222223</v>
      </c>
      <c r="D6527" s="1">
        <v>45771.379166666673</v>
      </c>
      <c r="E6527" s="2">
        <f t="shared" si="101"/>
        <v>52.175694444449618</v>
      </c>
    </row>
    <row r="6528" spans="1:5" x14ac:dyDescent="0.25">
      <c r="A6528" t="s">
        <v>26</v>
      </c>
      <c r="B6528" t="s">
        <v>21</v>
      </c>
      <c r="C6528" s="1">
        <v>46232.533333333333</v>
      </c>
      <c r="D6528" s="1">
        <v>46282.279166666667</v>
      </c>
      <c r="E6528" s="2">
        <f t="shared" si="101"/>
        <v>49.745833333334303</v>
      </c>
    </row>
    <row r="6529" spans="1:5" x14ac:dyDescent="0.25">
      <c r="A6529" t="s">
        <v>8</v>
      </c>
      <c r="B6529" t="s">
        <v>18</v>
      </c>
      <c r="C6529" s="1">
        <v>46157.003472222219</v>
      </c>
      <c r="D6529" s="1">
        <v>46195.804166666669</v>
      </c>
      <c r="E6529" s="2">
        <f t="shared" si="101"/>
        <v>38.800694444449618</v>
      </c>
    </row>
    <row r="6530" spans="1:5" x14ac:dyDescent="0.25">
      <c r="A6530" t="s">
        <v>5</v>
      </c>
      <c r="B6530" t="s">
        <v>8</v>
      </c>
      <c r="C6530" s="1">
        <v>45707.716666666667</v>
      </c>
      <c r="D6530" s="1">
        <v>45734.840219907397</v>
      </c>
      <c r="E6530" s="2">
        <f t="shared" ref="E6530:E6593" si="102">D6530-C6530</f>
        <v>27.123553240729962</v>
      </c>
    </row>
    <row r="6531" spans="1:5" x14ac:dyDescent="0.25">
      <c r="A6531" t="s">
        <v>12</v>
      </c>
      <c r="B6531" t="s">
        <v>13</v>
      </c>
      <c r="C6531" s="1">
        <v>46101.967361111107</v>
      </c>
      <c r="D6531" s="1">
        <v>46144.245833333327</v>
      </c>
      <c r="E6531" s="2">
        <f t="shared" si="102"/>
        <v>42.278472222220444</v>
      </c>
    </row>
    <row r="6532" spans="1:5" x14ac:dyDescent="0.25">
      <c r="A6532" t="s">
        <v>12</v>
      </c>
      <c r="B6532" t="s">
        <v>13</v>
      </c>
      <c r="C6532" s="1">
        <v>45845.878472222219</v>
      </c>
      <c r="D6532" s="1">
        <v>45896.416666666657</v>
      </c>
      <c r="E6532" s="2">
        <f t="shared" si="102"/>
        <v>50.538194444437977</v>
      </c>
    </row>
    <row r="6533" spans="1:5" x14ac:dyDescent="0.25">
      <c r="A6533" t="s">
        <v>13</v>
      </c>
      <c r="B6533" t="s">
        <v>8</v>
      </c>
      <c r="C6533" s="1">
        <v>45929.5</v>
      </c>
      <c r="D6533" s="1">
        <v>45957.322222222218</v>
      </c>
      <c r="E6533" s="2">
        <f t="shared" si="102"/>
        <v>27.822222222217533</v>
      </c>
    </row>
    <row r="6534" spans="1:5" x14ac:dyDescent="0.25">
      <c r="A6534" t="s">
        <v>12</v>
      </c>
      <c r="B6534" t="s">
        <v>13</v>
      </c>
      <c r="C6534" s="1">
        <v>45981.336111111108</v>
      </c>
      <c r="D6534" s="1">
        <v>46035.51666666667</v>
      </c>
      <c r="E6534" s="2">
        <f t="shared" si="102"/>
        <v>54.180555555562023</v>
      </c>
    </row>
    <row r="6535" spans="1:5" x14ac:dyDescent="0.25">
      <c r="A6535" t="s">
        <v>7</v>
      </c>
      <c r="B6535" t="s">
        <v>25</v>
      </c>
      <c r="C6535" s="1">
        <v>46203.318506944437</v>
      </c>
      <c r="D6535" s="1">
        <v>46280.880555555559</v>
      </c>
      <c r="E6535" s="2">
        <f t="shared" si="102"/>
        <v>77.562048611122009</v>
      </c>
    </row>
    <row r="6536" spans="1:5" x14ac:dyDescent="0.25">
      <c r="A6536" t="s">
        <v>13</v>
      </c>
      <c r="B6536" t="s">
        <v>8</v>
      </c>
      <c r="C6536" s="1">
        <v>45697.495833333327</v>
      </c>
      <c r="D6536" s="1">
        <v>45721</v>
      </c>
      <c r="E6536" s="2">
        <f t="shared" si="102"/>
        <v>23.504166666672972</v>
      </c>
    </row>
    <row r="6537" spans="1:5" x14ac:dyDescent="0.25">
      <c r="A6537" t="s">
        <v>13</v>
      </c>
      <c r="B6537" t="s">
        <v>8</v>
      </c>
      <c r="C6537" s="1">
        <v>45697.495833333327</v>
      </c>
      <c r="D6537" s="1">
        <v>45721</v>
      </c>
      <c r="E6537" s="2">
        <f t="shared" si="102"/>
        <v>23.504166666672972</v>
      </c>
    </row>
    <row r="6538" spans="1:5" x14ac:dyDescent="0.25">
      <c r="A6538" t="s">
        <v>13</v>
      </c>
      <c r="B6538" t="s">
        <v>8</v>
      </c>
      <c r="C6538" s="1">
        <v>45716.133333333331</v>
      </c>
      <c r="D6538" s="1">
        <v>45740.777777777781</v>
      </c>
      <c r="E6538" s="2">
        <f t="shared" si="102"/>
        <v>24.644444444449618</v>
      </c>
    </row>
    <row r="6539" spans="1:5" x14ac:dyDescent="0.25">
      <c r="A6539" t="s">
        <v>13</v>
      </c>
      <c r="B6539" t="s">
        <v>8</v>
      </c>
      <c r="C6539" s="1">
        <v>45753.333333333343</v>
      </c>
      <c r="D6539" s="1">
        <v>45777.254861111112</v>
      </c>
      <c r="E6539" s="2">
        <f t="shared" si="102"/>
        <v>23.92152777776937</v>
      </c>
    </row>
    <row r="6540" spans="1:5" x14ac:dyDescent="0.25">
      <c r="A6540" t="s">
        <v>13</v>
      </c>
      <c r="B6540" t="s">
        <v>8</v>
      </c>
      <c r="C6540" s="1">
        <v>45741.29583333333</v>
      </c>
      <c r="D6540" s="1">
        <v>45777</v>
      </c>
      <c r="E6540" s="2">
        <f t="shared" si="102"/>
        <v>35.704166666670062</v>
      </c>
    </row>
    <row r="6541" spans="1:5" x14ac:dyDescent="0.25">
      <c r="A6541" t="s">
        <v>15</v>
      </c>
      <c r="B6541" t="s">
        <v>13</v>
      </c>
      <c r="C6541" s="1">
        <v>45658.604166666657</v>
      </c>
      <c r="D6541" s="1">
        <v>45700.818055555559</v>
      </c>
      <c r="E6541" s="2">
        <f t="shared" si="102"/>
        <v>42.213888888902147</v>
      </c>
    </row>
    <row r="6542" spans="1:5" x14ac:dyDescent="0.25">
      <c r="A6542" t="s">
        <v>15</v>
      </c>
      <c r="B6542" t="s">
        <v>6</v>
      </c>
      <c r="C6542" s="1">
        <v>45666</v>
      </c>
      <c r="D6542" s="1">
        <v>45742.38958333333</v>
      </c>
      <c r="E6542" s="2">
        <f t="shared" si="102"/>
        <v>76.389583333329938</v>
      </c>
    </row>
    <row r="6543" spans="1:5" x14ac:dyDescent="0.25">
      <c r="A6543" t="s">
        <v>22</v>
      </c>
      <c r="B6543" t="s">
        <v>19</v>
      </c>
      <c r="C6543" s="1">
        <v>45963.606249999997</v>
      </c>
      <c r="D6543" s="1">
        <v>46019.107638888891</v>
      </c>
      <c r="E6543" s="2">
        <f t="shared" si="102"/>
        <v>55.501388888893416</v>
      </c>
    </row>
    <row r="6544" spans="1:5" x14ac:dyDescent="0.25">
      <c r="A6544" t="s">
        <v>22</v>
      </c>
      <c r="B6544" t="s">
        <v>19</v>
      </c>
      <c r="C6544" s="1">
        <v>46020.635416666657</v>
      </c>
      <c r="D6544" s="1">
        <v>46082.257638888892</v>
      </c>
      <c r="E6544" s="2">
        <f t="shared" si="102"/>
        <v>61.622222222234996</v>
      </c>
    </row>
    <row r="6545" spans="1:5" x14ac:dyDescent="0.25">
      <c r="A6545" t="s">
        <v>22</v>
      </c>
      <c r="B6545" t="s">
        <v>19</v>
      </c>
      <c r="C6545" s="1">
        <v>45883.767754629633</v>
      </c>
      <c r="D6545" s="1">
        <v>45932.267418981479</v>
      </c>
      <c r="E6545" s="2">
        <f t="shared" si="102"/>
        <v>48.49966435184615</v>
      </c>
    </row>
    <row r="6546" spans="1:5" x14ac:dyDescent="0.25">
      <c r="A6546" t="s">
        <v>5</v>
      </c>
      <c r="B6546" t="s">
        <v>8</v>
      </c>
      <c r="C6546" s="1">
        <v>45731.86041666667</v>
      </c>
      <c r="D6546" s="1">
        <v>45761.418541666673</v>
      </c>
      <c r="E6546" s="2">
        <f t="shared" si="102"/>
        <v>29.558125000003201</v>
      </c>
    </row>
    <row r="6547" spans="1:5" x14ac:dyDescent="0.25">
      <c r="A6547" t="s">
        <v>5</v>
      </c>
      <c r="B6547" t="s">
        <v>8</v>
      </c>
      <c r="C6547" s="1">
        <v>45731.86041666667</v>
      </c>
      <c r="D6547" s="1">
        <v>45761.418541666673</v>
      </c>
      <c r="E6547" s="2">
        <f t="shared" si="102"/>
        <v>29.558125000003201</v>
      </c>
    </row>
    <row r="6548" spans="1:5" x14ac:dyDescent="0.25">
      <c r="A6548" t="s">
        <v>5</v>
      </c>
      <c r="B6548" t="s">
        <v>8</v>
      </c>
      <c r="C6548" s="1">
        <v>46206.119351851848</v>
      </c>
      <c r="D6548" s="1">
        <v>46230.576724537037</v>
      </c>
      <c r="E6548" s="2">
        <f t="shared" si="102"/>
        <v>24.457372685188602</v>
      </c>
    </row>
    <row r="6549" spans="1:5" x14ac:dyDescent="0.25">
      <c r="A6549" t="s">
        <v>5</v>
      </c>
      <c r="B6549" t="s">
        <v>8</v>
      </c>
      <c r="C6549" s="1">
        <v>46130.83011574074</v>
      </c>
      <c r="D6549" s="1">
        <v>46159.978472222218</v>
      </c>
      <c r="E6549" s="2">
        <f t="shared" si="102"/>
        <v>29.148356481477094</v>
      </c>
    </row>
    <row r="6550" spans="1:5" x14ac:dyDescent="0.25">
      <c r="A6550" t="s">
        <v>7</v>
      </c>
      <c r="B6550" t="s">
        <v>8</v>
      </c>
      <c r="C6550" s="1">
        <v>45940.345833333333</v>
      </c>
      <c r="D6550" s="1">
        <v>45989.166666666657</v>
      </c>
      <c r="E6550" s="2">
        <f t="shared" si="102"/>
        <v>48.820833333324117</v>
      </c>
    </row>
    <row r="6551" spans="1:5" x14ac:dyDescent="0.25">
      <c r="A6551" t="s">
        <v>15</v>
      </c>
      <c r="B6551" t="s">
        <v>6</v>
      </c>
      <c r="C6551" s="1">
        <v>45908.037499999999</v>
      </c>
      <c r="D6551" s="1">
        <v>45967.804166666669</v>
      </c>
      <c r="E6551" s="2">
        <f t="shared" si="102"/>
        <v>59.766666666670062</v>
      </c>
    </row>
    <row r="6552" spans="1:5" x14ac:dyDescent="0.25">
      <c r="A6552" t="s">
        <v>5</v>
      </c>
      <c r="B6552" t="s">
        <v>8</v>
      </c>
      <c r="C6552" s="1">
        <v>45750.686111111107</v>
      </c>
      <c r="D6552" s="1">
        <v>45782.671527777777</v>
      </c>
      <c r="E6552" s="2">
        <f t="shared" si="102"/>
        <v>31.985416666670062</v>
      </c>
    </row>
    <row r="6553" spans="1:5" x14ac:dyDescent="0.25">
      <c r="A6553" t="s">
        <v>5</v>
      </c>
      <c r="B6553" t="s">
        <v>25</v>
      </c>
      <c r="C6553" s="1">
        <v>45757.627337962957</v>
      </c>
      <c r="D6553" s="1">
        <v>45822.643750000003</v>
      </c>
      <c r="E6553" s="2">
        <f t="shared" si="102"/>
        <v>65.016412037046393</v>
      </c>
    </row>
    <row r="6554" spans="1:5" x14ac:dyDescent="0.25">
      <c r="A6554" t="s">
        <v>28</v>
      </c>
      <c r="B6554" t="s">
        <v>13</v>
      </c>
      <c r="C6554" s="1">
        <v>46128.929861111108</v>
      </c>
      <c r="D6554" s="1">
        <v>46191.583333333343</v>
      </c>
      <c r="E6554" s="2">
        <f t="shared" si="102"/>
        <v>62.653472222234996</v>
      </c>
    </row>
    <row r="6555" spans="1:5" x14ac:dyDescent="0.25">
      <c r="A6555" t="s">
        <v>15</v>
      </c>
      <c r="B6555" t="s">
        <v>18</v>
      </c>
      <c r="C6555" s="1">
        <v>45661</v>
      </c>
      <c r="D6555" s="1">
        <v>45714.549305555563</v>
      </c>
      <c r="E6555" s="2">
        <f t="shared" si="102"/>
        <v>53.549305555563478</v>
      </c>
    </row>
    <row r="6556" spans="1:5" x14ac:dyDescent="0.25">
      <c r="A6556" t="s">
        <v>6</v>
      </c>
      <c r="B6556" t="s">
        <v>8</v>
      </c>
      <c r="C6556" s="1">
        <v>45779.34375</v>
      </c>
      <c r="D6556" s="1">
        <v>45839.076388888891</v>
      </c>
      <c r="E6556" s="2">
        <f t="shared" si="102"/>
        <v>59.732638888890506</v>
      </c>
    </row>
    <row r="6557" spans="1:5" x14ac:dyDescent="0.25">
      <c r="A6557" t="s">
        <v>15</v>
      </c>
      <c r="B6557" t="s">
        <v>6</v>
      </c>
      <c r="C6557" s="1">
        <v>45661</v>
      </c>
      <c r="D6557" s="1">
        <v>45715.087500000001</v>
      </c>
      <c r="E6557" s="2">
        <f t="shared" si="102"/>
        <v>54.087500000001455</v>
      </c>
    </row>
    <row r="6558" spans="1:5" x14ac:dyDescent="0.25">
      <c r="A6558" t="s">
        <v>22</v>
      </c>
      <c r="B6558" t="s">
        <v>19</v>
      </c>
      <c r="C6558" s="1">
        <v>45896.181435185194</v>
      </c>
      <c r="D6558" s="1">
        <v>45938.941678240742</v>
      </c>
      <c r="E6558" s="2">
        <f t="shared" si="102"/>
        <v>42.760243055548926</v>
      </c>
    </row>
    <row r="6559" spans="1:5" x14ac:dyDescent="0.25">
      <c r="A6559" t="s">
        <v>28</v>
      </c>
      <c r="B6559" t="s">
        <v>18</v>
      </c>
      <c r="C6559" s="1">
        <v>45834.243055555547</v>
      </c>
      <c r="D6559" s="1">
        <v>45897</v>
      </c>
      <c r="E6559" s="2">
        <f t="shared" si="102"/>
        <v>62.756944444452529</v>
      </c>
    </row>
    <row r="6560" spans="1:5" x14ac:dyDescent="0.25">
      <c r="A6560" t="s">
        <v>28</v>
      </c>
      <c r="B6560" t="s">
        <v>18</v>
      </c>
      <c r="C6560" s="1">
        <v>45852.695138888892</v>
      </c>
      <c r="D6560" s="1">
        <v>45917.230555555558</v>
      </c>
      <c r="E6560" s="2">
        <f t="shared" si="102"/>
        <v>64.535416666665697</v>
      </c>
    </row>
    <row r="6561" spans="1:5" x14ac:dyDescent="0.25">
      <c r="A6561" t="s">
        <v>27</v>
      </c>
      <c r="B6561" t="s">
        <v>8</v>
      </c>
      <c r="C6561" s="1">
        <v>45773.5</v>
      </c>
      <c r="D6561" s="1">
        <v>45830.208333333343</v>
      </c>
      <c r="E6561" s="2">
        <f t="shared" si="102"/>
        <v>56.708333333343035</v>
      </c>
    </row>
    <row r="6562" spans="1:5" x14ac:dyDescent="0.25">
      <c r="A6562" t="s">
        <v>7</v>
      </c>
      <c r="B6562" t="s">
        <v>13</v>
      </c>
      <c r="C6562" s="1">
        <v>46143.990277777782</v>
      </c>
      <c r="D6562" s="1">
        <v>46191.841666666667</v>
      </c>
      <c r="E6562" s="2">
        <f t="shared" si="102"/>
        <v>47.851388888884685</v>
      </c>
    </row>
    <row r="6563" spans="1:5" x14ac:dyDescent="0.25">
      <c r="A6563" t="s">
        <v>12</v>
      </c>
      <c r="B6563" t="s">
        <v>13</v>
      </c>
      <c r="C6563" s="1">
        <v>46043.625</v>
      </c>
      <c r="D6563" s="1">
        <v>46087.020833333343</v>
      </c>
      <c r="E6563" s="2">
        <f t="shared" si="102"/>
        <v>43.395833333343035</v>
      </c>
    </row>
    <row r="6564" spans="1:5" x14ac:dyDescent="0.25">
      <c r="A6564" t="s">
        <v>13</v>
      </c>
      <c r="B6564" t="s">
        <v>8</v>
      </c>
      <c r="C6564" s="1">
        <v>46031.404166666667</v>
      </c>
      <c r="D6564" s="1">
        <v>46055.6875</v>
      </c>
      <c r="E6564" s="2">
        <f t="shared" si="102"/>
        <v>24.283333333332848</v>
      </c>
    </row>
    <row r="6565" spans="1:5" x14ac:dyDescent="0.25">
      <c r="A6565" t="s">
        <v>12</v>
      </c>
      <c r="B6565" t="s">
        <v>18</v>
      </c>
      <c r="C6565" s="1">
        <v>45696.541666666657</v>
      </c>
      <c r="D6565" s="1">
        <v>45757.104166666657</v>
      </c>
      <c r="E6565" s="2">
        <f t="shared" si="102"/>
        <v>60.5625</v>
      </c>
    </row>
    <row r="6566" spans="1:5" x14ac:dyDescent="0.25">
      <c r="A6566" t="s">
        <v>20</v>
      </c>
      <c r="B6566" t="s">
        <v>8</v>
      </c>
      <c r="C6566" s="1">
        <v>45867.408333333333</v>
      </c>
      <c r="D6566" s="1">
        <v>45896.864583333343</v>
      </c>
      <c r="E6566" s="2">
        <f t="shared" si="102"/>
        <v>29.456250000010186</v>
      </c>
    </row>
    <row r="6567" spans="1:5" x14ac:dyDescent="0.25">
      <c r="A6567" t="s">
        <v>8</v>
      </c>
      <c r="B6567" t="s">
        <v>18</v>
      </c>
      <c r="C6567" s="1">
        <v>46220.605555555558</v>
      </c>
      <c r="D6567" s="1">
        <v>46269.7</v>
      </c>
      <c r="E6567" s="2">
        <f t="shared" si="102"/>
        <v>49.094444444439432</v>
      </c>
    </row>
    <row r="6568" spans="1:5" x14ac:dyDescent="0.25">
      <c r="A6568" t="s">
        <v>20</v>
      </c>
      <c r="B6568" t="s">
        <v>8</v>
      </c>
      <c r="C6568" s="1">
        <v>46001.870833333327</v>
      </c>
      <c r="D6568" s="1">
        <v>46043.974305555559</v>
      </c>
      <c r="E6568" s="2">
        <f t="shared" si="102"/>
        <v>42.103472222232085</v>
      </c>
    </row>
    <row r="6569" spans="1:5" x14ac:dyDescent="0.25">
      <c r="A6569" t="s">
        <v>8</v>
      </c>
      <c r="B6569" t="s">
        <v>18</v>
      </c>
      <c r="C6569" s="1">
        <v>46192.1875</v>
      </c>
      <c r="D6569" s="1">
        <v>46227.5</v>
      </c>
      <c r="E6569" s="2">
        <f t="shared" si="102"/>
        <v>35.3125</v>
      </c>
    </row>
    <row r="6570" spans="1:5" x14ac:dyDescent="0.25">
      <c r="A6570" t="s">
        <v>20</v>
      </c>
      <c r="B6570" t="s">
        <v>8</v>
      </c>
      <c r="C6570" s="1">
        <v>45926.558333333327</v>
      </c>
      <c r="D6570" s="1">
        <v>45959.708333333343</v>
      </c>
      <c r="E6570" s="2">
        <f t="shared" si="102"/>
        <v>33.150000000016007</v>
      </c>
    </row>
    <row r="6571" spans="1:5" x14ac:dyDescent="0.25">
      <c r="A6571" t="s">
        <v>23</v>
      </c>
      <c r="B6571" t="s">
        <v>18</v>
      </c>
      <c r="C6571" s="1">
        <v>46100.208333333343</v>
      </c>
      <c r="D6571" s="1">
        <v>46156.002083333333</v>
      </c>
      <c r="E6571" s="2">
        <f t="shared" si="102"/>
        <v>55.793749999989814</v>
      </c>
    </row>
    <row r="6572" spans="1:5" x14ac:dyDescent="0.25">
      <c r="A6572" t="s">
        <v>8</v>
      </c>
      <c r="B6572" t="s">
        <v>18</v>
      </c>
      <c r="C6572" s="1">
        <v>46192.1875</v>
      </c>
      <c r="D6572" s="1">
        <v>46227.5</v>
      </c>
      <c r="E6572" s="2">
        <f t="shared" si="102"/>
        <v>35.3125</v>
      </c>
    </row>
    <row r="6573" spans="1:5" x14ac:dyDescent="0.25">
      <c r="A6573" t="s">
        <v>13</v>
      </c>
      <c r="B6573" t="s">
        <v>8</v>
      </c>
      <c r="C6573" s="1">
        <v>46096.906944444447</v>
      </c>
      <c r="D6573" s="1">
        <v>46120.779166666667</v>
      </c>
      <c r="E6573" s="2">
        <f t="shared" si="102"/>
        <v>23.872222222220444</v>
      </c>
    </row>
    <row r="6574" spans="1:5" x14ac:dyDescent="0.25">
      <c r="A6574" t="s">
        <v>8</v>
      </c>
      <c r="B6574" t="s">
        <v>18</v>
      </c>
      <c r="C6574" s="1">
        <v>46162.799305555563</v>
      </c>
      <c r="D6574" s="1">
        <v>46210.020833333343</v>
      </c>
      <c r="E6574" s="2">
        <f t="shared" si="102"/>
        <v>47.221527777779556</v>
      </c>
    </row>
    <row r="6575" spans="1:5" x14ac:dyDescent="0.25">
      <c r="A6575" t="s">
        <v>15</v>
      </c>
      <c r="B6575" t="s">
        <v>18</v>
      </c>
      <c r="C6575" s="1">
        <v>46027.209722222222</v>
      </c>
      <c r="D6575" s="1">
        <v>46079.863888888889</v>
      </c>
      <c r="E6575" s="2">
        <f t="shared" si="102"/>
        <v>52.654166666667152</v>
      </c>
    </row>
    <row r="6576" spans="1:5" x14ac:dyDescent="0.25">
      <c r="A6576" t="s">
        <v>15</v>
      </c>
      <c r="B6576" t="s">
        <v>18</v>
      </c>
      <c r="C6576" s="1">
        <v>46027.209722222222</v>
      </c>
      <c r="D6576" s="1">
        <v>46079.863888888889</v>
      </c>
      <c r="E6576" s="2">
        <f t="shared" si="102"/>
        <v>52.654166666667152</v>
      </c>
    </row>
    <row r="6577" spans="1:5" x14ac:dyDescent="0.25">
      <c r="A6577" t="s">
        <v>12</v>
      </c>
      <c r="B6577" t="s">
        <v>13</v>
      </c>
      <c r="C6577" s="1">
        <v>46094.051388888889</v>
      </c>
      <c r="D6577" s="1">
        <v>46140.6</v>
      </c>
      <c r="E6577" s="2">
        <f t="shared" si="102"/>
        <v>46.548611111109494</v>
      </c>
    </row>
    <row r="6578" spans="1:5" x14ac:dyDescent="0.25">
      <c r="A6578" t="s">
        <v>12</v>
      </c>
      <c r="B6578" t="s">
        <v>13</v>
      </c>
      <c r="C6578" s="1">
        <v>46056.25277777778</v>
      </c>
      <c r="D6578" s="1">
        <v>46095.833333333343</v>
      </c>
      <c r="E6578" s="2">
        <f t="shared" si="102"/>
        <v>39.580555555563478</v>
      </c>
    </row>
    <row r="6579" spans="1:5" x14ac:dyDescent="0.25">
      <c r="A6579" t="s">
        <v>13</v>
      </c>
      <c r="B6579" t="s">
        <v>8</v>
      </c>
      <c r="C6579" s="1">
        <v>46102.775000000001</v>
      </c>
      <c r="D6579" s="1">
        <v>46127.65902777778</v>
      </c>
      <c r="E6579" s="2">
        <f t="shared" si="102"/>
        <v>24.884027777778101</v>
      </c>
    </row>
    <row r="6580" spans="1:5" x14ac:dyDescent="0.25">
      <c r="A6580" t="s">
        <v>12</v>
      </c>
      <c r="B6580" t="s">
        <v>13</v>
      </c>
      <c r="C6580" s="1">
        <v>46012.541666666657</v>
      </c>
      <c r="D6580" s="1">
        <v>46071.030555555553</v>
      </c>
      <c r="E6580" s="2">
        <f t="shared" si="102"/>
        <v>58.488888888896327</v>
      </c>
    </row>
    <row r="6581" spans="1:5" x14ac:dyDescent="0.25">
      <c r="A6581" t="s">
        <v>13</v>
      </c>
      <c r="B6581" t="s">
        <v>8</v>
      </c>
      <c r="C6581" s="1">
        <v>46031.404166666667</v>
      </c>
      <c r="D6581" s="1">
        <v>46055.6875</v>
      </c>
      <c r="E6581" s="2">
        <f t="shared" si="102"/>
        <v>24.283333333332848</v>
      </c>
    </row>
    <row r="6582" spans="1:5" x14ac:dyDescent="0.25">
      <c r="A6582" t="s">
        <v>20</v>
      </c>
      <c r="B6582" t="s">
        <v>8</v>
      </c>
      <c r="C6582" s="1">
        <v>46123.35</v>
      </c>
      <c r="D6582" s="1">
        <v>46168.885416666657</v>
      </c>
      <c r="E6582" s="2">
        <f t="shared" si="102"/>
        <v>45.535416666658421</v>
      </c>
    </row>
    <row r="6583" spans="1:5" x14ac:dyDescent="0.25">
      <c r="A6583" t="s">
        <v>14</v>
      </c>
      <c r="B6583" t="s">
        <v>22</v>
      </c>
      <c r="C6583" s="1">
        <v>46017.7</v>
      </c>
      <c r="D6583" s="1">
        <v>46100.583333333343</v>
      </c>
      <c r="E6583" s="2">
        <f t="shared" si="102"/>
        <v>82.883333333345945</v>
      </c>
    </row>
    <row r="6584" spans="1:5" x14ac:dyDescent="0.25">
      <c r="A6584" t="s">
        <v>13</v>
      </c>
      <c r="B6584" t="s">
        <v>8</v>
      </c>
      <c r="C6584" s="1">
        <v>46130.258333333331</v>
      </c>
      <c r="D6584" s="1">
        <v>46153.31527777778</v>
      </c>
      <c r="E6584" s="2">
        <f t="shared" si="102"/>
        <v>23.056944444448163</v>
      </c>
    </row>
    <row r="6585" spans="1:5" x14ac:dyDescent="0.25">
      <c r="A6585" t="s">
        <v>15</v>
      </c>
      <c r="B6585" t="s">
        <v>13</v>
      </c>
      <c r="C6585" s="1">
        <v>46056.068055555559</v>
      </c>
      <c r="D6585" s="1">
        <v>46095.833333333343</v>
      </c>
      <c r="E6585" s="2">
        <f t="shared" si="102"/>
        <v>39.765277777783922</v>
      </c>
    </row>
    <row r="6586" spans="1:5" x14ac:dyDescent="0.25">
      <c r="A6586" t="s">
        <v>15</v>
      </c>
      <c r="B6586" t="s">
        <v>13</v>
      </c>
      <c r="C6586" s="1">
        <v>46056.068055555559</v>
      </c>
      <c r="D6586" s="1">
        <v>46095.833333333343</v>
      </c>
      <c r="E6586" s="2">
        <f t="shared" si="102"/>
        <v>39.765277777783922</v>
      </c>
    </row>
    <row r="6587" spans="1:5" x14ac:dyDescent="0.25">
      <c r="A6587" t="s">
        <v>15</v>
      </c>
      <c r="B6587" t="s">
        <v>6</v>
      </c>
      <c r="C6587" s="1">
        <v>46191.502083333333</v>
      </c>
      <c r="D6587" s="1">
        <v>46256.753912037027</v>
      </c>
      <c r="E6587" s="2">
        <f t="shared" si="102"/>
        <v>65.251828703694628</v>
      </c>
    </row>
    <row r="6588" spans="1:5" x14ac:dyDescent="0.25">
      <c r="A6588" t="s">
        <v>15</v>
      </c>
      <c r="B6588" t="s">
        <v>16</v>
      </c>
      <c r="C6588" s="1">
        <v>46092.2</v>
      </c>
      <c r="D6588" s="1">
        <v>46111.666666666657</v>
      </c>
      <c r="E6588" s="2">
        <f t="shared" si="102"/>
        <v>19.466666666659876</v>
      </c>
    </row>
    <row r="6589" spans="1:5" x14ac:dyDescent="0.25">
      <c r="A6589" t="s">
        <v>15</v>
      </c>
      <c r="B6589" t="s">
        <v>16</v>
      </c>
      <c r="C6589" s="1">
        <v>46144.999305555553</v>
      </c>
      <c r="D6589" s="1">
        <v>46157.333333333343</v>
      </c>
      <c r="E6589" s="2">
        <f t="shared" si="102"/>
        <v>12.334027777789743</v>
      </c>
    </row>
    <row r="6590" spans="1:5" x14ac:dyDescent="0.25">
      <c r="A6590" t="s">
        <v>15</v>
      </c>
      <c r="B6590" t="s">
        <v>8</v>
      </c>
      <c r="C6590" s="1">
        <v>46135.581250000003</v>
      </c>
      <c r="D6590" s="1">
        <v>46173.291666666657</v>
      </c>
      <c r="E6590" s="2">
        <f t="shared" si="102"/>
        <v>37.710416666654055</v>
      </c>
    </row>
    <row r="6591" spans="1:5" x14ac:dyDescent="0.25">
      <c r="A6591" t="s">
        <v>28</v>
      </c>
      <c r="B6591" t="s">
        <v>13</v>
      </c>
      <c r="C6591" s="1">
        <v>46102.463194444441</v>
      </c>
      <c r="D6591" s="1">
        <v>46166.750694444447</v>
      </c>
      <c r="E6591" s="2">
        <f t="shared" si="102"/>
        <v>64.287500000005821</v>
      </c>
    </row>
    <row r="6592" spans="1:5" x14ac:dyDescent="0.25">
      <c r="A6592" t="s">
        <v>12</v>
      </c>
      <c r="B6592" t="s">
        <v>8</v>
      </c>
      <c r="C6592" s="1">
        <v>46065.302083333343</v>
      </c>
      <c r="D6592" s="1">
        <v>46117.375</v>
      </c>
      <c r="E6592" s="2">
        <f t="shared" si="102"/>
        <v>52.072916666656965</v>
      </c>
    </row>
    <row r="6593" spans="1:5" x14ac:dyDescent="0.25">
      <c r="A6593" t="s">
        <v>28</v>
      </c>
      <c r="B6593" t="s">
        <v>18</v>
      </c>
      <c r="C6593" s="1">
        <v>45824.886111111111</v>
      </c>
      <c r="D6593" s="1">
        <v>45891</v>
      </c>
      <c r="E6593" s="2">
        <f t="shared" si="102"/>
        <v>66.113888888889051</v>
      </c>
    </row>
    <row r="6594" spans="1:5" x14ac:dyDescent="0.25">
      <c r="A6594" t="s">
        <v>22</v>
      </c>
      <c r="B6594" t="s">
        <v>19</v>
      </c>
      <c r="C6594" s="1">
        <v>45873.851388888892</v>
      </c>
      <c r="D6594" s="1">
        <v>45931.597916666673</v>
      </c>
      <c r="E6594" s="2">
        <f t="shared" ref="E6594:E6657" si="103">D6594-C6594</f>
        <v>57.746527777781012</v>
      </c>
    </row>
    <row r="6595" spans="1:5" x14ac:dyDescent="0.25">
      <c r="A6595" t="s">
        <v>22</v>
      </c>
      <c r="B6595" t="s">
        <v>6</v>
      </c>
      <c r="C6595" s="1">
        <v>45950.506249999999</v>
      </c>
      <c r="D6595" s="1">
        <v>46018.712500000001</v>
      </c>
      <c r="E6595" s="2">
        <f t="shared" si="103"/>
        <v>68.20625000000291</v>
      </c>
    </row>
    <row r="6596" spans="1:5" x14ac:dyDescent="0.25">
      <c r="A6596" t="s">
        <v>22</v>
      </c>
      <c r="B6596" t="s">
        <v>19</v>
      </c>
      <c r="C6596" s="1">
        <v>46223.229166666657</v>
      </c>
      <c r="D6596" s="1">
        <v>46261.552777777782</v>
      </c>
      <c r="E6596" s="2">
        <f t="shared" si="103"/>
        <v>38.323611111125501</v>
      </c>
    </row>
    <row r="6597" spans="1:5" x14ac:dyDescent="0.25">
      <c r="A6597" t="s">
        <v>8</v>
      </c>
      <c r="B6597" t="s">
        <v>44</v>
      </c>
      <c r="C6597" s="1">
        <v>45792.245138888888</v>
      </c>
      <c r="D6597" s="1">
        <v>45835.48541666667</v>
      </c>
      <c r="E6597" s="2">
        <f t="shared" si="103"/>
        <v>43.240277777782467</v>
      </c>
    </row>
    <row r="6598" spans="1:5" x14ac:dyDescent="0.25">
      <c r="A6598" t="s">
        <v>27</v>
      </c>
      <c r="B6598" t="s">
        <v>18</v>
      </c>
      <c r="C6598" s="1">
        <v>46126.137499999997</v>
      </c>
      <c r="D6598" s="1">
        <v>46189.661805555559</v>
      </c>
      <c r="E6598" s="2">
        <f t="shared" si="103"/>
        <v>63.524305555562023</v>
      </c>
    </row>
    <row r="6599" spans="1:5" x14ac:dyDescent="0.25">
      <c r="A6599" t="s">
        <v>22</v>
      </c>
      <c r="B6599" t="s">
        <v>19</v>
      </c>
      <c r="C6599" s="1">
        <v>45929.545138888891</v>
      </c>
      <c r="D6599" s="1">
        <v>45983.279166666667</v>
      </c>
      <c r="E6599" s="2">
        <f t="shared" si="103"/>
        <v>53.734027777776646</v>
      </c>
    </row>
    <row r="6600" spans="1:5" x14ac:dyDescent="0.25">
      <c r="A6600" t="s">
        <v>22</v>
      </c>
      <c r="B6600" t="s">
        <v>19</v>
      </c>
      <c r="C6600" s="1">
        <v>45957.61041666667</v>
      </c>
      <c r="D6600" s="1">
        <v>46011.899305555547</v>
      </c>
      <c r="E6600" s="2">
        <f t="shared" si="103"/>
        <v>54.288888888877409</v>
      </c>
    </row>
    <row r="6601" spans="1:5" x14ac:dyDescent="0.25">
      <c r="A6601" t="s">
        <v>27</v>
      </c>
      <c r="B6601" t="s">
        <v>8</v>
      </c>
      <c r="C6601" s="1">
        <v>46215.717361111107</v>
      </c>
      <c r="D6601" s="1">
        <v>46278.109027777777</v>
      </c>
      <c r="E6601" s="2">
        <f t="shared" si="103"/>
        <v>62.391666666670062</v>
      </c>
    </row>
    <row r="6602" spans="1:5" x14ac:dyDescent="0.25">
      <c r="A6602" t="s">
        <v>7</v>
      </c>
      <c r="B6602" t="s">
        <v>20</v>
      </c>
      <c r="C6602" s="1">
        <v>45880.813888888893</v>
      </c>
      <c r="D6602" s="1">
        <v>45938.824999999997</v>
      </c>
      <c r="E6602" s="2">
        <f t="shared" si="103"/>
        <v>58.011111111103673</v>
      </c>
    </row>
    <row r="6603" spans="1:5" x14ac:dyDescent="0.25">
      <c r="A6603" t="s">
        <v>22</v>
      </c>
      <c r="B6603" t="s">
        <v>19</v>
      </c>
      <c r="C6603" s="1">
        <v>46020.635416666657</v>
      </c>
      <c r="D6603" s="1">
        <v>46082.257638888892</v>
      </c>
      <c r="E6603" s="2">
        <f t="shared" si="103"/>
        <v>61.622222222234996</v>
      </c>
    </row>
    <row r="6604" spans="1:5" x14ac:dyDescent="0.25">
      <c r="A6604" t="s">
        <v>15</v>
      </c>
      <c r="B6604" t="s">
        <v>8</v>
      </c>
      <c r="C6604" s="1">
        <v>45724.95416666667</v>
      </c>
      <c r="D6604" s="1">
        <v>45777</v>
      </c>
      <c r="E6604" s="2">
        <f t="shared" si="103"/>
        <v>52.045833333329938</v>
      </c>
    </row>
    <row r="6605" spans="1:5" x14ac:dyDescent="0.25">
      <c r="A6605" t="s">
        <v>27</v>
      </c>
      <c r="B6605" t="s">
        <v>20</v>
      </c>
      <c r="C6605" s="1">
        <v>45751.481249999997</v>
      </c>
      <c r="D6605" s="1">
        <v>45824.612500000003</v>
      </c>
      <c r="E6605" s="2">
        <f t="shared" si="103"/>
        <v>73.131250000005821</v>
      </c>
    </row>
    <row r="6606" spans="1:5" x14ac:dyDescent="0.25">
      <c r="A6606" t="s">
        <v>12</v>
      </c>
      <c r="B6606" t="s">
        <v>13</v>
      </c>
      <c r="C6606" s="1">
        <v>45879.837500000001</v>
      </c>
      <c r="D6606" s="1">
        <v>45932.57916666667</v>
      </c>
      <c r="E6606" s="2">
        <f t="shared" si="103"/>
        <v>52.741666666668607</v>
      </c>
    </row>
    <row r="6607" spans="1:5" x14ac:dyDescent="0.25">
      <c r="A6607" t="s">
        <v>16</v>
      </c>
      <c r="B6607" t="s">
        <v>20</v>
      </c>
      <c r="C6607" s="1">
        <v>45703.462500000001</v>
      </c>
      <c r="D6607" s="1">
        <v>45747.083333333343</v>
      </c>
      <c r="E6607" s="2">
        <f t="shared" si="103"/>
        <v>43.620833333341579</v>
      </c>
    </row>
    <row r="6608" spans="1:5" x14ac:dyDescent="0.25">
      <c r="A6608" t="s">
        <v>9</v>
      </c>
      <c r="B6608" t="s">
        <v>8</v>
      </c>
      <c r="C6608" s="1">
        <v>46000.166666666657</v>
      </c>
      <c r="D6608" s="1">
        <v>46039.5</v>
      </c>
      <c r="E6608" s="2">
        <f t="shared" si="103"/>
        <v>39.333333333343035</v>
      </c>
    </row>
    <row r="6609" spans="1:5" x14ac:dyDescent="0.25">
      <c r="A6609" t="s">
        <v>34</v>
      </c>
      <c r="B6609" t="s">
        <v>8</v>
      </c>
      <c r="C6609" s="1">
        <v>45901.406944444447</v>
      </c>
      <c r="D6609" s="1">
        <v>45932.709027777782</v>
      </c>
      <c r="E6609" s="2">
        <f t="shared" si="103"/>
        <v>31.302083333335759</v>
      </c>
    </row>
    <row r="6610" spans="1:5" x14ac:dyDescent="0.25">
      <c r="A6610" t="s">
        <v>22</v>
      </c>
      <c r="B6610" t="s">
        <v>51</v>
      </c>
      <c r="C6610" s="1">
        <v>45998.75</v>
      </c>
      <c r="D6610" s="1">
        <v>46075.638888888891</v>
      </c>
      <c r="E6610" s="2">
        <f t="shared" si="103"/>
        <v>76.888888888890506</v>
      </c>
    </row>
    <row r="6611" spans="1:5" x14ac:dyDescent="0.25">
      <c r="A6611" t="s">
        <v>22</v>
      </c>
      <c r="B6611" t="s">
        <v>19</v>
      </c>
      <c r="C6611" s="1">
        <v>46090.125694444447</v>
      </c>
      <c r="D6611" s="1">
        <v>46144.47152777778</v>
      </c>
      <c r="E6611" s="2">
        <f t="shared" si="103"/>
        <v>54.345833333332848</v>
      </c>
    </row>
    <row r="6612" spans="1:5" x14ac:dyDescent="0.25">
      <c r="A6612" t="s">
        <v>12</v>
      </c>
      <c r="B6612" t="s">
        <v>18</v>
      </c>
      <c r="C6612" s="1">
        <v>45696.541666666657</v>
      </c>
      <c r="D6612" s="1">
        <v>45757.104166666657</v>
      </c>
      <c r="E6612" s="2">
        <f t="shared" si="103"/>
        <v>60.5625</v>
      </c>
    </row>
    <row r="6613" spans="1:5" x14ac:dyDescent="0.25">
      <c r="A6613" t="s">
        <v>22</v>
      </c>
      <c r="B6613" t="s">
        <v>6</v>
      </c>
      <c r="C6613" s="1">
        <v>45908.133333333331</v>
      </c>
      <c r="D6613" s="1">
        <v>45972.361805555563</v>
      </c>
      <c r="E6613" s="2">
        <f t="shared" si="103"/>
        <v>64.228472222232085</v>
      </c>
    </row>
    <row r="6614" spans="1:5" x14ac:dyDescent="0.25">
      <c r="A6614" t="s">
        <v>14</v>
      </c>
      <c r="B6614" t="s">
        <v>11</v>
      </c>
      <c r="C6614" s="1">
        <v>45714.987500000003</v>
      </c>
      <c r="D6614" s="1">
        <v>45769.589583333327</v>
      </c>
      <c r="E6614" s="2">
        <f t="shared" si="103"/>
        <v>54.602083333324117</v>
      </c>
    </row>
    <row r="6615" spans="1:5" x14ac:dyDescent="0.25">
      <c r="A6615" t="s">
        <v>13</v>
      </c>
      <c r="B6615" t="s">
        <v>8</v>
      </c>
      <c r="C6615" s="1">
        <v>46078.533333333333</v>
      </c>
      <c r="D6615" s="1">
        <v>46107.035416666673</v>
      </c>
      <c r="E6615" s="2">
        <f t="shared" si="103"/>
        <v>28.502083333340124</v>
      </c>
    </row>
    <row r="6616" spans="1:5" x14ac:dyDescent="0.25">
      <c r="A6616" t="s">
        <v>11</v>
      </c>
      <c r="B6616" t="s">
        <v>21</v>
      </c>
      <c r="C6616" s="1">
        <v>46185.310416666667</v>
      </c>
      <c r="D6616" s="1">
        <v>46197.404166666667</v>
      </c>
      <c r="E6616" s="2">
        <f t="shared" si="103"/>
        <v>12.09375</v>
      </c>
    </row>
    <row r="6617" spans="1:5" x14ac:dyDescent="0.25">
      <c r="A6617" t="s">
        <v>8</v>
      </c>
      <c r="B6617" t="s">
        <v>18</v>
      </c>
      <c r="C6617" s="1">
        <v>46234.25</v>
      </c>
      <c r="D6617" s="1">
        <v>46284.76666666667</v>
      </c>
      <c r="E6617" s="2">
        <f t="shared" si="103"/>
        <v>50.516666666670062</v>
      </c>
    </row>
    <row r="6618" spans="1:5" x14ac:dyDescent="0.25">
      <c r="A6618" t="s">
        <v>7</v>
      </c>
      <c r="B6618" t="s">
        <v>13</v>
      </c>
      <c r="C6618" s="1">
        <v>45869.5</v>
      </c>
      <c r="D6618" s="1">
        <v>45911.708333333343</v>
      </c>
      <c r="E6618" s="2">
        <f t="shared" si="103"/>
        <v>42.208333333343035</v>
      </c>
    </row>
    <row r="6619" spans="1:5" x14ac:dyDescent="0.25">
      <c r="A6619" t="s">
        <v>6</v>
      </c>
      <c r="B6619" t="s">
        <v>8</v>
      </c>
      <c r="C6619" s="1">
        <v>45877.553472222222</v>
      </c>
      <c r="D6619" s="1">
        <v>45915.506249999999</v>
      </c>
      <c r="E6619" s="2">
        <f t="shared" si="103"/>
        <v>37.952777777776646</v>
      </c>
    </row>
    <row r="6620" spans="1:5" x14ac:dyDescent="0.25">
      <c r="A6620" t="s">
        <v>12</v>
      </c>
      <c r="B6620" t="s">
        <v>13</v>
      </c>
      <c r="C6620" s="1">
        <v>45947.123611111107</v>
      </c>
      <c r="D6620" s="1">
        <v>45988.083333333343</v>
      </c>
      <c r="E6620" s="2">
        <f t="shared" si="103"/>
        <v>40.959722222236451</v>
      </c>
    </row>
    <row r="6621" spans="1:5" x14ac:dyDescent="0.25">
      <c r="A6621" t="s">
        <v>19</v>
      </c>
      <c r="B6621" t="s">
        <v>8</v>
      </c>
      <c r="C6621" s="1">
        <v>46026.908333333333</v>
      </c>
      <c r="D6621" s="1">
        <v>46050.554166666669</v>
      </c>
      <c r="E6621" s="2">
        <f t="shared" si="103"/>
        <v>23.645833333335759</v>
      </c>
    </row>
    <row r="6622" spans="1:5" x14ac:dyDescent="0.25">
      <c r="A6622" t="s">
        <v>12</v>
      </c>
      <c r="B6622" t="s">
        <v>13</v>
      </c>
      <c r="C6622" s="1">
        <v>46019.85</v>
      </c>
      <c r="D6622" s="1">
        <v>46071.101388888892</v>
      </c>
      <c r="E6622" s="2">
        <f t="shared" si="103"/>
        <v>51.251388888893416</v>
      </c>
    </row>
    <row r="6623" spans="1:5" x14ac:dyDescent="0.25">
      <c r="A6623" t="s">
        <v>12</v>
      </c>
      <c r="B6623" t="s">
        <v>18</v>
      </c>
      <c r="C6623" s="1">
        <v>45825.043055555558</v>
      </c>
      <c r="D6623" s="1">
        <v>45891.20208333333</v>
      </c>
      <c r="E6623" s="2">
        <f t="shared" si="103"/>
        <v>66.15902777777228</v>
      </c>
    </row>
    <row r="6624" spans="1:5" x14ac:dyDescent="0.25">
      <c r="A6624" t="s">
        <v>8</v>
      </c>
      <c r="B6624" t="s">
        <v>18</v>
      </c>
      <c r="C6624" s="1">
        <v>46149.661805555559</v>
      </c>
      <c r="D6624" s="1">
        <v>46195.804166666669</v>
      </c>
      <c r="E6624" s="2">
        <f t="shared" si="103"/>
        <v>46.142361111109494</v>
      </c>
    </row>
    <row r="6625" spans="1:5" x14ac:dyDescent="0.25">
      <c r="A6625" t="s">
        <v>20</v>
      </c>
      <c r="B6625" t="s">
        <v>8</v>
      </c>
      <c r="C6625" s="1">
        <v>46209.92083333333</v>
      </c>
      <c r="D6625" s="1">
        <v>46240.494444444441</v>
      </c>
      <c r="E6625" s="2">
        <f t="shared" si="103"/>
        <v>30.573611111110949</v>
      </c>
    </row>
    <row r="6626" spans="1:5" x14ac:dyDescent="0.25">
      <c r="A6626" t="s">
        <v>16</v>
      </c>
      <c r="B6626" t="s">
        <v>13</v>
      </c>
      <c r="C6626" s="1">
        <v>45687.745833333327</v>
      </c>
      <c r="D6626" s="1">
        <v>45737.269444444442</v>
      </c>
      <c r="E6626" s="2">
        <f t="shared" si="103"/>
        <v>49.523611111115315</v>
      </c>
    </row>
    <row r="6627" spans="1:5" x14ac:dyDescent="0.25">
      <c r="A6627" t="s">
        <v>16</v>
      </c>
      <c r="B6627" t="s">
        <v>20</v>
      </c>
      <c r="C6627" s="1">
        <v>45744.76666666667</v>
      </c>
      <c r="D6627" s="1">
        <v>45802.775000000001</v>
      </c>
      <c r="E6627" s="2">
        <f t="shared" si="103"/>
        <v>58.008333333331393</v>
      </c>
    </row>
    <row r="6628" spans="1:5" x14ac:dyDescent="0.25">
      <c r="A6628" t="s">
        <v>13</v>
      </c>
      <c r="B6628" t="s">
        <v>8</v>
      </c>
      <c r="C6628" s="1">
        <v>45929.5</v>
      </c>
      <c r="D6628" s="1">
        <v>45957.322222222218</v>
      </c>
      <c r="E6628" s="2">
        <f t="shared" si="103"/>
        <v>27.822222222217533</v>
      </c>
    </row>
    <row r="6629" spans="1:5" x14ac:dyDescent="0.25">
      <c r="A6629" t="s">
        <v>13</v>
      </c>
      <c r="B6629" t="s">
        <v>8</v>
      </c>
      <c r="C6629" s="1">
        <v>45708.916666666657</v>
      </c>
      <c r="D6629" s="1">
        <v>45733.46875</v>
      </c>
      <c r="E6629" s="2">
        <f t="shared" si="103"/>
        <v>24.552083333343035</v>
      </c>
    </row>
    <row r="6630" spans="1:5" x14ac:dyDescent="0.25">
      <c r="A6630" t="s">
        <v>9</v>
      </c>
      <c r="B6630" t="s">
        <v>11</v>
      </c>
      <c r="C6630" s="1">
        <v>45732.029861111107</v>
      </c>
      <c r="D6630" s="1">
        <v>45812.137499999997</v>
      </c>
      <c r="E6630" s="2">
        <f t="shared" si="103"/>
        <v>80.107638888890506</v>
      </c>
    </row>
    <row r="6631" spans="1:5" x14ac:dyDescent="0.25">
      <c r="A6631" t="s">
        <v>12</v>
      </c>
      <c r="B6631" t="s">
        <v>18</v>
      </c>
      <c r="C6631" s="1">
        <v>45810.623611111107</v>
      </c>
      <c r="D6631" s="1">
        <v>45869.003472222219</v>
      </c>
      <c r="E6631" s="2">
        <f t="shared" si="103"/>
        <v>58.379861111112405</v>
      </c>
    </row>
    <row r="6632" spans="1:5" x14ac:dyDescent="0.25">
      <c r="A6632" t="s">
        <v>13</v>
      </c>
      <c r="B6632" t="s">
        <v>8</v>
      </c>
      <c r="C6632" s="1">
        <v>45968.9</v>
      </c>
      <c r="D6632" s="1">
        <v>45993.147222222222</v>
      </c>
      <c r="E6632" s="2">
        <f t="shared" si="103"/>
        <v>24.247222222220444</v>
      </c>
    </row>
    <row r="6633" spans="1:5" x14ac:dyDescent="0.25">
      <c r="A6633" t="s">
        <v>8</v>
      </c>
      <c r="B6633" t="s">
        <v>6</v>
      </c>
      <c r="C6633" s="1">
        <v>45765.947916666657</v>
      </c>
      <c r="D6633" s="1">
        <v>45811.491666666669</v>
      </c>
      <c r="E6633" s="2">
        <f t="shared" si="103"/>
        <v>45.543750000011642</v>
      </c>
    </row>
    <row r="6634" spans="1:5" x14ac:dyDescent="0.25">
      <c r="A6634" t="s">
        <v>20</v>
      </c>
      <c r="B6634" t="s">
        <v>8</v>
      </c>
      <c r="C6634" s="1">
        <v>45815.379166666673</v>
      </c>
      <c r="D6634" s="1">
        <v>45848.248611111107</v>
      </c>
      <c r="E6634" s="2">
        <f t="shared" si="103"/>
        <v>32.869444444433611</v>
      </c>
    </row>
    <row r="6635" spans="1:5" x14ac:dyDescent="0.25">
      <c r="A6635" t="s">
        <v>12</v>
      </c>
      <c r="B6635" t="s">
        <v>18</v>
      </c>
      <c r="C6635" s="1">
        <v>45673.537499999999</v>
      </c>
      <c r="D6635" s="1">
        <v>45723.833333333343</v>
      </c>
      <c r="E6635" s="2">
        <f t="shared" si="103"/>
        <v>50.29583333334449</v>
      </c>
    </row>
    <row r="6636" spans="1:5" x14ac:dyDescent="0.25">
      <c r="A6636" t="s">
        <v>23</v>
      </c>
      <c r="B6636" t="s">
        <v>18</v>
      </c>
      <c r="C6636" s="1">
        <v>45950.375</v>
      </c>
      <c r="D6636" s="1">
        <v>46008.915277777778</v>
      </c>
      <c r="E6636" s="2">
        <f t="shared" si="103"/>
        <v>58.540277777778101</v>
      </c>
    </row>
    <row r="6637" spans="1:5" x14ac:dyDescent="0.25">
      <c r="A6637" t="s">
        <v>8</v>
      </c>
      <c r="B6637" t="s">
        <v>18</v>
      </c>
      <c r="C6637" s="1">
        <v>46149.661805555559</v>
      </c>
      <c r="D6637" s="1">
        <v>46195.804166666669</v>
      </c>
      <c r="E6637" s="2">
        <f t="shared" si="103"/>
        <v>46.142361111109494</v>
      </c>
    </row>
    <row r="6638" spans="1:5" x14ac:dyDescent="0.25">
      <c r="A6638" t="s">
        <v>27</v>
      </c>
      <c r="B6638" t="s">
        <v>18</v>
      </c>
      <c r="C6638" s="1">
        <v>45762.64166666667</v>
      </c>
      <c r="D6638" s="1">
        <v>45807.625</v>
      </c>
      <c r="E6638" s="2">
        <f t="shared" si="103"/>
        <v>44.983333333329938</v>
      </c>
    </row>
    <row r="6639" spans="1:5" x14ac:dyDescent="0.25">
      <c r="A6639" t="s">
        <v>13</v>
      </c>
      <c r="B6639" t="s">
        <v>8</v>
      </c>
      <c r="C6639" s="1">
        <v>46141.054166666669</v>
      </c>
      <c r="D6639" s="1">
        <v>46168.885416666657</v>
      </c>
      <c r="E6639" s="2">
        <f t="shared" si="103"/>
        <v>27.831249999988358</v>
      </c>
    </row>
    <row r="6640" spans="1:5" x14ac:dyDescent="0.25">
      <c r="A6640" t="s">
        <v>20</v>
      </c>
      <c r="B6640" t="s">
        <v>8</v>
      </c>
      <c r="C6640" s="1">
        <v>46155.466666666667</v>
      </c>
      <c r="D6640" s="1">
        <v>46191.311111111107</v>
      </c>
      <c r="E6640" s="2">
        <f t="shared" si="103"/>
        <v>35.844444444439432</v>
      </c>
    </row>
    <row r="6641" spans="1:5" x14ac:dyDescent="0.25">
      <c r="A6641" t="s">
        <v>8</v>
      </c>
      <c r="B6641" t="s">
        <v>18</v>
      </c>
      <c r="C6641" s="1">
        <v>46227.745833333327</v>
      </c>
      <c r="D6641" s="1">
        <v>46269.7</v>
      </c>
      <c r="E6641" s="2">
        <f t="shared" si="103"/>
        <v>41.954166666670062</v>
      </c>
    </row>
    <row r="6642" spans="1:5" x14ac:dyDescent="0.25">
      <c r="A6642" t="s">
        <v>26</v>
      </c>
      <c r="B6642" t="s">
        <v>21</v>
      </c>
      <c r="C6642" s="1">
        <v>46194.208333333343</v>
      </c>
      <c r="D6642" s="1">
        <v>46241.2</v>
      </c>
      <c r="E6642" s="2">
        <f t="shared" si="103"/>
        <v>46.991666666654055</v>
      </c>
    </row>
    <row r="6643" spans="1:5" x14ac:dyDescent="0.25">
      <c r="A6643" t="s">
        <v>11</v>
      </c>
      <c r="B6643" t="s">
        <v>19</v>
      </c>
      <c r="C6643" s="1">
        <v>45709.306250000001</v>
      </c>
      <c r="D6643" s="1">
        <v>45771.574999999997</v>
      </c>
      <c r="E6643" s="2">
        <f t="shared" si="103"/>
        <v>62.268749999995634</v>
      </c>
    </row>
    <row r="6644" spans="1:5" x14ac:dyDescent="0.25">
      <c r="A6644" t="s">
        <v>23</v>
      </c>
      <c r="B6644" t="s">
        <v>18</v>
      </c>
      <c r="C6644" s="1">
        <v>45938.45416666667</v>
      </c>
      <c r="D6644" s="1">
        <v>45986.619444444441</v>
      </c>
      <c r="E6644" s="2">
        <f t="shared" si="103"/>
        <v>48.165277777770825</v>
      </c>
    </row>
    <row r="6645" spans="1:5" x14ac:dyDescent="0.25">
      <c r="A6645" t="s">
        <v>23</v>
      </c>
      <c r="B6645" t="s">
        <v>18</v>
      </c>
      <c r="C6645" s="1">
        <v>45986.804166666669</v>
      </c>
      <c r="D6645" s="1">
        <v>46031.791666666657</v>
      </c>
      <c r="E6645" s="2">
        <f t="shared" si="103"/>
        <v>44.987499999988358</v>
      </c>
    </row>
    <row r="6646" spans="1:5" x14ac:dyDescent="0.25">
      <c r="A6646" t="s">
        <v>7</v>
      </c>
      <c r="B6646" t="s">
        <v>13</v>
      </c>
      <c r="C6646" s="1">
        <v>45961.6875</v>
      </c>
      <c r="D6646" s="1">
        <v>46011.265972222223</v>
      </c>
      <c r="E6646" s="2">
        <f t="shared" si="103"/>
        <v>49.578472222223354</v>
      </c>
    </row>
    <row r="6647" spans="1:5" x14ac:dyDescent="0.25">
      <c r="A6647" t="s">
        <v>28</v>
      </c>
      <c r="B6647" t="s">
        <v>30</v>
      </c>
      <c r="C6647" s="1">
        <v>45805.291666666657</v>
      </c>
      <c r="D6647" s="1">
        <v>45858.3125</v>
      </c>
      <c r="E6647" s="2">
        <f t="shared" si="103"/>
        <v>53.020833333343035</v>
      </c>
    </row>
    <row r="6648" spans="1:5" x14ac:dyDescent="0.25">
      <c r="A6648" t="s">
        <v>17</v>
      </c>
      <c r="B6648" t="s">
        <v>18</v>
      </c>
      <c r="C6648" s="1">
        <v>45723.791666666657</v>
      </c>
      <c r="D6648" s="1">
        <v>45777</v>
      </c>
      <c r="E6648" s="2">
        <f t="shared" si="103"/>
        <v>53.208333333343035</v>
      </c>
    </row>
    <row r="6649" spans="1:5" x14ac:dyDescent="0.25">
      <c r="A6649" t="s">
        <v>12</v>
      </c>
      <c r="B6649" t="s">
        <v>18</v>
      </c>
      <c r="C6649" s="1">
        <v>45918.879166666673</v>
      </c>
      <c r="D6649" s="1">
        <v>45986.619444444441</v>
      </c>
      <c r="E6649" s="2">
        <f t="shared" si="103"/>
        <v>67.740277777767915</v>
      </c>
    </row>
    <row r="6650" spans="1:5" x14ac:dyDescent="0.25">
      <c r="A6650" t="s">
        <v>15</v>
      </c>
      <c r="B6650" t="s">
        <v>20</v>
      </c>
      <c r="C6650" s="1">
        <v>46147.722916666673</v>
      </c>
      <c r="D6650" s="1">
        <v>46197.824999999997</v>
      </c>
      <c r="E6650" s="2">
        <f t="shared" si="103"/>
        <v>50.102083333324117</v>
      </c>
    </row>
    <row r="6651" spans="1:5" x14ac:dyDescent="0.25">
      <c r="A6651" t="s">
        <v>12</v>
      </c>
      <c r="B6651" t="s">
        <v>13</v>
      </c>
      <c r="C6651" s="1">
        <v>45733.666666666657</v>
      </c>
      <c r="D6651" s="1">
        <v>45777.879166666673</v>
      </c>
      <c r="E6651" s="2">
        <f t="shared" si="103"/>
        <v>44.212500000016007</v>
      </c>
    </row>
    <row r="6652" spans="1:5" x14ac:dyDescent="0.25">
      <c r="A6652" t="s">
        <v>7</v>
      </c>
      <c r="B6652" t="s">
        <v>11</v>
      </c>
      <c r="C6652" s="1">
        <v>45676.804166666669</v>
      </c>
      <c r="D6652" s="1">
        <v>45755.904166666667</v>
      </c>
      <c r="E6652" s="2">
        <f t="shared" si="103"/>
        <v>79.099999999998545</v>
      </c>
    </row>
    <row r="6653" spans="1:5" x14ac:dyDescent="0.25">
      <c r="A6653" t="s">
        <v>20</v>
      </c>
      <c r="B6653" t="s">
        <v>8</v>
      </c>
      <c r="C6653" s="1">
        <v>46187.029166666667</v>
      </c>
      <c r="D6653" s="1">
        <v>46219.579861111109</v>
      </c>
      <c r="E6653" s="2">
        <f t="shared" si="103"/>
        <v>32.550694444442343</v>
      </c>
    </row>
    <row r="6654" spans="1:5" x14ac:dyDescent="0.25">
      <c r="A6654" t="s">
        <v>15</v>
      </c>
      <c r="B6654" t="s">
        <v>6</v>
      </c>
      <c r="C6654" s="1">
        <v>46140.572222222218</v>
      </c>
      <c r="D6654" s="1">
        <v>46215.35833333333</v>
      </c>
      <c r="E6654" s="2">
        <f t="shared" si="103"/>
        <v>74.786111111112405</v>
      </c>
    </row>
    <row r="6655" spans="1:5" x14ac:dyDescent="0.25">
      <c r="A6655" t="s">
        <v>11</v>
      </c>
      <c r="B6655" t="s">
        <v>7</v>
      </c>
      <c r="C6655" s="1">
        <v>46106.054166666669</v>
      </c>
      <c r="D6655" s="1">
        <v>46183.583333333343</v>
      </c>
      <c r="E6655" s="2">
        <f t="shared" si="103"/>
        <v>77.529166666674428</v>
      </c>
    </row>
    <row r="6656" spans="1:5" x14ac:dyDescent="0.25">
      <c r="A6656" t="s">
        <v>8</v>
      </c>
      <c r="B6656" t="s">
        <v>18</v>
      </c>
      <c r="C6656" s="1">
        <v>46234.25</v>
      </c>
      <c r="D6656" s="1">
        <v>46284.76666666667</v>
      </c>
      <c r="E6656" s="2">
        <f t="shared" si="103"/>
        <v>50.516666666670062</v>
      </c>
    </row>
    <row r="6657" spans="1:5" x14ac:dyDescent="0.25">
      <c r="A6657" t="s">
        <v>8</v>
      </c>
      <c r="B6657" t="s">
        <v>18</v>
      </c>
      <c r="C6657" s="1">
        <v>46199.770833333343</v>
      </c>
      <c r="D6657" s="1">
        <v>46241.870833333327</v>
      </c>
      <c r="E6657" s="2">
        <f t="shared" si="103"/>
        <v>42.099999999983993</v>
      </c>
    </row>
    <row r="6658" spans="1:5" x14ac:dyDescent="0.25">
      <c r="A6658" t="s">
        <v>7</v>
      </c>
      <c r="B6658" t="s">
        <v>8</v>
      </c>
      <c r="C6658" s="1">
        <v>45911.604166666657</v>
      </c>
      <c r="D6658" s="1">
        <v>45948.104166666657</v>
      </c>
      <c r="E6658" s="2">
        <f t="shared" ref="E6658:E6721" si="104">D6658-C6658</f>
        <v>36.5</v>
      </c>
    </row>
    <row r="6659" spans="1:5" x14ac:dyDescent="0.25">
      <c r="A6659" t="s">
        <v>15</v>
      </c>
      <c r="B6659" t="s">
        <v>13</v>
      </c>
      <c r="C6659" s="1">
        <v>46186.5625</v>
      </c>
      <c r="D6659" s="1">
        <v>46229.300115740742</v>
      </c>
      <c r="E6659" s="2">
        <f t="shared" si="104"/>
        <v>42.737615740741603</v>
      </c>
    </row>
    <row r="6660" spans="1:5" x14ac:dyDescent="0.25">
      <c r="A6660" t="s">
        <v>13</v>
      </c>
      <c r="B6660" t="s">
        <v>8</v>
      </c>
      <c r="C6660" s="1">
        <v>46096.906944444447</v>
      </c>
      <c r="D6660" s="1">
        <v>46120.779166666667</v>
      </c>
      <c r="E6660" s="2">
        <f t="shared" si="104"/>
        <v>23.872222222220444</v>
      </c>
    </row>
    <row r="6661" spans="1:5" x14ac:dyDescent="0.25">
      <c r="A6661" t="s">
        <v>15</v>
      </c>
      <c r="B6661" t="s">
        <v>19</v>
      </c>
      <c r="C6661" s="1">
        <v>46202.508333333331</v>
      </c>
      <c r="D6661" s="1">
        <v>46238.121481481481</v>
      </c>
      <c r="E6661" s="2">
        <f t="shared" si="104"/>
        <v>35.613148148149776</v>
      </c>
    </row>
    <row r="6662" spans="1:5" x14ac:dyDescent="0.25">
      <c r="A6662" t="s">
        <v>8</v>
      </c>
      <c r="B6662" t="s">
        <v>18</v>
      </c>
      <c r="C6662" s="1">
        <v>46199.770833333343</v>
      </c>
      <c r="D6662" s="1">
        <v>46241.870833333327</v>
      </c>
      <c r="E6662" s="2">
        <f t="shared" si="104"/>
        <v>42.099999999983993</v>
      </c>
    </row>
    <row r="6663" spans="1:5" x14ac:dyDescent="0.25">
      <c r="A6663" t="s">
        <v>8</v>
      </c>
      <c r="B6663" t="s">
        <v>18</v>
      </c>
      <c r="C6663" s="1">
        <v>46227.745833333327</v>
      </c>
      <c r="D6663" s="1">
        <v>46269.7</v>
      </c>
      <c r="E6663" s="2">
        <f t="shared" si="104"/>
        <v>41.954166666670062</v>
      </c>
    </row>
    <row r="6664" spans="1:5" x14ac:dyDescent="0.25">
      <c r="A6664" t="s">
        <v>7</v>
      </c>
      <c r="B6664" t="s">
        <v>11</v>
      </c>
      <c r="C6664" s="1">
        <v>45663.495138888888</v>
      </c>
      <c r="D6664" s="1">
        <v>45749.669444444437</v>
      </c>
      <c r="E6664" s="2">
        <f t="shared" si="104"/>
        <v>86.174305555548926</v>
      </c>
    </row>
    <row r="6665" spans="1:5" x14ac:dyDescent="0.25">
      <c r="A6665" t="s">
        <v>12</v>
      </c>
      <c r="B6665" t="s">
        <v>13</v>
      </c>
      <c r="C6665" s="1">
        <v>45871.95</v>
      </c>
      <c r="D6665" s="1">
        <v>45921.675000000003</v>
      </c>
      <c r="E6665" s="2">
        <f t="shared" si="104"/>
        <v>49.725000000005821</v>
      </c>
    </row>
    <row r="6666" spans="1:5" x14ac:dyDescent="0.25">
      <c r="A6666" t="s">
        <v>13</v>
      </c>
      <c r="B6666" t="s">
        <v>8</v>
      </c>
      <c r="C6666" s="1">
        <v>45954.966666666667</v>
      </c>
      <c r="D6666" s="1">
        <v>45989.541666666657</v>
      </c>
      <c r="E6666" s="2">
        <f t="shared" si="104"/>
        <v>34.574999999989814</v>
      </c>
    </row>
    <row r="6667" spans="1:5" x14ac:dyDescent="0.25">
      <c r="A6667" t="s">
        <v>22</v>
      </c>
      <c r="B6667" t="s">
        <v>19</v>
      </c>
      <c r="C6667" s="1">
        <v>45844.217361111107</v>
      </c>
      <c r="D6667" s="1">
        <v>45897.883333333331</v>
      </c>
      <c r="E6667" s="2">
        <f t="shared" si="104"/>
        <v>53.665972222224809</v>
      </c>
    </row>
    <row r="6668" spans="1:5" x14ac:dyDescent="0.25">
      <c r="A6668" t="s">
        <v>12</v>
      </c>
      <c r="B6668" t="s">
        <v>13</v>
      </c>
      <c r="C6668" s="1">
        <v>45770.025000000001</v>
      </c>
      <c r="D6668" s="1">
        <v>45817.291666666657</v>
      </c>
      <c r="E6668" s="2">
        <f t="shared" si="104"/>
        <v>47.26666666665551</v>
      </c>
    </row>
    <row r="6669" spans="1:5" x14ac:dyDescent="0.25">
      <c r="A6669" t="s">
        <v>13</v>
      </c>
      <c r="B6669" t="s">
        <v>8</v>
      </c>
      <c r="C6669" s="1">
        <v>45842.881944444453</v>
      </c>
      <c r="D6669" s="1">
        <v>45872.79791666667</v>
      </c>
      <c r="E6669" s="2">
        <f t="shared" si="104"/>
        <v>29.915972222217533</v>
      </c>
    </row>
    <row r="6670" spans="1:5" x14ac:dyDescent="0.25">
      <c r="A6670" t="s">
        <v>17</v>
      </c>
      <c r="B6670" t="s">
        <v>18</v>
      </c>
      <c r="C6670" s="1">
        <v>45721.722916666673</v>
      </c>
      <c r="D6670" s="1">
        <v>45777</v>
      </c>
      <c r="E6670" s="2">
        <f t="shared" si="104"/>
        <v>55.277083333327028</v>
      </c>
    </row>
    <row r="6671" spans="1:5" x14ac:dyDescent="0.25">
      <c r="A6671" t="s">
        <v>7</v>
      </c>
      <c r="B6671" t="s">
        <v>8</v>
      </c>
      <c r="C6671" s="1">
        <v>45822.326388888891</v>
      </c>
      <c r="D6671" s="1">
        <v>45875.612500000003</v>
      </c>
      <c r="E6671" s="2">
        <f t="shared" si="104"/>
        <v>53.286111111112405</v>
      </c>
    </row>
    <row r="6672" spans="1:5" x14ac:dyDescent="0.25">
      <c r="A6672" t="s">
        <v>5</v>
      </c>
      <c r="B6672" t="s">
        <v>8</v>
      </c>
      <c r="C6672" s="1">
        <v>46018.725694444453</v>
      </c>
      <c r="D6672" s="1">
        <v>46071.058333333327</v>
      </c>
      <c r="E6672" s="2">
        <f t="shared" si="104"/>
        <v>52.332638888874499</v>
      </c>
    </row>
    <row r="6673" spans="1:5" x14ac:dyDescent="0.25">
      <c r="A6673" t="s">
        <v>7</v>
      </c>
      <c r="B6673" t="s">
        <v>8</v>
      </c>
      <c r="C6673" s="1">
        <v>45792.854166666657</v>
      </c>
      <c r="D6673" s="1">
        <v>45839.3125</v>
      </c>
      <c r="E6673" s="2">
        <f t="shared" si="104"/>
        <v>46.458333333343035</v>
      </c>
    </row>
    <row r="6674" spans="1:5" x14ac:dyDescent="0.25">
      <c r="A6674" t="s">
        <v>9</v>
      </c>
      <c r="B6674" t="s">
        <v>8</v>
      </c>
      <c r="C6674" s="1">
        <v>45791.5</v>
      </c>
      <c r="D6674" s="1">
        <v>45833.520833333343</v>
      </c>
      <c r="E6674" s="2">
        <f t="shared" si="104"/>
        <v>42.020833333343035</v>
      </c>
    </row>
    <row r="6675" spans="1:5" x14ac:dyDescent="0.25">
      <c r="A6675" t="s">
        <v>5</v>
      </c>
      <c r="B6675" t="s">
        <v>8</v>
      </c>
      <c r="C6675" s="1">
        <v>46128.754166666673</v>
      </c>
      <c r="D6675" s="1">
        <v>46162.866666666669</v>
      </c>
      <c r="E6675" s="2">
        <f t="shared" si="104"/>
        <v>34.112499999995634</v>
      </c>
    </row>
    <row r="6676" spans="1:5" x14ac:dyDescent="0.25">
      <c r="A6676" t="s">
        <v>7</v>
      </c>
      <c r="B6676" t="s">
        <v>8</v>
      </c>
      <c r="C6676" s="1">
        <v>45882.166666666657</v>
      </c>
      <c r="D6676" s="1">
        <v>45938.662499999999</v>
      </c>
      <c r="E6676" s="2">
        <f t="shared" si="104"/>
        <v>56.495833333341579</v>
      </c>
    </row>
    <row r="6677" spans="1:5" x14ac:dyDescent="0.25">
      <c r="A6677" t="s">
        <v>7</v>
      </c>
      <c r="B6677" t="s">
        <v>8</v>
      </c>
      <c r="C6677" s="1">
        <v>45843.85</v>
      </c>
      <c r="D6677" s="1">
        <v>45910.25</v>
      </c>
      <c r="E6677" s="2">
        <f t="shared" si="104"/>
        <v>66.400000000001455</v>
      </c>
    </row>
    <row r="6678" spans="1:5" x14ac:dyDescent="0.25">
      <c r="A6678" t="s">
        <v>12</v>
      </c>
      <c r="B6678" t="s">
        <v>18</v>
      </c>
      <c r="C6678" s="1">
        <v>45947.123611111107</v>
      </c>
      <c r="D6678" s="1">
        <v>46008.915277777778</v>
      </c>
      <c r="E6678" s="2">
        <f t="shared" si="104"/>
        <v>61.791666666671517</v>
      </c>
    </row>
    <row r="6679" spans="1:5" x14ac:dyDescent="0.25">
      <c r="A6679" t="s">
        <v>8</v>
      </c>
      <c r="B6679" t="s">
        <v>13</v>
      </c>
      <c r="C6679" s="1">
        <v>45720</v>
      </c>
      <c r="D6679" s="1">
        <v>45758</v>
      </c>
      <c r="E6679" s="2">
        <f t="shared" si="104"/>
        <v>38</v>
      </c>
    </row>
    <row r="6680" spans="1:5" x14ac:dyDescent="0.25">
      <c r="A6680" t="s">
        <v>11</v>
      </c>
      <c r="B6680" t="s">
        <v>37</v>
      </c>
      <c r="C6680" s="1">
        <v>45739.8125</v>
      </c>
      <c r="D6680" s="1">
        <v>45755.908333333333</v>
      </c>
      <c r="E6680" s="2">
        <f t="shared" si="104"/>
        <v>16.095833333332848</v>
      </c>
    </row>
    <row r="6681" spans="1:5" x14ac:dyDescent="0.25">
      <c r="A6681" t="s">
        <v>15</v>
      </c>
      <c r="B6681" t="s">
        <v>18</v>
      </c>
      <c r="C6681" s="1">
        <v>46053.979166666657</v>
      </c>
      <c r="D6681" s="1">
        <v>46103.675694444442</v>
      </c>
      <c r="E6681" s="2">
        <f t="shared" si="104"/>
        <v>49.696527777785377</v>
      </c>
    </row>
    <row r="6682" spans="1:5" x14ac:dyDescent="0.25">
      <c r="A6682" t="s">
        <v>22</v>
      </c>
      <c r="B6682" t="s">
        <v>14</v>
      </c>
      <c r="C6682" s="1">
        <v>45705.035416666673</v>
      </c>
      <c r="D6682" s="1">
        <v>45751.072222222218</v>
      </c>
      <c r="E6682" s="2">
        <f t="shared" si="104"/>
        <v>46.036805555544561</v>
      </c>
    </row>
    <row r="6683" spans="1:5" x14ac:dyDescent="0.25">
      <c r="A6683" t="s">
        <v>15</v>
      </c>
      <c r="B6683" t="s">
        <v>18</v>
      </c>
      <c r="C6683" s="1">
        <v>46219.958333333343</v>
      </c>
      <c r="D6683" s="1">
        <v>46252.850694444453</v>
      </c>
      <c r="E6683" s="2">
        <f t="shared" si="104"/>
        <v>32.892361111109494</v>
      </c>
    </row>
    <row r="6684" spans="1:5" x14ac:dyDescent="0.25">
      <c r="A6684" t="s">
        <v>10</v>
      </c>
      <c r="B6684" t="s">
        <v>11</v>
      </c>
      <c r="C6684" s="1">
        <v>45783.976655092592</v>
      </c>
      <c r="D6684" s="1">
        <v>45812.137499999997</v>
      </c>
      <c r="E6684" s="2">
        <f t="shared" si="104"/>
        <v>28.16084490740468</v>
      </c>
    </row>
    <row r="6685" spans="1:5" x14ac:dyDescent="0.25">
      <c r="A6685" t="s">
        <v>22</v>
      </c>
      <c r="B6685" t="s">
        <v>19</v>
      </c>
      <c r="C6685" s="1">
        <v>45726.180520833332</v>
      </c>
      <c r="D6685" s="1">
        <v>45794.54583333333</v>
      </c>
      <c r="E6685" s="2">
        <f t="shared" si="104"/>
        <v>68.365312499998254</v>
      </c>
    </row>
    <row r="6686" spans="1:5" x14ac:dyDescent="0.25">
      <c r="A6686" t="s">
        <v>22</v>
      </c>
      <c r="B6686" t="s">
        <v>36</v>
      </c>
      <c r="C6686" s="1">
        <v>45733.434027777781</v>
      </c>
      <c r="D6686" s="1">
        <v>45782.952372685177</v>
      </c>
      <c r="E6686" s="2">
        <f t="shared" si="104"/>
        <v>49.518344907395658</v>
      </c>
    </row>
    <row r="6687" spans="1:5" x14ac:dyDescent="0.25">
      <c r="A6687" t="s">
        <v>5</v>
      </c>
      <c r="B6687" t="s">
        <v>8</v>
      </c>
      <c r="C6687" s="1">
        <v>46206.119351851848</v>
      </c>
      <c r="D6687" s="1">
        <v>46230.578472222223</v>
      </c>
      <c r="E6687" s="2">
        <f t="shared" si="104"/>
        <v>24.459120370374876</v>
      </c>
    </row>
    <row r="6688" spans="1:5" x14ac:dyDescent="0.25">
      <c r="A6688" t="s">
        <v>5</v>
      </c>
      <c r="B6688" t="s">
        <v>8</v>
      </c>
      <c r="C6688" s="1">
        <v>45735.674305555563</v>
      </c>
      <c r="D6688" s="1">
        <v>45764.537499999999</v>
      </c>
      <c r="E6688" s="2">
        <f t="shared" si="104"/>
        <v>28.863194444435067</v>
      </c>
    </row>
    <row r="6689" spans="1:5" x14ac:dyDescent="0.25">
      <c r="A6689" t="s">
        <v>34</v>
      </c>
      <c r="B6689" t="s">
        <v>13</v>
      </c>
      <c r="C6689" s="1">
        <v>45858.354166666657</v>
      </c>
      <c r="D6689" s="1">
        <v>45883.708333333343</v>
      </c>
      <c r="E6689" s="2">
        <f t="shared" si="104"/>
        <v>25.354166666686069</v>
      </c>
    </row>
    <row r="6690" spans="1:5" x14ac:dyDescent="0.25">
      <c r="A6690" t="s">
        <v>15</v>
      </c>
      <c r="B6690" t="s">
        <v>13</v>
      </c>
      <c r="C6690" s="1">
        <v>45911.758333333331</v>
      </c>
      <c r="D6690" s="1">
        <v>45952.45416666667</v>
      </c>
      <c r="E6690" s="2">
        <f t="shared" si="104"/>
        <v>40.695833333338669</v>
      </c>
    </row>
    <row r="6691" spans="1:5" x14ac:dyDescent="0.25">
      <c r="A6691" t="s">
        <v>8</v>
      </c>
      <c r="B6691" t="s">
        <v>44</v>
      </c>
      <c r="C6691" s="1">
        <v>45729.586805555547</v>
      </c>
      <c r="D6691" s="1">
        <v>45765.399305555547</v>
      </c>
      <c r="E6691" s="2">
        <f t="shared" si="104"/>
        <v>35.8125</v>
      </c>
    </row>
    <row r="6692" spans="1:5" x14ac:dyDescent="0.25">
      <c r="A6692" t="s">
        <v>8</v>
      </c>
      <c r="B6692" t="s">
        <v>13</v>
      </c>
      <c r="C6692" s="1">
        <v>45823.331250000003</v>
      </c>
      <c r="D6692" s="1">
        <v>45854.866666666669</v>
      </c>
      <c r="E6692" s="2">
        <f t="shared" si="104"/>
        <v>31.535416666665697</v>
      </c>
    </row>
    <row r="6693" spans="1:5" x14ac:dyDescent="0.25">
      <c r="A6693" t="s">
        <v>42</v>
      </c>
      <c r="B6693" t="s">
        <v>19</v>
      </c>
      <c r="C6693" s="1">
        <v>45785.83148148148</v>
      </c>
      <c r="D6693" s="1">
        <v>45832.870833333327</v>
      </c>
      <c r="E6693" s="2">
        <f t="shared" si="104"/>
        <v>47.039351851846732</v>
      </c>
    </row>
    <row r="6694" spans="1:5" x14ac:dyDescent="0.25">
      <c r="A6694" t="s">
        <v>19</v>
      </c>
      <c r="B6694" t="s">
        <v>11</v>
      </c>
      <c r="C6694" s="1">
        <v>46178.534722222219</v>
      </c>
      <c r="D6694" s="1">
        <v>46217.786111111112</v>
      </c>
      <c r="E6694" s="2">
        <f t="shared" si="104"/>
        <v>39.251388888893416</v>
      </c>
    </row>
    <row r="6695" spans="1:5" x14ac:dyDescent="0.25">
      <c r="A6695" t="s">
        <v>13</v>
      </c>
      <c r="B6695" t="s">
        <v>11</v>
      </c>
      <c r="C6695" s="1">
        <v>45984.321527777778</v>
      </c>
      <c r="D6695" s="1">
        <v>46022.333333333343</v>
      </c>
      <c r="E6695" s="2">
        <f t="shared" si="104"/>
        <v>38.011805555564933</v>
      </c>
    </row>
    <row r="6696" spans="1:5" x14ac:dyDescent="0.25">
      <c r="A6696" t="s">
        <v>18</v>
      </c>
      <c r="B6696" t="s">
        <v>27</v>
      </c>
      <c r="C6696" s="1">
        <v>45826.476817129631</v>
      </c>
      <c r="D6696" s="1">
        <v>45893.774305555547</v>
      </c>
      <c r="E6696" s="2">
        <f t="shared" si="104"/>
        <v>67.297488425916526</v>
      </c>
    </row>
    <row r="6697" spans="1:5" x14ac:dyDescent="0.25">
      <c r="A6697" t="s">
        <v>11</v>
      </c>
      <c r="B6697" t="s">
        <v>37</v>
      </c>
      <c r="C6697" s="1">
        <v>45825.283900462957</v>
      </c>
      <c r="D6697" s="1">
        <v>45834.695833333331</v>
      </c>
      <c r="E6697" s="2">
        <f t="shared" si="104"/>
        <v>9.411932870374585</v>
      </c>
    </row>
    <row r="6698" spans="1:5" x14ac:dyDescent="0.25">
      <c r="A6698" t="s">
        <v>40</v>
      </c>
      <c r="B6698" t="s">
        <v>37</v>
      </c>
      <c r="C6698" s="1">
        <v>45921.001643518517</v>
      </c>
      <c r="D6698" s="1">
        <v>45932.691666666673</v>
      </c>
      <c r="E6698" s="2">
        <f t="shared" si="104"/>
        <v>11.690023148155888</v>
      </c>
    </row>
    <row r="6699" spans="1:5" x14ac:dyDescent="0.25">
      <c r="A6699" t="s">
        <v>22</v>
      </c>
      <c r="B6699" t="s">
        <v>19</v>
      </c>
      <c r="C6699" s="1">
        <v>45712.171527777777</v>
      </c>
      <c r="D6699" s="1">
        <v>45778.55</v>
      </c>
      <c r="E6699" s="2">
        <f t="shared" si="104"/>
        <v>66.378472222226264</v>
      </c>
    </row>
    <row r="6700" spans="1:5" x14ac:dyDescent="0.25">
      <c r="A6700" t="s">
        <v>22</v>
      </c>
      <c r="B6700" t="s">
        <v>51</v>
      </c>
      <c r="C6700" s="1">
        <v>45729.5</v>
      </c>
      <c r="D6700" s="1">
        <v>45793.454861111109</v>
      </c>
      <c r="E6700" s="2">
        <f t="shared" si="104"/>
        <v>63.954861111109494</v>
      </c>
    </row>
    <row r="6701" spans="1:5" x14ac:dyDescent="0.25">
      <c r="A6701" t="s">
        <v>23</v>
      </c>
      <c r="B6701" t="s">
        <v>12</v>
      </c>
      <c r="C6701" s="1">
        <v>45968.336111111108</v>
      </c>
      <c r="D6701" s="1">
        <v>45982.041666666657</v>
      </c>
      <c r="E6701" s="2">
        <f t="shared" si="104"/>
        <v>13.705555555548926</v>
      </c>
    </row>
    <row r="6702" spans="1:5" x14ac:dyDescent="0.25">
      <c r="A6702" t="s">
        <v>22</v>
      </c>
      <c r="B6702" t="s">
        <v>14</v>
      </c>
      <c r="C6702" s="1">
        <v>45666.694444444453</v>
      </c>
      <c r="D6702" s="1">
        <v>45736.569444444453</v>
      </c>
      <c r="E6702" s="2">
        <f t="shared" si="104"/>
        <v>69.875</v>
      </c>
    </row>
    <row r="6703" spans="1:5" x14ac:dyDescent="0.25">
      <c r="A6703" t="s">
        <v>23</v>
      </c>
      <c r="B6703" t="s">
        <v>12</v>
      </c>
      <c r="C6703" s="1">
        <v>46105.673611111109</v>
      </c>
      <c r="D6703" s="1">
        <v>46118.208333333343</v>
      </c>
      <c r="E6703" s="2">
        <f t="shared" si="104"/>
        <v>12.53472222223354</v>
      </c>
    </row>
    <row r="6704" spans="1:5" x14ac:dyDescent="0.25">
      <c r="A6704" t="s">
        <v>22</v>
      </c>
      <c r="B6704" t="s">
        <v>51</v>
      </c>
      <c r="C6704" s="1">
        <v>45708.583333333343</v>
      </c>
      <c r="D6704" s="1">
        <v>45784.277777777781</v>
      </c>
      <c r="E6704" s="2">
        <f t="shared" si="104"/>
        <v>75.694444444437977</v>
      </c>
    </row>
    <row r="6705" spans="1:5" x14ac:dyDescent="0.25">
      <c r="A6705" t="s">
        <v>15</v>
      </c>
      <c r="B6705" t="s">
        <v>18</v>
      </c>
      <c r="C6705" s="1">
        <v>45941.147222222222</v>
      </c>
      <c r="D6705" s="1">
        <v>45990.397222222222</v>
      </c>
      <c r="E6705" s="2">
        <f t="shared" si="104"/>
        <v>49.25</v>
      </c>
    </row>
    <row r="6706" spans="1:5" x14ac:dyDescent="0.25">
      <c r="A6706" t="s">
        <v>22</v>
      </c>
      <c r="B6706" t="s">
        <v>14</v>
      </c>
      <c r="C6706" s="1">
        <v>45702.159722222219</v>
      </c>
      <c r="D6706" s="1">
        <v>45756.791666666657</v>
      </c>
      <c r="E6706" s="2">
        <f t="shared" si="104"/>
        <v>54.631944444437977</v>
      </c>
    </row>
    <row r="6707" spans="1:5" x14ac:dyDescent="0.25">
      <c r="A6707" t="s">
        <v>18</v>
      </c>
      <c r="B6707" t="s">
        <v>27</v>
      </c>
      <c r="C6707" s="1">
        <v>45853.826388888891</v>
      </c>
      <c r="D6707" s="1">
        <v>45925.003472222219</v>
      </c>
      <c r="E6707" s="2">
        <f t="shared" si="104"/>
        <v>71.177083333328483</v>
      </c>
    </row>
    <row r="6708" spans="1:5" x14ac:dyDescent="0.25">
      <c r="A6708" t="s">
        <v>5</v>
      </c>
      <c r="B6708" t="s">
        <v>8</v>
      </c>
      <c r="C6708" s="1">
        <v>46124.866666666669</v>
      </c>
      <c r="D6708" s="1">
        <v>46152.936111111107</v>
      </c>
      <c r="E6708" s="2">
        <f t="shared" si="104"/>
        <v>28.069444444437977</v>
      </c>
    </row>
    <row r="6709" spans="1:5" x14ac:dyDescent="0.25">
      <c r="A6709" t="s">
        <v>5</v>
      </c>
      <c r="B6709" t="s">
        <v>8</v>
      </c>
      <c r="C6709" s="1">
        <v>45715.841666666667</v>
      </c>
      <c r="D6709" s="1">
        <v>45741.816666666673</v>
      </c>
      <c r="E6709" s="2">
        <f t="shared" si="104"/>
        <v>25.975000000005821</v>
      </c>
    </row>
    <row r="6710" spans="1:5" x14ac:dyDescent="0.25">
      <c r="A6710" t="s">
        <v>5</v>
      </c>
      <c r="B6710" t="s">
        <v>8</v>
      </c>
      <c r="C6710" s="1">
        <v>45750.686111111107</v>
      </c>
      <c r="D6710" s="1">
        <v>45782.671527777777</v>
      </c>
      <c r="E6710" s="2">
        <f t="shared" si="104"/>
        <v>31.985416666670062</v>
      </c>
    </row>
    <row r="6711" spans="1:5" x14ac:dyDescent="0.25">
      <c r="A6711" t="s">
        <v>13</v>
      </c>
      <c r="B6711" t="s">
        <v>8</v>
      </c>
      <c r="C6711" s="1">
        <v>46109.458333333343</v>
      </c>
      <c r="D6711" s="1">
        <v>46134.082638888889</v>
      </c>
      <c r="E6711" s="2">
        <f t="shared" si="104"/>
        <v>24.624305555546016</v>
      </c>
    </row>
    <row r="6712" spans="1:5" x14ac:dyDescent="0.25">
      <c r="A6712" t="s">
        <v>15</v>
      </c>
      <c r="B6712" t="s">
        <v>20</v>
      </c>
      <c r="C6712" s="1">
        <v>46147.722916666673</v>
      </c>
      <c r="D6712" s="1">
        <v>46197.824999999997</v>
      </c>
      <c r="E6712" s="2">
        <f t="shared" si="104"/>
        <v>50.102083333324117</v>
      </c>
    </row>
    <row r="6713" spans="1:5" x14ac:dyDescent="0.25">
      <c r="A6713" t="s">
        <v>5</v>
      </c>
      <c r="B6713" t="s">
        <v>8</v>
      </c>
      <c r="C6713" s="1">
        <v>45671.125</v>
      </c>
      <c r="D6713" s="1">
        <v>45697.265277777777</v>
      </c>
      <c r="E6713" s="2">
        <f t="shared" si="104"/>
        <v>26.140277777776646</v>
      </c>
    </row>
    <row r="6714" spans="1:5" x14ac:dyDescent="0.25">
      <c r="A6714" t="s">
        <v>5</v>
      </c>
      <c r="B6714" t="s">
        <v>8</v>
      </c>
      <c r="C6714" s="1">
        <v>45750.686111111107</v>
      </c>
      <c r="D6714" s="1">
        <v>45782.683333333327</v>
      </c>
      <c r="E6714" s="2">
        <f t="shared" si="104"/>
        <v>31.997222222220444</v>
      </c>
    </row>
    <row r="6715" spans="1:5" x14ac:dyDescent="0.25">
      <c r="A6715" t="s">
        <v>5</v>
      </c>
      <c r="B6715" t="s">
        <v>8</v>
      </c>
      <c r="C6715" s="1">
        <v>46191.075983796298</v>
      </c>
      <c r="D6715" s="1">
        <v>46214.830520833333</v>
      </c>
      <c r="E6715" s="2">
        <f t="shared" si="104"/>
        <v>23.754537037035334</v>
      </c>
    </row>
    <row r="6716" spans="1:5" x14ac:dyDescent="0.25">
      <c r="A6716" t="s">
        <v>5</v>
      </c>
      <c r="B6716" t="s">
        <v>8</v>
      </c>
      <c r="C6716" s="1">
        <v>45671.125</v>
      </c>
      <c r="D6716" s="1">
        <v>45697.265277777777</v>
      </c>
      <c r="E6716" s="2">
        <f t="shared" si="104"/>
        <v>26.140277777776646</v>
      </c>
    </row>
    <row r="6717" spans="1:5" x14ac:dyDescent="0.25">
      <c r="A6717" t="s">
        <v>14</v>
      </c>
      <c r="B6717" t="s">
        <v>22</v>
      </c>
      <c r="C6717" s="1">
        <v>45738.833634259259</v>
      </c>
      <c r="D6717" s="1">
        <v>45794.857638888891</v>
      </c>
      <c r="E6717" s="2">
        <f t="shared" si="104"/>
        <v>56.024004629631236</v>
      </c>
    </row>
    <row r="6718" spans="1:5" x14ac:dyDescent="0.25">
      <c r="A6718" t="s">
        <v>7</v>
      </c>
      <c r="B6718" t="s">
        <v>18</v>
      </c>
      <c r="C6718" s="1">
        <v>46230.822916666657</v>
      </c>
      <c r="D6718" s="1">
        <v>46272.370138888888</v>
      </c>
      <c r="E6718" s="2">
        <f t="shared" si="104"/>
        <v>41.54722222223063</v>
      </c>
    </row>
    <row r="6719" spans="1:5" x14ac:dyDescent="0.25">
      <c r="A6719" t="s">
        <v>10</v>
      </c>
      <c r="B6719" t="s">
        <v>11</v>
      </c>
      <c r="C6719" s="1">
        <v>46085.091666666667</v>
      </c>
      <c r="D6719" s="1">
        <v>46113.394444444442</v>
      </c>
      <c r="E6719" s="2">
        <f t="shared" si="104"/>
        <v>28.302777777775191</v>
      </c>
    </row>
    <row r="6720" spans="1:5" x14ac:dyDescent="0.25">
      <c r="A6720" t="s">
        <v>14</v>
      </c>
      <c r="B6720" t="s">
        <v>22</v>
      </c>
      <c r="C6720" s="1">
        <v>45767.99722222222</v>
      </c>
      <c r="D6720" s="1">
        <v>45816.632638888892</v>
      </c>
      <c r="E6720" s="2">
        <f t="shared" si="104"/>
        <v>48.635416666671517</v>
      </c>
    </row>
    <row r="6721" spans="1:5" x14ac:dyDescent="0.25">
      <c r="A6721" t="s">
        <v>34</v>
      </c>
      <c r="B6721" t="s">
        <v>13</v>
      </c>
      <c r="C6721" s="1">
        <v>45788.039594907408</v>
      </c>
      <c r="D6721" s="1">
        <v>45813.92083333333</v>
      </c>
      <c r="E6721" s="2">
        <f t="shared" si="104"/>
        <v>25.881238425921765</v>
      </c>
    </row>
    <row r="6722" spans="1:5" x14ac:dyDescent="0.25">
      <c r="A6722" t="s">
        <v>11</v>
      </c>
      <c r="B6722" t="s">
        <v>37</v>
      </c>
      <c r="C6722" s="1">
        <v>46105.210416666669</v>
      </c>
      <c r="D6722" s="1">
        <v>46120.533935185187</v>
      </c>
      <c r="E6722" s="2">
        <f t="shared" ref="E6722:E6785" si="105">D6722-C6722</f>
        <v>15.32351851851854</v>
      </c>
    </row>
    <row r="6723" spans="1:5" x14ac:dyDescent="0.25">
      <c r="A6723" t="s">
        <v>34</v>
      </c>
      <c r="B6723" t="s">
        <v>13</v>
      </c>
      <c r="C6723" s="1">
        <v>46161.190972222219</v>
      </c>
      <c r="D6723" s="1">
        <v>46184.606249999997</v>
      </c>
      <c r="E6723" s="2">
        <f t="shared" si="105"/>
        <v>23.415277777778101</v>
      </c>
    </row>
    <row r="6724" spans="1:5" x14ac:dyDescent="0.25">
      <c r="A6724" t="s">
        <v>15</v>
      </c>
      <c r="B6724" t="s">
        <v>8</v>
      </c>
      <c r="C6724" s="1">
        <v>46121.456944444442</v>
      </c>
      <c r="D6724" s="1">
        <v>46159.291666666657</v>
      </c>
      <c r="E6724" s="2">
        <f t="shared" si="105"/>
        <v>37.834722222214623</v>
      </c>
    </row>
    <row r="6725" spans="1:5" x14ac:dyDescent="0.25">
      <c r="A6725" t="s">
        <v>15</v>
      </c>
      <c r="B6725" t="s">
        <v>8</v>
      </c>
      <c r="C6725" s="1">
        <v>46121.456944444442</v>
      </c>
      <c r="D6725" s="1">
        <v>46159.291666666657</v>
      </c>
      <c r="E6725" s="2">
        <f t="shared" si="105"/>
        <v>37.834722222214623</v>
      </c>
    </row>
    <row r="6726" spans="1:5" x14ac:dyDescent="0.25">
      <c r="A6726" t="s">
        <v>15</v>
      </c>
      <c r="B6726" t="s">
        <v>8</v>
      </c>
      <c r="C6726" s="1">
        <v>46121.456944444442</v>
      </c>
      <c r="D6726" s="1">
        <v>46159.291666666657</v>
      </c>
      <c r="E6726" s="2">
        <f t="shared" si="105"/>
        <v>37.834722222214623</v>
      </c>
    </row>
    <row r="6727" spans="1:5" x14ac:dyDescent="0.25">
      <c r="A6727" t="s">
        <v>15</v>
      </c>
      <c r="B6727" t="s">
        <v>16</v>
      </c>
      <c r="C6727" s="1">
        <v>46239.307638888888</v>
      </c>
      <c r="D6727" s="1">
        <v>46266.073611111111</v>
      </c>
      <c r="E6727" s="2">
        <f t="shared" si="105"/>
        <v>26.765972222223354</v>
      </c>
    </row>
    <row r="6728" spans="1:5" x14ac:dyDescent="0.25">
      <c r="A6728" t="s">
        <v>15</v>
      </c>
      <c r="B6728" t="s">
        <v>16</v>
      </c>
      <c r="C6728" s="1">
        <v>46239.307638888888</v>
      </c>
      <c r="D6728" s="1">
        <v>46266.073611111111</v>
      </c>
      <c r="E6728" s="2">
        <f t="shared" si="105"/>
        <v>26.765972222223354</v>
      </c>
    </row>
    <row r="6729" spans="1:5" x14ac:dyDescent="0.25">
      <c r="A6729" t="s">
        <v>15</v>
      </c>
      <c r="B6729" t="s">
        <v>8</v>
      </c>
      <c r="C6729" s="1">
        <v>46229.473611111112</v>
      </c>
      <c r="D6729" s="1">
        <v>46268.117361111108</v>
      </c>
      <c r="E6729" s="2">
        <f t="shared" si="105"/>
        <v>38.643749999995634</v>
      </c>
    </row>
    <row r="6730" spans="1:5" x14ac:dyDescent="0.25">
      <c r="A6730" t="s">
        <v>15</v>
      </c>
      <c r="B6730" t="s">
        <v>16</v>
      </c>
      <c r="C6730" s="1">
        <v>46239.307638888888</v>
      </c>
      <c r="D6730" s="1">
        <v>46266.073611111111</v>
      </c>
      <c r="E6730" s="2">
        <f t="shared" si="105"/>
        <v>26.765972222223354</v>
      </c>
    </row>
    <row r="6731" spans="1:5" x14ac:dyDescent="0.25">
      <c r="A6731" t="s">
        <v>15</v>
      </c>
      <c r="B6731" t="s">
        <v>8</v>
      </c>
      <c r="C6731" s="1">
        <v>46240.884722222218</v>
      </c>
      <c r="D6731" s="1">
        <v>46278.113888888889</v>
      </c>
      <c r="E6731" s="2">
        <f t="shared" si="105"/>
        <v>37.229166666671517</v>
      </c>
    </row>
    <row r="6732" spans="1:5" x14ac:dyDescent="0.25">
      <c r="A6732" t="s">
        <v>15</v>
      </c>
      <c r="B6732" t="s">
        <v>16</v>
      </c>
      <c r="C6732" s="1">
        <v>46148.621527777781</v>
      </c>
      <c r="D6732" s="1">
        <v>46166.131944444453</v>
      </c>
      <c r="E6732" s="2">
        <f t="shared" si="105"/>
        <v>17.510416666671517</v>
      </c>
    </row>
    <row r="6733" spans="1:5" x14ac:dyDescent="0.25">
      <c r="A6733" t="s">
        <v>15</v>
      </c>
      <c r="B6733" t="s">
        <v>8</v>
      </c>
      <c r="C6733" s="1">
        <v>46207.548611111109</v>
      </c>
      <c r="D6733" s="1">
        <v>46249.788194444453</v>
      </c>
      <c r="E6733" s="2">
        <f t="shared" si="105"/>
        <v>42.239583333343035</v>
      </c>
    </row>
    <row r="6734" spans="1:5" x14ac:dyDescent="0.25">
      <c r="A6734" t="s">
        <v>15</v>
      </c>
      <c r="B6734" t="s">
        <v>16</v>
      </c>
      <c r="C6734" s="1">
        <v>46239.307638888888</v>
      </c>
      <c r="D6734" s="1">
        <v>46266.073611111111</v>
      </c>
      <c r="E6734" s="2">
        <f t="shared" si="105"/>
        <v>26.765972222223354</v>
      </c>
    </row>
    <row r="6735" spans="1:5" x14ac:dyDescent="0.25">
      <c r="A6735" t="s">
        <v>15</v>
      </c>
      <c r="B6735" t="s">
        <v>43</v>
      </c>
      <c r="C6735" s="1">
        <v>46208.208333333343</v>
      </c>
      <c r="D6735" s="1">
        <v>46248.986111111109</v>
      </c>
      <c r="E6735" s="2">
        <f t="shared" si="105"/>
        <v>40.77777777776646</v>
      </c>
    </row>
    <row r="6736" spans="1:5" x14ac:dyDescent="0.25">
      <c r="A6736" t="s">
        <v>15</v>
      </c>
      <c r="B6736" t="s">
        <v>16</v>
      </c>
      <c r="C6736" s="1">
        <v>46210.104166666657</v>
      </c>
      <c r="D6736" s="1">
        <v>46230.572916666657</v>
      </c>
      <c r="E6736" s="2">
        <f t="shared" si="105"/>
        <v>20.46875</v>
      </c>
    </row>
    <row r="6737" spans="1:5" x14ac:dyDescent="0.25">
      <c r="A6737" t="s">
        <v>15</v>
      </c>
      <c r="B6737" t="s">
        <v>8</v>
      </c>
      <c r="C6737" s="1">
        <v>46114.848611111112</v>
      </c>
      <c r="D6737" s="1">
        <v>46154.175000000003</v>
      </c>
      <c r="E6737" s="2">
        <f t="shared" si="105"/>
        <v>39.326388888890506</v>
      </c>
    </row>
    <row r="6738" spans="1:5" x14ac:dyDescent="0.25">
      <c r="A6738" t="s">
        <v>15</v>
      </c>
      <c r="B6738" t="s">
        <v>8</v>
      </c>
      <c r="C6738" s="1">
        <v>46114.848611111112</v>
      </c>
      <c r="D6738" s="1">
        <v>46154.175000000003</v>
      </c>
      <c r="E6738" s="2">
        <f t="shared" si="105"/>
        <v>39.326388888890506</v>
      </c>
    </row>
    <row r="6739" spans="1:5" x14ac:dyDescent="0.25">
      <c r="A6739" t="s">
        <v>15</v>
      </c>
      <c r="B6739" t="s">
        <v>8</v>
      </c>
      <c r="C6739" s="1">
        <v>46114.848611111112</v>
      </c>
      <c r="D6739" s="1">
        <v>46154.175000000003</v>
      </c>
      <c r="E6739" s="2">
        <f t="shared" si="105"/>
        <v>39.326388888890506</v>
      </c>
    </row>
    <row r="6740" spans="1:5" x14ac:dyDescent="0.25">
      <c r="A6740" t="s">
        <v>15</v>
      </c>
      <c r="B6740" t="s">
        <v>8</v>
      </c>
      <c r="C6740" s="1">
        <v>46114.848611111112</v>
      </c>
      <c r="D6740" s="1">
        <v>46154.175000000003</v>
      </c>
      <c r="E6740" s="2">
        <f t="shared" si="105"/>
        <v>39.326388888890506</v>
      </c>
    </row>
    <row r="6741" spans="1:5" x14ac:dyDescent="0.25">
      <c r="A6741" t="s">
        <v>17</v>
      </c>
      <c r="B6741" t="s">
        <v>18</v>
      </c>
      <c r="C6741" s="1">
        <v>45873</v>
      </c>
      <c r="D6741" s="1">
        <v>45929.282638888893</v>
      </c>
      <c r="E6741" s="2">
        <f t="shared" si="105"/>
        <v>56.282638888893416</v>
      </c>
    </row>
    <row r="6742" spans="1:5" x14ac:dyDescent="0.25">
      <c r="A6742" t="s">
        <v>15</v>
      </c>
      <c r="B6742" t="s">
        <v>6</v>
      </c>
      <c r="C6742" s="1">
        <v>45851.23333333333</v>
      </c>
      <c r="D6742" s="1">
        <v>45911.366666666669</v>
      </c>
      <c r="E6742" s="2">
        <f t="shared" si="105"/>
        <v>60.133333333338669</v>
      </c>
    </row>
    <row r="6743" spans="1:5" x14ac:dyDescent="0.25">
      <c r="A6743" t="s">
        <v>27</v>
      </c>
      <c r="B6743" t="s">
        <v>39</v>
      </c>
      <c r="C6743" s="1">
        <v>45719.8</v>
      </c>
      <c r="D6743" s="1">
        <v>45791</v>
      </c>
      <c r="E6743" s="2">
        <f t="shared" si="105"/>
        <v>71.19999999999709</v>
      </c>
    </row>
    <row r="6744" spans="1:5" x14ac:dyDescent="0.25">
      <c r="A6744" t="s">
        <v>14</v>
      </c>
      <c r="B6744" t="s">
        <v>22</v>
      </c>
      <c r="C6744" s="1">
        <v>45960.224999999999</v>
      </c>
      <c r="D6744" s="1">
        <v>46041.96875</v>
      </c>
      <c r="E6744" s="2">
        <f t="shared" si="105"/>
        <v>81.743750000001455</v>
      </c>
    </row>
    <row r="6745" spans="1:5" x14ac:dyDescent="0.25">
      <c r="A6745" t="s">
        <v>8</v>
      </c>
      <c r="B6745" t="s">
        <v>18</v>
      </c>
      <c r="C6745" s="1">
        <v>46241.460416666669</v>
      </c>
      <c r="D6745" s="1">
        <v>46284.76666666667</v>
      </c>
      <c r="E6745" s="2">
        <f t="shared" si="105"/>
        <v>43.306250000001455</v>
      </c>
    </row>
    <row r="6746" spans="1:5" x14ac:dyDescent="0.25">
      <c r="A6746" t="s">
        <v>17</v>
      </c>
      <c r="B6746" t="s">
        <v>18</v>
      </c>
      <c r="C6746" s="1">
        <v>45709</v>
      </c>
      <c r="D6746" s="1">
        <v>45757</v>
      </c>
      <c r="E6746" s="2">
        <f t="shared" si="105"/>
        <v>48</v>
      </c>
    </row>
    <row r="6747" spans="1:5" x14ac:dyDescent="0.25">
      <c r="A6747" t="s">
        <v>8</v>
      </c>
      <c r="B6747" t="s">
        <v>18</v>
      </c>
      <c r="C6747" s="1">
        <v>46149.661805555559</v>
      </c>
      <c r="D6747" s="1">
        <v>46195.804166666669</v>
      </c>
      <c r="E6747" s="2">
        <f t="shared" si="105"/>
        <v>46.142361111109494</v>
      </c>
    </row>
    <row r="6748" spans="1:5" x14ac:dyDescent="0.25">
      <c r="A6748" t="s">
        <v>27</v>
      </c>
      <c r="B6748" t="s">
        <v>8</v>
      </c>
      <c r="C6748" s="1">
        <v>45782.501388888893</v>
      </c>
      <c r="D6748" s="1">
        <v>45844.163194444453</v>
      </c>
      <c r="E6748" s="2">
        <f t="shared" si="105"/>
        <v>61.661805555559113</v>
      </c>
    </row>
    <row r="6749" spans="1:5" x14ac:dyDescent="0.25">
      <c r="A6749" t="s">
        <v>5</v>
      </c>
      <c r="B6749" t="s">
        <v>8</v>
      </c>
      <c r="C6749" s="1">
        <v>46049.5</v>
      </c>
      <c r="D6749" s="1">
        <v>46091.345833333333</v>
      </c>
      <c r="E6749" s="2">
        <f t="shared" si="105"/>
        <v>41.845833333332848</v>
      </c>
    </row>
    <row r="6750" spans="1:5" x14ac:dyDescent="0.25">
      <c r="A6750" t="s">
        <v>16</v>
      </c>
      <c r="B6750" t="s">
        <v>8</v>
      </c>
      <c r="C6750" s="1">
        <v>45718.625</v>
      </c>
      <c r="D6750" s="1">
        <v>45760.229166666657</v>
      </c>
      <c r="E6750" s="2">
        <f t="shared" si="105"/>
        <v>41.604166666656965</v>
      </c>
    </row>
    <row r="6751" spans="1:5" x14ac:dyDescent="0.25">
      <c r="A6751" t="s">
        <v>13</v>
      </c>
      <c r="B6751" t="s">
        <v>8</v>
      </c>
      <c r="C6751" s="1">
        <v>45975.237500000003</v>
      </c>
      <c r="D6751" s="1">
        <v>46007.008333333331</v>
      </c>
      <c r="E6751" s="2">
        <f t="shared" si="105"/>
        <v>31.770833333328483</v>
      </c>
    </row>
    <row r="6752" spans="1:5" x14ac:dyDescent="0.25">
      <c r="A6752" t="s">
        <v>23</v>
      </c>
      <c r="B6752" t="s">
        <v>18</v>
      </c>
      <c r="C6752" s="1">
        <v>45910.129166666673</v>
      </c>
      <c r="D6752" s="1">
        <v>45964.081944444442</v>
      </c>
      <c r="E6752" s="2">
        <f t="shared" si="105"/>
        <v>53.95277777776937</v>
      </c>
    </row>
    <row r="6753" spans="1:5" x14ac:dyDescent="0.25">
      <c r="A6753" t="s">
        <v>23</v>
      </c>
      <c r="B6753" t="s">
        <v>24</v>
      </c>
      <c r="C6753" s="1">
        <v>45981.14166666667</v>
      </c>
      <c r="D6753" s="1">
        <v>46039.145833333343</v>
      </c>
      <c r="E6753" s="2">
        <f t="shared" si="105"/>
        <v>58.004166666672972</v>
      </c>
    </row>
    <row r="6754" spans="1:5" x14ac:dyDescent="0.25">
      <c r="A6754" t="s">
        <v>5</v>
      </c>
      <c r="B6754" t="s">
        <v>8</v>
      </c>
      <c r="C6754" s="1">
        <v>46072.658333333333</v>
      </c>
      <c r="D6754" s="1">
        <v>46107.916666666657</v>
      </c>
      <c r="E6754" s="2">
        <f t="shared" si="105"/>
        <v>35.258333333324117</v>
      </c>
    </row>
    <row r="6755" spans="1:5" x14ac:dyDescent="0.25">
      <c r="A6755" t="s">
        <v>28</v>
      </c>
      <c r="B6755" t="s">
        <v>13</v>
      </c>
      <c r="C6755" s="1">
        <v>45883.958333333343</v>
      </c>
      <c r="D6755" s="1">
        <v>45949.119444444441</v>
      </c>
      <c r="E6755" s="2">
        <f t="shared" si="105"/>
        <v>65.161111111097853</v>
      </c>
    </row>
    <row r="6756" spans="1:5" x14ac:dyDescent="0.25">
      <c r="A6756" t="s">
        <v>8</v>
      </c>
      <c r="B6756" t="s">
        <v>18</v>
      </c>
      <c r="C6756" s="1">
        <v>46149.661805555559</v>
      </c>
      <c r="D6756" s="1">
        <v>46195.804166666669</v>
      </c>
      <c r="E6756" s="2">
        <f t="shared" si="105"/>
        <v>46.142361111109494</v>
      </c>
    </row>
    <row r="6757" spans="1:5" x14ac:dyDescent="0.25">
      <c r="A6757" t="s">
        <v>23</v>
      </c>
      <c r="B6757" t="s">
        <v>18</v>
      </c>
      <c r="C6757" s="1">
        <v>46090.923611111109</v>
      </c>
      <c r="D6757" s="1">
        <v>46143.875</v>
      </c>
      <c r="E6757" s="2">
        <f t="shared" si="105"/>
        <v>52.951388888890506</v>
      </c>
    </row>
    <row r="6758" spans="1:5" x14ac:dyDescent="0.25">
      <c r="A6758" t="s">
        <v>23</v>
      </c>
      <c r="B6758" t="s">
        <v>19</v>
      </c>
      <c r="C6758" s="1">
        <v>45801.75</v>
      </c>
      <c r="D6758" s="1">
        <v>45843.406944444447</v>
      </c>
      <c r="E6758" s="2">
        <f t="shared" si="105"/>
        <v>41.656944444446708</v>
      </c>
    </row>
    <row r="6759" spans="1:5" x14ac:dyDescent="0.25">
      <c r="A6759" t="s">
        <v>28</v>
      </c>
      <c r="B6759" t="s">
        <v>18</v>
      </c>
      <c r="C6759" s="1">
        <v>45807.166666666657</v>
      </c>
      <c r="D6759" s="1">
        <v>45879</v>
      </c>
      <c r="E6759" s="2">
        <f t="shared" si="105"/>
        <v>71.833333333343035</v>
      </c>
    </row>
    <row r="6760" spans="1:5" x14ac:dyDescent="0.25">
      <c r="A6760" t="s">
        <v>23</v>
      </c>
      <c r="B6760" t="s">
        <v>18</v>
      </c>
      <c r="C6760" s="1">
        <v>46087.270833333343</v>
      </c>
      <c r="D6760" s="1">
        <v>46131.375</v>
      </c>
      <c r="E6760" s="2">
        <f t="shared" si="105"/>
        <v>44.104166666656965</v>
      </c>
    </row>
    <row r="6761" spans="1:5" x14ac:dyDescent="0.25">
      <c r="A6761" t="s">
        <v>15</v>
      </c>
      <c r="B6761" t="s">
        <v>8</v>
      </c>
      <c r="C6761" s="1">
        <v>46006.65</v>
      </c>
      <c r="D6761" s="1">
        <v>46054.188194444447</v>
      </c>
      <c r="E6761" s="2">
        <f t="shared" si="105"/>
        <v>47.538194444445253</v>
      </c>
    </row>
    <row r="6762" spans="1:5" x14ac:dyDescent="0.25">
      <c r="A6762" t="s">
        <v>8</v>
      </c>
      <c r="B6762" t="s">
        <v>5</v>
      </c>
      <c r="C6762" s="1">
        <v>45780.583333333343</v>
      </c>
      <c r="D6762" s="1">
        <v>45826.125</v>
      </c>
      <c r="E6762" s="2">
        <f t="shared" si="105"/>
        <v>45.541666666656965</v>
      </c>
    </row>
    <row r="6763" spans="1:5" x14ac:dyDescent="0.25">
      <c r="A6763" t="s">
        <v>15</v>
      </c>
      <c r="B6763" t="s">
        <v>38</v>
      </c>
      <c r="C6763" s="1">
        <v>46232.95076388889</v>
      </c>
      <c r="D6763" s="1">
        <v>46279.838194444441</v>
      </c>
      <c r="E6763" s="2">
        <f t="shared" si="105"/>
        <v>46.887430555550964</v>
      </c>
    </row>
    <row r="6764" spans="1:5" x14ac:dyDescent="0.25">
      <c r="A6764" t="s">
        <v>15</v>
      </c>
      <c r="B6764" t="s">
        <v>18</v>
      </c>
      <c r="C6764" s="1">
        <v>46140.572222222218</v>
      </c>
      <c r="D6764" s="1">
        <v>46197.100694444453</v>
      </c>
      <c r="E6764" s="2">
        <f t="shared" si="105"/>
        <v>56.528472222234996</v>
      </c>
    </row>
    <row r="6765" spans="1:5" x14ac:dyDescent="0.25">
      <c r="A6765" t="s">
        <v>15</v>
      </c>
      <c r="B6765" t="s">
        <v>16</v>
      </c>
      <c r="C6765" s="1">
        <v>46098.458333333343</v>
      </c>
      <c r="D6765" s="1">
        <v>46114.666666666657</v>
      </c>
      <c r="E6765" s="2">
        <f t="shared" si="105"/>
        <v>16.208333333313931</v>
      </c>
    </row>
    <row r="6766" spans="1:5" x14ac:dyDescent="0.25">
      <c r="A6766" t="s">
        <v>15</v>
      </c>
      <c r="B6766" t="s">
        <v>38</v>
      </c>
      <c r="C6766" s="1">
        <v>46123.006377314807</v>
      </c>
      <c r="D6766" s="1">
        <v>46167.224999999999</v>
      </c>
      <c r="E6766" s="2">
        <f t="shared" si="105"/>
        <v>44.218622685191804</v>
      </c>
    </row>
    <row r="6767" spans="1:5" x14ac:dyDescent="0.25">
      <c r="A6767" t="s">
        <v>34</v>
      </c>
      <c r="B6767" t="s">
        <v>8</v>
      </c>
      <c r="C6767" s="1">
        <v>45761.28125</v>
      </c>
      <c r="D6767" s="1">
        <v>45792</v>
      </c>
      <c r="E6767" s="2">
        <f t="shared" si="105"/>
        <v>30.71875</v>
      </c>
    </row>
    <row r="6768" spans="1:5" x14ac:dyDescent="0.25">
      <c r="A6768" t="s">
        <v>7</v>
      </c>
      <c r="B6768" t="s">
        <v>8</v>
      </c>
      <c r="C6768" s="1">
        <v>45847.879166666673</v>
      </c>
      <c r="D6768" s="1">
        <v>45910.25</v>
      </c>
      <c r="E6768" s="2">
        <f t="shared" si="105"/>
        <v>62.370833333327028</v>
      </c>
    </row>
    <row r="6769" spans="1:5" x14ac:dyDescent="0.25">
      <c r="A6769" t="s">
        <v>6</v>
      </c>
      <c r="B6769" t="s">
        <v>8</v>
      </c>
      <c r="C6769" s="1">
        <v>45677.57916666667</v>
      </c>
      <c r="D6769" s="1">
        <v>45710.989583333343</v>
      </c>
      <c r="E6769" s="2">
        <f t="shared" si="105"/>
        <v>33.410416666672972</v>
      </c>
    </row>
    <row r="6770" spans="1:5" x14ac:dyDescent="0.25">
      <c r="A6770" t="s">
        <v>6</v>
      </c>
      <c r="B6770" t="s">
        <v>8</v>
      </c>
      <c r="C6770" s="1">
        <v>45690.933333333327</v>
      </c>
      <c r="D6770" s="1">
        <v>45735.334027777782</v>
      </c>
      <c r="E6770" s="2">
        <f t="shared" si="105"/>
        <v>44.400694444455439</v>
      </c>
    </row>
    <row r="6771" spans="1:5" x14ac:dyDescent="0.25">
      <c r="A6771" t="s">
        <v>7</v>
      </c>
      <c r="B6771" t="s">
        <v>8</v>
      </c>
      <c r="C6771" s="1">
        <v>45882.166666666657</v>
      </c>
      <c r="D6771" s="1">
        <v>45938.662499999999</v>
      </c>
      <c r="E6771" s="2">
        <f t="shared" si="105"/>
        <v>56.495833333341579</v>
      </c>
    </row>
    <row r="6772" spans="1:5" x14ac:dyDescent="0.25">
      <c r="A6772" t="s">
        <v>10</v>
      </c>
      <c r="B6772" t="s">
        <v>11</v>
      </c>
      <c r="C6772" s="1">
        <v>45943.333333333343</v>
      </c>
      <c r="D6772" s="1">
        <v>45973.103472222218</v>
      </c>
      <c r="E6772" s="2">
        <f t="shared" si="105"/>
        <v>29.770138888874499</v>
      </c>
    </row>
    <row r="6773" spans="1:5" x14ac:dyDescent="0.25">
      <c r="A6773" t="s">
        <v>8</v>
      </c>
      <c r="B6773" t="s">
        <v>18</v>
      </c>
      <c r="C6773" s="1">
        <v>46192.1875</v>
      </c>
      <c r="D6773" s="1">
        <v>46227.5</v>
      </c>
      <c r="E6773" s="2">
        <f t="shared" si="105"/>
        <v>35.3125</v>
      </c>
    </row>
    <row r="6774" spans="1:5" x14ac:dyDescent="0.25">
      <c r="A6774" t="s">
        <v>10</v>
      </c>
      <c r="B6774" t="s">
        <v>11</v>
      </c>
      <c r="C6774" s="1">
        <v>45870.351388888892</v>
      </c>
      <c r="D6774" s="1">
        <v>45903.355555555558</v>
      </c>
      <c r="E6774" s="2">
        <f t="shared" si="105"/>
        <v>33.004166666665697</v>
      </c>
    </row>
    <row r="6775" spans="1:5" x14ac:dyDescent="0.25">
      <c r="A6775" t="s">
        <v>12</v>
      </c>
      <c r="B6775" t="s">
        <v>13</v>
      </c>
      <c r="C6775" s="1">
        <v>45799.050694444442</v>
      </c>
      <c r="D6775" s="1">
        <v>45844.353472222218</v>
      </c>
      <c r="E6775" s="2">
        <f t="shared" si="105"/>
        <v>45.302777777775191</v>
      </c>
    </row>
    <row r="6776" spans="1:5" x14ac:dyDescent="0.25">
      <c r="A6776" t="s">
        <v>6</v>
      </c>
      <c r="B6776" t="s">
        <v>8</v>
      </c>
      <c r="C6776" s="1">
        <v>45685.074999999997</v>
      </c>
      <c r="D6776" s="1">
        <v>45728.632638888892</v>
      </c>
      <c r="E6776" s="2">
        <f t="shared" si="105"/>
        <v>43.557638888894871</v>
      </c>
    </row>
    <row r="6777" spans="1:5" x14ac:dyDescent="0.25">
      <c r="A6777" t="s">
        <v>27</v>
      </c>
      <c r="B6777" t="s">
        <v>20</v>
      </c>
      <c r="C6777" s="1">
        <v>45748.5625</v>
      </c>
      <c r="D6777" s="1">
        <v>45813.379166666673</v>
      </c>
      <c r="E6777" s="2">
        <f t="shared" si="105"/>
        <v>64.816666666672972</v>
      </c>
    </row>
    <row r="6778" spans="1:5" x14ac:dyDescent="0.25">
      <c r="A6778" t="s">
        <v>8</v>
      </c>
      <c r="B6778" t="s">
        <v>18</v>
      </c>
      <c r="C6778" s="1">
        <v>46206.283333333333</v>
      </c>
      <c r="D6778" s="1">
        <v>46251.208333333343</v>
      </c>
      <c r="E6778" s="2">
        <f t="shared" si="105"/>
        <v>44.925000000010186</v>
      </c>
    </row>
    <row r="6779" spans="1:5" x14ac:dyDescent="0.25">
      <c r="A6779" t="s">
        <v>23</v>
      </c>
      <c r="B6779" t="s">
        <v>8</v>
      </c>
      <c r="C6779" s="1">
        <v>46048.166666666657</v>
      </c>
      <c r="D6779" s="1">
        <v>46089.166666666657</v>
      </c>
      <c r="E6779" s="2">
        <f t="shared" si="105"/>
        <v>41</v>
      </c>
    </row>
    <row r="6780" spans="1:5" x14ac:dyDescent="0.25">
      <c r="A6780" t="s">
        <v>27</v>
      </c>
      <c r="B6780" t="s">
        <v>20</v>
      </c>
      <c r="C6780" s="1">
        <v>45684.708333333343</v>
      </c>
      <c r="D6780" s="1">
        <v>45752.4375</v>
      </c>
      <c r="E6780" s="2">
        <f t="shared" si="105"/>
        <v>67.729166666656965</v>
      </c>
    </row>
    <row r="6781" spans="1:5" x14ac:dyDescent="0.25">
      <c r="A6781" t="s">
        <v>35</v>
      </c>
      <c r="B6781" t="s">
        <v>19</v>
      </c>
      <c r="C6781" s="1">
        <v>46101.752141203702</v>
      </c>
      <c r="D6781" s="1">
        <v>46139.809525462973</v>
      </c>
      <c r="E6781" s="2">
        <f t="shared" si="105"/>
        <v>38.057384259271203</v>
      </c>
    </row>
    <row r="6782" spans="1:5" x14ac:dyDescent="0.25">
      <c r="A6782" t="s">
        <v>27</v>
      </c>
      <c r="B6782" t="s">
        <v>8</v>
      </c>
      <c r="C6782" s="1">
        <v>45788.083333333343</v>
      </c>
      <c r="D6782" s="1">
        <v>45844.163194444453</v>
      </c>
      <c r="E6782" s="2">
        <f t="shared" si="105"/>
        <v>56.079861111109494</v>
      </c>
    </row>
    <row r="6783" spans="1:5" x14ac:dyDescent="0.25">
      <c r="A6783" t="s">
        <v>27</v>
      </c>
      <c r="B6783" t="s">
        <v>18</v>
      </c>
      <c r="C6783" s="1">
        <v>45986.245833333327</v>
      </c>
      <c r="D6783" s="1">
        <v>46050.520833333343</v>
      </c>
      <c r="E6783" s="2">
        <f t="shared" si="105"/>
        <v>64.275000000016007</v>
      </c>
    </row>
    <row r="6784" spans="1:5" x14ac:dyDescent="0.25">
      <c r="A6784" t="s">
        <v>12</v>
      </c>
      <c r="B6784" t="s">
        <v>18</v>
      </c>
      <c r="C6784" s="1">
        <v>45731.79791666667</v>
      </c>
      <c r="D6784" s="1">
        <v>45783.079861111109</v>
      </c>
      <c r="E6784" s="2">
        <f t="shared" si="105"/>
        <v>51.281944444439432</v>
      </c>
    </row>
    <row r="6785" spans="1:5" x14ac:dyDescent="0.25">
      <c r="A6785" t="s">
        <v>12</v>
      </c>
      <c r="B6785" t="s">
        <v>13</v>
      </c>
      <c r="C6785" s="1">
        <v>45706.166666666657</v>
      </c>
      <c r="D6785" s="1">
        <v>45749.17083333333</v>
      </c>
      <c r="E6785" s="2">
        <f t="shared" si="105"/>
        <v>43.004166666672972</v>
      </c>
    </row>
    <row r="6786" spans="1:5" x14ac:dyDescent="0.25">
      <c r="A6786" t="s">
        <v>27</v>
      </c>
      <c r="B6786" t="s">
        <v>8</v>
      </c>
      <c r="C6786" s="1">
        <v>45773.5</v>
      </c>
      <c r="D6786" s="1">
        <v>45830.208333333343</v>
      </c>
      <c r="E6786" s="2">
        <f t="shared" ref="E6786:E6849" si="106">D6786-C6786</f>
        <v>56.708333333343035</v>
      </c>
    </row>
    <row r="6787" spans="1:5" x14ac:dyDescent="0.25">
      <c r="A6787" t="s">
        <v>7</v>
      </c>
      <c r="B6787" t="s">
        <v>13</v>
      </c>
      <c r="C6787" s="1">
        <v>45869.5</v>
      </c>
      <c r="D6787" s="1">
        <v>45911.708333333343</v>
      </c>
      <c r="E6787" s="2">
        <f t="shared" si="106"/>
        <v>42.208333333343035</v>
      </c>
    </row>
    <row r="6788" spans="1:5" x14ac:dyDescent="0.25">
      <c r="A6788" t="s">
        <v>27</v>
      </c>
      <c r="B6788" t="s">
        <v>18</v>
      </c>
      <c r="C6788" s="1">
        <v>45773.5</v>
      </c>
      <c r="D6788" s="1">
        <v>45832.666666666657</v>
      </c>
      <c r="E6788" s="2">
        <f t="shared" si="106"/>
        <v>59.166666666656965</v>
      </c>
    </row>
    <row r="6789" spans="1:5" x14ac:dyDescent="0.25">
      <c r="A6789" t="s">
        <v>15</v>
      </c>
      <c r="B6789" t="s">
        <v>18</v>
      </c>
      <c r="C6789" s="1">
        <v>45771.577777777777</v>
      </c>
      <c r="D6789" s="1">
        <v>45827.402777777781</v>
      </c>
      <c r="E6789" s="2">
        <f t="shared" si="106"/>
        <v>55.825000000004366</v>
      </c>
    </row>
    <row r="6790" spans="1:5" x14ac:dyDescent="0.25">
      <c r="A6790" t="s">
        <v>27</v>
      </c>
      <c r="B6790" t="s">
        <v>20</v>
      </c>
      <c r="C6790" s="1">
        <v>45710.425000000003</v>
      </c>
      <c r="D6790" s="1">
        <v>45769</v>
      </c>
      <c r="E6790" s="2">
        <f t="shared" si="106"/>
        <v>58.57499999999709</v>
      </c>
    </row>
    <row r="6791" spans="1:5" x14ac:dyDescent="0.25">
      <c r="A6791" t="s">
        <v>27</v>
      </c>
      <c r="B6791" t="s">
        <v>8</v>
      </c>
      <c r="C6791" s="1">
        <v>46199.950694444437</v>
      </c>
      <c r="D6791" s="1">
        <v>46278.109027777777</v>
      </c>
      <c r="E6791" s="2">
        <f t="shared" si="106"/>
        <v>78.158333333340124</v>
      </c>
    </row>
    <row r="6792" spans="1:5" x14ac:dyDescent="0.25">
      <c r="A6792" t="s">
        <v>5</v>
      </c>
      <c r="B6792" t="s">
        <v>6</v>
      </c>
      <c r="C6792" s="1">
        <v>46115.291666666657</v>
      </c>
      <c r="D6792" s="1">
        <v>46184.75</v>
      </c>
      <c r="E6792" s="2">
        <f t="shared" si="106"/>
        <v>69.458333333343035</v>
      </c>
    </row>
    <row r="6793" spans="1:5" x14ac:dyDescent="0.25">
      <c r="A6793" t="s">
        <v>12</v>
      </c>
      <c r="B6793" t="s">
        <v>8</v>
      </c>
      <c r="C6793" s="1">
        <v>46132.84375</v>
      </c>
      <c r="D6793" s="1">
        <v>46180.919444444437</v>
      </c>
      <c r="E6793" s="2">
        <f t="shared" si="106"/>
        <v>48.075694444436522</v>
      </c>
    </row>
    <row r="6794" spans="1:5" x14ac:dyDescent="0.25">
      <c r="A6794" t="s">
        <v>27</v>
      </c>
      <c r="B6794" t="s">
        <v>8</v>
      </c>
      <c r="C6794" s="1">
        <v>45769.287499999999</v>
      </c>
      <c r="D6794" s="1">
        <v>45827.75</v>
      </c>
      <c r="E6794" s="2">
        <f t="shared" si="106"/>
        <v>58.462500000001455</v>
      </c>
    </row>
    <row r="6795" spans="1:5" x14ac:dyDescent="0.25">
      <c r="A6795" t="s">
        <v>12</v>
      </c>
      <c r="B6795" t="s">
        <v>8</v>
      </c>
      <c r="C6795" s="1">
        <v>46198.25</v>
      </c>
      <c r="D6795" s="1">
        <v>46258.759722222218</v>
      </c>
      <c r="E6795" s="2">
        <f t="shared" si="106"/>
        <v>60.509722222217533</v>
      </c>
    </row>
    <row r="6796" spans="1:5" x14ac:dyDescent="0.25">
      <c r="A6796" t="s">
        <v>41</v>
      </c>
      <c r="B6796" t="s">
        <v>43</v>
      </c>
      <c r="C6796" s="1">
        <v>46097.331250000003</v>
      </c>
      <c r="D6796" s="1">
        <v>46141.302083333343</v>
      </c>
      <c r="E6796" s="2">
        <f t="shared" si="106"/>
        <v>43.970833333340124</v>
      </c>
    </row>
    <row r="6797" spans="1:5" x14ac:dyDescent="0.25">
      <c r="A6797" t="s">
        <v>12</v>
      </c>
      <c r="B6797" t="s">
        <v>8</v>
      </c>
      <c r="C6797" s="1">
        <v>46106.09375</v>
      </c>
      <c r="D6797" s="1">
        <v>46159.291666666657</v>
      </c>
      <c r="E6797" s="2">
        <f t="shared" si="106"/>
        <v>53.197916666656965</v>
      </c>
    </row>
    <row r="6798" spans="1:5" x14ac:dyDescent="0.25">
      <c r="A6798" t="s">
        <v>8</v>
      </c>
      <c r="B6798" t="s">
        <v>44</v>
      </c>
      <c r="C6798" s="1">
        <v>45701.505555555559</v>
      </c>
      <c r="D6798" s="1">
        <v>45737.438194444447</v>
      </c>
      <c r="E6798" s="2">
        <f t="shared" si="106"/>
        <v>35.932638888887595</v>
      </c>
    </row>
    <row r="6799" spans="1:5" x14ac:dyDescent="0.25">
      <c r="A6799" t="s">
        <v>12</v>
      </c>
      <c r="B6799" t="s">
        <v>18</v>
      </c>
      <c r="C6799" s="1">
        <v>45764</v>
      </c>
      <c r="D6799" s="1">
        <v>45827.402777777781</v>
      </c>
      <c r="E6799" s="2">
        <f t="shared" si="106"/>
        <v>63.402777777781012</v>
      </c>
    </row>
    <row r="6800" spans="1:5" x14ac:dyDescent="0.25">
      <c r="A6800" t="s">
        <v>27</v>
      </c>
      <c r="B6800" t="s">
        <v>18</v>
      </c>
      <c r="C6800" s="1">
        <v>46101.495833333327</v>
      </c>
      <c r="D6800" s="1">
        <v>46158.5</v>
      </c>
      <c r="E6800" s="2">
        <f t="shared" si="106"/>
        <v>57.004166666672972</v>
      </c>
    </row>
    <row r="6801" spans="1:5" x14ac:dyDescent="0.25">
      <c r="A6801" t="s">
        <v>27</v>
      </c>
      <c r="B6801" t="s">
        <v>18</v>
      </c>
      <c r="C6801" s="1">
        <v>46109.183333333327</v>
      </c>
      <c r="D6801" s="1">
        <v>46170.275000000001</v>
      </c>
      <c r="E6801" s="2">
        <f t="shared" si="106"/>
        <v>61.091666666674428</v>
      </c>
    </row>
    <row r="6802" spans="1:5" x14ac:dyDescent="0.25">
      <c r="A6802" t="s">
        <v>28</v>
      </c>
      <c r="B6802" t="s">
        <v>8</v>
      </c>
      <c r="C6802" s="1">
        <v>46066.51458333333</v>
      </c>
      <c r="D6802" s="1">
        <v>46124.397222222222</v>
      </c>
      <c r="E6802" s="2">
        <f t="shared" si="106"/>
        <v>57.882638888891961</v>
      </c>
    </row>
    <row r="6803" spans="1:5" x14ac:dyDescent="0.25">
      <c r="A6803" t="s">
        <v>27</v>
      </c>
      <c r="B6803" t="s">
        <v>8</v>
      </c>
      <c r="C6803" s="1">
        <v>46017.183333333327</v>
      </c>
      <c r="D6803" s="1">
        <v>46067.625</v>
      </c>
      <c r="E6803" s="2">
        <f t="shared" si="106"/>
        <v>50.441666666672972</v>
      </c>
    </row>
    <row r="6804" spans="1:5" x14ac:dyDescent="0.25">
      <c r="A6804" t="s">
        <v>34</v>
      </c>
      <c r="B6804" t="s">
        <v>8</v>
      </c>
      <c r="C6804" s="1">
        <v>45948.53402777778</v>
      </c>
      <c r="D6804" s="1">
        <v>45989.167361111111</v>
      </c>
      <c r="E6804" s="2">
        <f t="shared" si="106"/>
        <v>40.633333333331393</v>
      </c>
    </row>
    <row r="6805" spans="1:5" x14ac:dyDescent="0.25">
      <c r="A6805" t="s">
        <v>7</v>
      </c>
      <c r="B6805" t="s">
        <v>6</v>
      </c>
      <c r="C6805" s="1">
        <v>46176.583333333343</v>
      </c>
      <c r="D6805" s="1">
        <v>46221.279166666667</v>
      </c>
      <c r="E6805" s="2">
        <f t="shared" si="106"/>
        <v>44.695833333324117</v>
      </c>
    </row>
    <row r="6806" spans="1:5" x14ac:dyDescent="0.25">
      <c r="A6806" t="s">
        <v>22</v>
      </c>
      <c r="B6806" t="s">
        <v>19</v>
      </c>
      <c r="C6806" s="1">
        <v>45970.664583333331</v>
      </c>
      <c r="D6806" s="1">
        <v>46025.578472222223</v>
      </c>
      <c r="E6806" s="2">
        <f t="shared" si="106"/>
        <v>54.913888888891961</v>
      </c>
    </row>
    <row r="6807" spans="1:5" x14ac:dyDescent="0.25">
      <c r="A6807" t="s">
        <v>12</v>
      </c>
      <c r="B6807" t="s">
        <v>18</v>
      </c>
      <c r="C6807" s="1">
        <v>45845.878472222219</v>
      </c>
      <c r="D6807" s="1">
        <v>45909.30972222222</v>
      </c>
      <c r="E6807" s="2">
        <f t="shared" si="106"/>
        <v>63.431250000001455</v>
      </c>
    </row>
    <row r="6808" spans="1:5" x14ac:dyDescent="0.25">
      <c r="A6808" t="s">
        <v>41</v>
      </c>
      <c r="B6808" t="s">
        <v>8</v>
      </c>
      <c r="C6808" s="1">
        <v>46217.678472222222</v>
      </c>
      <c r="D6808" s="1">
        <v>46267.742361111108</v>
      </c>
      <c r="E6808" s="2">
        <f t="shared" si="106"/>
        <v>50.06388888888614</v>
      </c>
    </row>
    <row r="6809" spans="1:5" x14ac:dyDescent="0.25">
      <c r="A6809" t="s">
        <v>22</v>
      </c>
      <c r="B6809" t="s">
        <v>51</v>
      </c>
      <c r="C6809" s="1">
        <v>46117.894444444442</v>
      </c>
      <c r="D6809" s="1">
        <v>46174.698611111111</v>
      </c>
      <c r="E6809" s="2">
        <f t="shared" si="106"/>
        <v>56.804166666668607</v>
      </c>
    </row>
    <row r="6810" spans="1:5" x14ac:dyDescent="0.25">
      <c r="A6810" t="s">
        <v>16</v>
      </c>
      <c r="B6810" t="s">
        <v>13</v>
      </c>
      <c r="C6810" s="1">
        <v>45764.879166666673</v>
      </c>
      <c r="D6810" s="1">
        <v>45811.083333333343</v>
      </c>
      <c r="E6810" s="2">
        <f t="shared" si="106"/>
        <v>46.204166666670062</v>
      </c>
    </row>
    <row r="6811" spans="1:5" x14ac:dyDescent="0.25">
      <c r="A6811" t="s">
        <v>8</v>
      </c>
      <c r="B6811" t="s">
        <v>18</v>
      </c>
      <c r="C6811" s="1">
        <v>46093.904861111107</v>
      </c>
      <c r="D6811" s="1">
        <v>46129.805555555547</v>
      </c>
      <c r="E6811" s="2">
        <f t="shared" si="106"/>
        <v>35.900694444440887</v>
      </c>
    </row>
    <row r="6812" spans="1:5" x14ac:dyDescent="0.25">
      <c r="A6812" t="s">
        <v>19</v>
      </c>
      <c r="B6812" t="s">
        <v>8</v>
      </c>
      <c r="C6812" s="1">
        <v>45750.255555555559</v>
      </c>
      <c r="D6812" s="1">
        <v>45782.551388888889</v>
      </c>
      <c r="E6812" s="2">
        <f t="shared" si="106"/>
        <v>32.295833333329938</v>
      </c>
    </row>
    <row r="6813" spans="1:5" x14ac:dyDescent="0.25">
      <c r="A6813" t="s">
        <v>22</v>
      </c>
      <c r="B6813" t="s">
        <v>14</v>
      </c>
      <c r="C6813" s="1">
        <v>46036.670138888891</v>
      </c>
      <c r="D6813" s="1">
        <v>46155.262499999997</v>
      </c>
      <c r="E6813" s="2">
        <f t="shared" si="106"/>
        <v>118.59236111110658</v>
      </c>
    </row>
    <row r="6814" spans="1:5" x14ac:dyDescent="0.25">
      <c r="A6814" t="s">
        <v>23</v>
      </c>
      <c r="B6814" t="s">
        <v>30</v>
      </c>
      <c r="C6814" s="1">
        <v>45925.53125</v>
      </c>
      <c r="D6814" s="1">
        <v>45968.520833333343</v>
      </c>
      <c r="E6814" s="2">
        <f t="shared" si="106"/>
        <v>42.989583333343035</v>
      </c>
    </row>
    <row r="6815" spans="1:5" x14ac:dyDescent="0.25">
      <c r="A6815" t="s">
        <v>41</v>
      </c>
      <c r="B6815" t="s">
        <v>8</v>
      </c>
      <c r="C6815" s="1">
        <v>46187.908333333333</v>
      </c>
      <c r="D6815" s="1">
        <v>46225.791666666657</v>
      </c>
      <c r="E6815" s="2">
        <f t="shared" si="106"/>
        <v>37.883333333324117</v>
      </c>
    </row>
    <row r="6816" spans="1:5" x14ac:dyDescent="0.25">
      <c r="A6816" t="s">
        <v>22</v>
      </c>
      <c r="B6816" t="s">
        <v>19</v>
      </c>
      <c r="C6816" s="1">
        <v>45817.678472222222</v>
      </c>
      <c r="D6816" s="1">
        <v>45869.829861111109</v>
      </c>
      <c r="E6816" s="2">
        <f t="shared" si="106"/>
        <v>52.151388888887595</v>
      </c>
    </row>
    <row r="6817" spans="1:5" x14ac:dyDescent="0.25">
      <c r="A6817" t="s">
        <v>22</v>
      </c>
      <c r="B6817" t="s">
        <v>14</v>
      </c>
      <c r="C6817" s="1">
        <v>46110.892361111109</v>
      </c>
      <c r="D6817" s="1">
        <v>46190.75277777778</v>
      </c>
      <c r="E6817" s="2">
        <f t="shared" si="106"/>
        <v>79.860416666670062</v>
      </c>
    </row>
    <row r="6818" spans="1:5" x14ac:dyDescent="0.25">
      <c r="A6818" t="s">
        <v>6</v>
      </c>
      <c r="B6818" t="s">
        <v>8</v>
      </c>
      <c r="C6818" s="1">
        <v>46015.311111111107</v>
      </c>
      <c r="D6818" s="1">
        <v>46055.681250000001</v>
      </c>
      <c r="E6818" s="2">
        <f t="shared" si="106"/>
        <v>40.370138888894871</v>
      </c>
    </row>
    <row r="6819" spans="1:5" x14ac:dyDescent="0.25">
      <c r="A6819" t="s">
        <v>41</v>
      </c>
      <c r="B6819" t="s">
        <v>8</v>
      </c>
      <c r="C6819" s="1">
        <v>46201.175694444442</v>
      </c>
      <c r="D6819" s="1">
        <v>46237.043749999997</v>
      </c>
      <c r="E6819" s="2">
        <f t="shared" si="106"/>
        <v>35.868055555554747</v>
      </c>
    </row>
    <row r="6820" spans="1:5" x14ac:dyDescent="0.25">
      <c r="A6820" t="s">
        <v>22</v>
      </c>
      <c r="B6820" t="s">
        <v>14</v>
      </c>
      <c r="C6820" s="1">
        <v>45679.163194444453</v>
      </c>
      <c r="D6820" s="1">
        <v>45735.804166666669</v>
      </c>
      <c r="E6820" s="2">
        <f t="shared" si="106"/>
        <v>56.640972222216078</v>
      </c>
    </row>
    <row r="6821" spans="1:5" x14ac:dyDescent="0.25">
      <c r="A6821" t="s">
        <v>22</v>
      </c>
      <c r="B6821" t="s">
        <v>51</v>
      </c>
      <c r="C6821" s="1">
        <v>46041.21597222222</v>
      </c>
      <c r="D6821" s="1">
        <v>46112.119444444441</v>
      </c>
      <c r="E6821" s="2">
        <f t="shared" si="106"/>
        <v>70.903472222220444</v>
      </c>
    </row>
    <row r="6822" spans="1:5" x14ac:dyDescent="0.25">
      <c r="A6822" t="s">
        <v>17</v>
      </c>
      <c r="B6822" t="s">
        <v>18</v>
      </c>
      <c r="C6822" s="1">
        <v>45662</v>
      </c>
      <c r="D6822" s="1">
        <v>45715.222222222219</v>
      </c>
      <c r="E6822" s="2">
        <f t="shared" si="106"/>
        <v>53.222222222218988</v>
      </c>
    </row>
    <row r="6823" spans="1:5" x14ac:dyDescent="0.25">
      <c r="A6823" t="s">
        <v>15</v>
      </c>
      <c r="B6823" t="s">
        <v>19</v>
      </c>
      <c r="C6823" s="1">
        <v>46109.955937500003</v>
      </c>
      <c r="D6823" s="1">
        <v>46145.628449074073</v>
      </c>
      <c r="E6823" s="2">
        <f t="shared" si="106"/>
        <v>35.672511574070086</v>
      </c>
    </row>
    <row r="6824" spans="1:5" x14ac:dyDescent="0.25">
      <c r="A6824" t="s">
        <v>27</v>
      </c>
      <c r="B6824" t="s">
        <v>20</v>
      </c>
      <c r="C6824" s="1">
        <v>45666.827777777777</v>
      </c>
      <c r="D6824" s="1">
        <v>45729.604166666657</v>
      </c>
      <c r="E6824" s="2">
        <f t="shared" si="106"/>
        <v>62.776388888880319</v>
      </c>
    </row>
    <row r="6825" spans="1:5" x14ac:dyDescent="0.25">
      <c r="A6825" t="s">
        <v>41</v>
      </c>
      <c r="B6825" t="s">
        <v>8</v>
      </c>
      <c r="C6825" s="1">
        <v>46165.728472222218</v>
      </c>
      <c r="D6825" s="1">
        <v>46203.938194444447</v>
      </c>
      <c r="E6825" s="2">
        <f t="shared" si="106"/>
        <v>38.209722222229175</v>
      </c>
    </row>
    <row r="6826" spans="1:5" x14ac:dyDescent="0.25">
      <c r="A6826" t="s">
        <v>16</v>
      </c>
      <c r="B6826" t="s">
        <v>20</v>
      </c>
      <c r="C6826" s="1">
        <v>45714.612500000003</v>
      </c>
      <c r="D6826" s="1">
        <v>45761.566666666673</v>
      </c>
      <c r="E6826" s="2">
        <f t="shared" si="106"/>
        <v>46.954166666670062</v>
      </c>
    </row>
    <row r="6827" spans="1:5" x14ac:dyDescent="0.25">
      <c r="A6827" t="s">
        <v>27</v>
      </c>
      <c r="B6827" t="s">
        <v>8</v>
      </c>
      <c r="C6827" s="1">
        <v>45994.537499999999</v>
      </c>
      <c r="D6827" s="1">
        <v>46033.208333333343</v>
      </c>
      <c r="E6827" s="2">
        <f t="shared" si="106"/>
        <v>38.67083333334449</v>
      </c>
    </row>
    <row r="6828" spans="1:5" x14ac:dyDescent="0.25">
      <c r="A6828" t="s">
        <v>20</v>
      </c>
      <c r="B6828" t="s">
        <v>8</v>
      </c>
      <c r="C6828" s="1">
        <v>46075.20416666667</v>
      </c>
      <c r="D6828" s="1">
        <v>46113.945138888892</v>
      </c>
      <c r="E6828" s="2">
        <f t="shared" si="106"/>
        <v>38.740972222221899</v>
      </c>
    </row>
    <row r="6829" spans="1:5" x14ac:dyDescent="0.25">
      <c r="A6829" t="s">
        <v>41</v>
      </c>
      <c r="B6829" t="s">
        <v>8</v>
      </c>
      <c r="C6829" s="1">
        <v>46147.527777777781</v>
      </c>
      <c r="D6829" s="1">
        <v>46184.934027777781</v>
      </c>
      <c r="E6829" s="2">
        <f t="shared" si="106"/>
        <v>37.40625</v>
      </c>
    </row>
    <row r="6830" spans="1:5" x14ac:dyDescent="0.25">
      <c r="A6830" t="s">
        <v>6</v>
      </c>
      <c r="B6830" t="s">
        <v>8</v>
      </c>
      <c r="C6830" s="1">
        <v>45825.845138888893</v>
      </c>
      <c r="D6830" s="1">
        <v>45876.867361111108</v>
      </c>
      <c r="E6830" s="2">
        <f t="shared" si="106"/>
        <v>51.022222222214623</v>
      </c>
    </row>
    <row r="6831" spans="1:5" x14ac:dyDescent="0.25">
      <c r="A6831" t="s">
        <v>15</v>
      </c>
      <c r="B6831" t="s">
        <v>18</v>
      </c>
      <c r="C6831" s="1">
        <v>45967.545138888891</v>
      </c>
      <c r="D6831" s="1">
        <v>46014.96597222222</v>
      </c>
      <c r="E6831" s="2">
        <f t="shared" si="106"/>
        <v>47.420833333329938</v>
      </c>
    </row>
    <row r="6832" spans="1:5" x14ac:dyDescent="0.25">
      <c r="A6832" t="s">
        <v>15</v>
      </c>
      <c r="B6832" t="s">
        <v>19</v>
      </c>
      <c r="C6832" s="1">
        <v>45935.757881944453</v>
      </c>
      <c r="D6832" s="1">
        <v>45975.527314814812</v>
      </c>
      <c r="E6832" s="2">
        <f t="shared" si="106"/>
        <v>39.769432870358287</v>
      </c>
    </row>
    <row r="6833" spans="1:5" x14ac:dyDescent="0.25">
      <c r="A6833" t="s">
        <v>40</v>
      </c>
      <c r="B6833" t="s">
        <v>37</v>
      </c>
      <c r="C6833" s="1">
        <v>45948.313009259262</v>
      </c>
      <c r="D6833" s="1">
        <v>45962.379166666673</v>
      </c>
      <c r="E6833" s="2">
        <f t="shared" si="106"/>
        <v>14.066157407411083</v>
      </c>
    </row>
    <row r="6834" spans="1:5" x14ac:dyDescent="0.25">
      <c r="A6834" t="s">
        <v>7</v>
      </c>
      <c r="B6834" t="s">
        <v>11</v>
      </c>
      <c r="C6834" s="1">
        <v>45676.804166666669</v>
      </c>
      <c r="D6834" s="1">
        <v>45755.904166666667</v>
      </c>
      <c r="E6834" s="2">
        <f t="shared" si="106"/>
        <v>79.099999999998545</v>
      </c>
    </row>
    <row r="6835" spans="1:5" x14ac:dyDescent="0.25">
      <c r="A6835" t="s">
        <v>23</v>
      </c>
      <c r="B6835" t="s">
        <v>12</v>
      </c>
      <c r="C6835" s="1">
        <v>46065.398611111108</v>
      </c>
      <c r="D6835" s="1">
        <v>46077.368750000001</v>
      </c>
      <c r="E6835" s="2">
        <f t="shared" si="106"/>
        <v>11.970138888893416</v>
      </c>
    </row>
    <row r="6836" spans="1:5" x14ac:dyDescent="0.25">
      <c r="A6836" t="s">
        <v>5</v>
      </c>
      <c r="B6836" t="s">
        <v>8</v>
      </c>
      <c r="C6836" s="1">
        <v>46236.188888888893</v>
      </c>
      <c r="D6836" s="1">
        <v>46278.113888888889</v>
      </c>
      <c r="E6836" s="2">
        <f t="shared" si="106"/>
        <v>41.924999999995634</v>
      </c>
    </row>
    <row r="6837" spans="1:5" x14ac:dyDescent="0.25">
      <c r="A6837" t="s">
        <v>7</v>
      </c>
      <c r="B6837" t="s">
        <v>8</v>
      </c>
      <c r="C6837" s="1">
        <v>45940.345833333333</v>
      </c>
      <c r="D6837" s="1">
        <v>45989.166666666657</v>
      </c>
      <c r="E6837" s="2">
        <f t="shared" si="106"/>
        <v>48.820833333324117</v>
      </c>
    </row>
    <row r="6838" spans="1:5" x14ac:dyDescent="0.25">
      <c r="A6838" t="s">
        <v>5</v>
      </c>
      <c r="B6838" t="s">
        <v>8</v>
      </c>
      <c r="C6838" s="1">
        <v>46093.616666666669</v>
      </c>
      <c r="D6838" s="1">
        <v>46141.354166666657</v>
      </c>
      <c r="E6838" s="2">
        <f t="shared" si="106"/>
        <v>47.737499999988358</v>
      </c>
    </row>
    <row r="6839" spans="1:5" x14ac:dyDescent="0.25">
      <c r="A6839" t="s">
        <v>7</v>
      </c>
      <c r="B6839" t="s">
        <v>8</v>
      </c>
      <c r="C6839" s="1">
        <v>45785.595833333333</v>
      </c>
      <c r="D6839" s="1">
        <v>45818.433333333327</v>
      </c>
      <c r="E6839" s="2">
        <f t="shared" si="106"/>
        <v>32.837499999994179</v>
      </c>
    </row>
    <row r="6840" spans="1:5" x14ac:dyDescent="0.25">
      <c r="A6840" t="s">
        <v>15</v>
      </c>
      <c r="B6840" t="s">
        <v>19</v>
      </c>
      <c r="C6840" s="1">
        <v>45935.757881944453</v>
      </c>
      <c r="D6840" s="1">
        <v>45975.527314814812</v>
      </c>
      <c r="E6840" s="2">
        <f t="shared" si="106"/>
        <v>39.769432870358287</v>
      </c>
    </row>
    <row r="6841" spans="1:5" x14ac:dyDescent="0.25">
      <c r="A6841" t="s">
        <v>5</v>
      </c>
      <c r="B6841" t="s">
        <v>8</v>
      </c>
      <c r="C6841" s="1">
        <v>46243.275000000001</v>
      </c>
      <c r="D6841" s="1">
        <v>46282.215277777781</v>
      </c>
      <c r="E6841" s="2">
        <f t="shared" si="106"/>
        <v>38.940277777779556</v>
      </c>
    </row>
    <row r="6842" spans="1:5" x14ac:dyDescent="0.25">
      <c r="A6842" t="s">
        <v>22</v>
      </c>
      <c r="B6842" t="s">
        <v>51</v>
      </c>
      <c r="C6842" s="1">
        <v>46077.848611111112</v>
      </c>
      <c r="D6842" s="1">
        <v>46139.546527777777</v>
      </c>
      <c r="E6842" s="2">
        <f t="shared" si="106"/>
        <v>61.697916666664241</v>
      </c>
    </row>
    <row r="6843" spans="1:5" x14ac:dyDescent="0.25">
      <c r="A6843" t="s">
        <v>8</v>
      </c>
      <c r="B6843" t="s">
        <v>6</v>
      </c>
      <c r="C6843" s="1">
        <v>46127.822916666657</v>
      </c>
      <c r="D6843" s="1">
        <v>46174.149305555547</v>
      </c>
      <c r="E6843" s="2">
        <f t="shared" si="106"/>
        <v>46.326388888890506</v>
      </c>
    </row>
    <row r="6844" spans="1:5" x14ac:dyDescent="0.25">
      <c r="A6844" t="s">
        <v>13</v>
      </c>
      <c r="B6844" t="s">
        <v>8</v>
      </c>
      <c r="C6844" s="1">
        <v>45877.620833333327</v>
      </c>
      <c r="D6844" s="1">
        <v>45913.041666666657</v>
      </c>
      <c r="E6844" s="2">
        <f t="shared" si="106"/>
        <v>35.420833333329938</v>
      </c>
    </row>
    <row r="6845" spans="1:5" x14ac:dyDescent="0.25">
      <c r="A6845" t="s">
        <v>20</v>
      </c>
      <c r="B6845" t="s">
        <v>8</v>
      </c>
      <c r="C6845" s="1">
        <v>45753.120833333327</v>
      </c>
      <c r="D6845" s="1">
        <v>45784.279861111107</v>
      </c>
      <c r="E6845" s="2">
        <f t="shared" si="106"/>
        <v>31.159027777779556</v>
      </c>
    </row>
    <row r="6846" spans="1:5" x14ac:dyDescent="0.25">
      <c r="A6846" t="s">
        <v>27</v>
      </c>
      <c r="B6846" t="s">
        <v>20</v>
      </c>
      <c r="C6846" s="1">
        <v>45710.425000000003</v>
      </c>
      <c r="D6846" s="1">
        <v>45769</v>
      </c>
      <c r="E6846" s="2">
        <f t="shared" si="106"/>
        <v>58.57499999999709</v>
      </c>
    </row>
    <row r="6847" spans="1:5" x14ac:dyDescent="0.25">
      <c r="A6847" t="s">
        <v>9</v>
      </c>
      <c r="B6847" t="s">
        <v>11</v>
      </c>
      <c r="C6847" s="1">
        <v>46167.646527777782</v>
      </c>
      <c r="D6847" s="1">
        <v>46246.513888888891</v>
      </c>
      <c r="E6847" s="2">
        <f t="shared" si="106"/>
        <v>78.867361111108039</v>
      </c>
    </row>
    <row r="6848" spans="1:5" x14ac:dyDescent="0.25">
      <c r="A6848" t="s">
        <v>20</v>
      </c>
      <c r="B6848" t="s">
        <v>8</v>
      </c>
      <c r="C6848" s="1">
        <v>46194.012499999997</v>
      </c>
      <c r="D6848" s="1">
        <v>46226.323611111111</v>
      </c>
      <c r="E6848" s="2">
        <f t="shared" si="106"/>
        <v>32.31111111111386</v>
      </c>
    </row>
    <row r="6849" spans="1:5" x14ac:dyDescent="0.25">
      <c r="A6849" t="s">
        <v>9</v>
      </c>
      <c r="B6849" t="s">
        <v>11</v>
      </c>
      <c r="C6849" s="1">
        <v>45675.625</v>
      </c>
      <c r="D6849" s="1">
        <v>45752.916666666657</v>
      </c>
      <c r="E6849" s="2">
        <f t="shared" si="106"/>
        <v>77.291666666656965</v>
      </c>
    </row>
    <row r="6850" spans="1:5" x14ac:dyDescent="0.25">
      <c r="A6850" t="s">
        <v>11</v>
      </c>
      <c r="B6850" t="s">
        <v>19</v>
      </c>
      <c r="C6850" s="1">
        <v>45898.25</v>
      </c>
      <c r="D6850" s="1">
        <v>45955.987500000003</v>
      </c>
      <c r="E6850" s="2">
        <f t="shared" ref="E6850:E6913" si="107">D6850-C6850</f>
        <v>57.73750000000291</v>
      </c>
    </row>
    <row r="6851" spans="1:5" x14ac:dyDescent="0.25">
      <c r="A6851" t="s">
        <v>5</v>
      </c>
      <c r="B6851" t="s">
        <v>55</v>
      </c>
      <c r="C6851" s="1">
        <v>45787.325694444437</v>
      </c>
      <c r="D6851" s="1">
        <v>45859.952777777777</v>
      </c>
      <c r="E6851" s="2">
        <f t="shared" si="107"/>
        <v>72.627083333340124</v>
      </c>
    </row>
    <row r="6852" spans="1:5" x14ac:dyDescent="0.25">
      <c r="A6852" t="s">
        <v>22</v>
      </c>
      <c r="B6852" t="s">
        <v>19</v>
      </c>
      <c r="C6852" s="1">
        <v>45853.777800925927</v>
      </c>
      <c r="D6852" s="1">
        <v>45898.190127314818</v>
      </c>
      <c r="E6852" s="2">
        <f t="shared" si="107"/>
        <v>44.412326388890506</v>
      </c>
    </row>
    <row r="6853" spans="1:5" x14ac:dyDescent="0.25">
      <c r="A6853" t="s">
        <v>12</v>
      </c>
      <c r="B6853" t="s">
        <v>18</v>
      </c>
      <c r="C6853" s="1">
        <v>45722.584722222222</v>
      </c>
      <c r="D6853" s="1">
        <v>45783.079861111109</v>
      </c>
      <c r="E6853" s="2">
        <f t="shared" si="107"/>
        <v>60.495138888887595</v>
      </c>
    </row>
    <row r="6854" spans="1:5" x14ac:dyDescent="0.25">
      <c r="A6854" t="s">
        <v>28</v>
      </c>
      <c r="B6854" t="s">
        <v>24</v>
      </c>
      <c r="C6854" s="1">
        <v>45879.111111111109</v>
      </c>
      <c r="D6854" s="1">
        <v>45956.57916666667</v>
      </c>
      <c r="E6854" s="2">
        <f t="shared" si="107"/>
        <v>77.468055555560568</v>
      </c>
    </row>
    <row r="6855" spans="1:5" x14ac:dyDescent="0.25">
      <c r="A6855" t="s">
        <v>17</v>
      </c>
      <c r="B6855" t="s">
        <v>18</v>
      </c>
      <c r="C6855" s="1">
        <v>45717</v>
      </c>
      <c r="D6855" s="1">
        <v>45770</v>
      </c>
      <c r="E6855" s="2">
        <f t="shared" si="107"/>
        <v>53</v>
      </c>
    </row>
    <row r="6856" spans="1:5" x14ac:dyDescent="0.25">
      <c r="A6856" t="s">
        <v>10</v>
      </c>
      <c r="B6856" t="s">
        <v>8</v>
      </c>
      <c r="C6856" s="1">
        <v>45741.388194444437</v>
      </c>
      <c r="D6856" s="1">
        <v>45761.677777777782</v>
      </c>
      <c r="E6856" s="2">
        <f t="shared" si="107"/>
        <v>20.289583333345945</v>
      </c>
    </row>
    <row r="6857" spans="1:5" x14ac:dyDescent="0.25">
      <c r="A6857" t="s">
        <v>15</v>
      </c>
      <c r="B6857" t="s">
        <v>18</v>
      </c>
      <c r="C6857" s="1">
        <v>46063.744444444441</v>
      </c>
      <c r="D6857" s="1">
        <v>46119.064583333333</v>
      </c>
      <c r="E6857" s="2">
        <f t="shared" si="107"/>
        <v>55.320138888891961</v>
      </c>
    </row>
    <row r="6858" spans="1:5" x14ac:dyDescent="0.25">
      <c r="A6858" t="s">
        <v>18</v>
      </c>
      <c r="B6858" t="s">
        <v>27</v>
      </c>
      <c r="C6858" s="1">
        <v>46073.666666666657</v>
      </c>
      <c r="D6858" s="1">
        <v>46130.425000000003</v>
      </c>
      <c r="E6858" s="2">
        <f t="shared" si="107"/>
        <v>56.758333333345945</v>
      </c>
    </row>
    <row r="6859" spans="1:5" x14ac:dyDescent="0.25">
      <c r="A6859" t="s">
        <v>41</v>
      </c>
      <c r="B6859" t="s">
        <v>8</v>
      </c>
      <c r="C6859" s="1">
        <v>46193.822916666657</v>
      </c>
      <c r="D6859" s="1">
        <v>46233.649305555547</v>
      </c>
      <c r="E6859" s="2">
        <f t="shared" si="107"/>
        <v>39.826388888890506</v>
      </c>
    </row>
    <row r="6860" spans="1:5" x14ac:dyDescent="0.25">
      <c r="A6860" t="s">
        <v>61</v>
      </c>
      <c r="B6860" t="s">
        <v>62</v>
      </c>
      <c r="C6860" s="1">
        <v>45971.212500000001</v>
      </c>
      <c r="D6860" s="1">
        <v>46028.365277777782</v>
      </c>
      <c r="E6860" s="2">
        <f t="shared" si="107"/>
        <v>57.152777777781012</v>
      </c>
    </row>
    <row r="6861" spans="1:5" x14ac:dyDescent="0.25">
      <c r="A6861" t="s">
        <v>27</v>
      </c>
      <c r="B6861" t="s">
        <v>8</v>
      </c>
      <c r="C6861" s="1">
        <v>45930.24722222222</v>
      </c>
      <c r="D6861" s="1">
        <v>45977.614583333343</v>
      </c>
      <c r="E6861" s="2">
        <f t="shared" si="107"/>
        <v>47.367361111122591</v>
      </c>
    </row>
    <row r="6862" spans="1:5" x14ac:dyDescent="0.25">
      <c r="A6862" t="s">
        <v>27</v>
      </c>
      <c r="B6862" t="s">
        <v>59</v>
      </c>
      <c r="C6862" s="1">
        <v>45741.387499999997</v>
      </c>
      <c r="D6862" s="1">
        <v>45808.616666666669</v>
      </c>
      <c r="E6862" s="2">
        <f t="shared" si="107"/>
        <v>67.229166666671517</v>
      </c>
    </row>
    <row r="6863" spans="1:5" x14ac:dyDescent="0.25">
      <c r="A6863" t="s">
        <v>14</v>
      </c>
      <c r="B6863" t="s">
        <v>22</v>
      </c>
      <c r="C6863" s="1">
        <v>46081.037499999999</v>
      </c>
      <c r="D6863" s="1">
        <v>46144.887499999997</v>
      </c>
      <c r="E6863" s="2">
        <f t="shared" si="107"/>
        <v>63.849999999998545</v>
      </c>
    </row>
    <row r="6864" spans="1:5" x14ac:dyDescent="0.25">
      <c r="A6864" t="s">
        <v>23</v>
      </c>
      <c r="B6864" t="s">
        <v>18</v>
      </c>
      <c r="C6864" s="1">
        <v>46051.133333333331</v>
      </c>
      <c r="D6864" s="1">
        <v>46100.083333333343</v>
      </c>
      <c r="E6864" s="2">
        <f t="shared" si="107"/>
        <v>48.950000000011642</v>
      </c>
    </row>
    <row r="6865" spans="1:5" x14ac:dyDescent="0.25">
      <c r="A6865" t="s">
        <v>7</v>
      </c>
      <c r="B6865" t="s">
        <v>8</v>
      </c>
      <c r="C6865" s="1">
        <v>45843.85</v>
      </c>
      <c r="D6865" s="1">
        <v>45910.25</v>
      </c>
      <c r="E6865" s="2">
        <f t="shared" si="107"/>
        <v>66.400000000001455</v>
      </c>
    </row>
    <row r="6866" spans="1:5" x14ac:dyDescent="0.25">
      <c r="A6866" t="s">
        <v>5</v>
      </c>
      <c r="B6866" t="s">
        <v>8</v>
      </c>
      <c r="C6866" s="1">
        <v>46078.916666666657</v>
      </c>
      <c r="D6866" s="1">
        <v>46113.395833333343</v>
      </c>
      <c r="E6866" s="2">
        <f t="shared" si="107"/>
        <v>34.479166666686069</v>
      </c>
    </row>
    <row r="6867" spans="1:5" x14ac:dyDescent="0.25">
      <c r="A6867" t="s">
        <v>41</v>
      </c>
      <c r="B6867" t="s">
        <v>43</v>
      </c>
      <c r="C6867" s="1">
        <v>46209.07708333333</v>
      </c>
      <c r="D6867" s="1">
        <v>46255.838194444441</v>
      </c>
      <c r="E6867" s="2">
        <f t="shared" si="107"/>
        <v>46.761111111110949</v>
      </c>
    </row>
    <row r="6868" spans="1:5" x14ac:dyDescent="0.25">
      <c r="A6868" t="s">
        <v>22</v>
      </c>
      <c r="B6868" t="s">
        <v>19</v>
      </c>
      <c r="C6868" s="1">
        <v>45990.75</v>
      </c>
      <c r="D6868" s="1">
        <v>46059.034722222219</v>
      </c>
      <c r="E6868" s="2">
        <f t="shared" si="107"/>
        <v>68.284722222218988</v>
      </c>
    </row>
    <row r="6869" spans="1:5" x14ac:dyDescent="0.25">
      <c r="A6869" t="s">
        <v>14</v>
      </c>
      <c r="B6869" t="s">
        <v>22</v>
      </c>
      <c r="C6869" s="1">
        <v>46230.609386574077</v>
      </c>
      <c r="D6869" s="1">
        <v>46282.318055555559</v>
      </c>
      <c r="E6869" s="2">
        <f t="shared" si="107"/>
        <v>51.708668981482333</v>
      </c>
    </row>
    <row r="6870" spans="1:5" x14ac:dyDescent="0.25">
      <c r="A6870" t="s">
        <v>41</v>
      </c>
      <c r="B6870" t="s">
        <v>8</v>
      </c>
      <c r="C6870" s="1">
        <v>46209.07708333333</v>
      </c>
      <c r="D6870" s="1">
        <v>46249.788194444453</v>
      </c>
      <c r="E6870" s="2">
        <f t="shared" si="107"/>
        <v>40.711111111122591</v>
      </c>
    </row>
    <row r="6871" spans="1:5" x14ac:dyDescent="0.25">
      <c r="A6871" t="s">
        <v>17</v>
      </c>
      <c r="B6871" t="s">
        <v>18</v>
      </c>
      <c r="C6871" s="1">
        <v>45694.875</v>
      </c>
      <c r="D6871" s="1">
        <v>45759.888194444437</v>
      </c>
      <c r="E6871" s="2">
        <f t="shared" si="107"/>
        <v>65.013194444436522</v>
      </c>
    </row>
    <row r="6872" spans="1:5" x14ac:dyDescent="0.25">
      <c r="A6872" t="s">
        <v>5</v>
      </c>
      <c r="B6872" t="s">
        <v>8</v>
      </c>
      <c r="C6872" s="1">
        <v>45945.658333333333</v>
      </c>
      <c r="D6872" s="1">
        <v>45993.345833333333</v>
      </c>
      <c r="E6872" s="2">
        <f t="shared" si="107"/>
        <v>47.6875</v>
      </c>
    </row>
    <row r="6873" spans="1:5" x14ac:dyDescent="0.25">
      <c r="A6873" t="s">
        <v>22</v>
      </c>
      <c r="B6873" t="s">
        <v>51</v>
      </c>
      <c r="C6873" s="1">
        <v>45991.995833333327</v>
      </c>
      <c r="D6873" s="1">
        <v>46059.406944444447</v>
      </c>
      <c r="E6873" s="2">
        <f t="shared" si="107"/>
        <v>67.411111111119681</v>
      </c>
    </row>
    <row r="6874" spans="1:5" x14ac:dyDescent="0.25">
      <c r="A6874" t="s">
        <v>22</v>
      </c>
      <c r="B6874" t="s">
        <v>19</v>
      </c>
      <c r="C6874" s="1">
        <v>46020.635416666657</v>
      </c>
      <c r="D6874" s="1">
        <v>46082.257638888892</v>
      </c>
      <c r="E6874" s="2">
        <f t="shared" si="107"/>
        <v>61.622222222234996</v>
      </c>
    </row>
    <row r="6875" spans="1:5" x14ac:dyDescent="0.25">
      <c r="A6875" t="s">
        <v>23</v>
      </c>
      <c r="B6875" t="s">
        <v>18</v>
      </c>
      <c r="C6875" s="1">
        <v>45939.654166666667</v>
      </c>
      <c r="D6875" s="1">
        <v>45990.75</v>
      </c>
      <c r="E6875" s="2">
        <f t="shared" si="107"/>
        <v>51.095833333332848</v>
      </c>
    </row>
    <row r="6876" spans="1:5" x14ac:dyDescent="0.25">
      <c r="A6876" t="s">
        <v>27</v>
      </c>
      <c r="B6876" t="s">
        <v>18</v>
      </c>
      <c r="C6876" s="1">
        <v>45976.416666666657</v>
      </c>
      <c r="D6876" s="1">
        <v>46031.791666666657</v>
      </c>
      <c r="E6876" s="2">
        <f t="shared" si="107"/>
        <v>55.375</v>
      </c>
    </row>
    <row r="6877" spans="1:5" x14ac:dyDescent="0.25">
      <c r="A6877" t="s">
        <v>10</v>
      </c>
      <c r="B6877" t="s">
        <v>8</v>
      </c>
      <c r="C6877" s="1">
        <v>46109.770833333343</v>
      </c>
      <c r="D6877" s="1">
        <v>46125.569444444453</v>
      </c>
      <c r="E6877" s="2">
        <f t="shared" si="107"/>
        <v>15.798611111109494</v>
      </c>
    </row>
    <row r="6878" spans="1:5" x14ac:dyDescent="0.25">
      <c r="A6878" t="s">
        <v>7</v>
      </c>
      <c r="B6878" t="s">
        <v>8</v>
      </c>
      <c r="C6878" s="1">
        <v>45891.654166666667</v>
      </c>
      <c r="D6878" s="1">
        <v>45938.662499999999</v>
      </c>
      <c r="E6878" s="2">
        <f t="shared" si="107"/>
        <v>47.008333333331393</v>
      </c>
    </row>
    <row r="6879" spans="1:5" x14ac:dyDescent="0.25">
      <c r="A6879" t="s">
        <v>8</v>
      </c>
      <c r="B6879" t="s">
        <v>6</v>
      </c>
      <c r="C6879" s="1">
        <v>45979.114583333343</v>
      </c>
      <c r="D6879" s="1">
        <v>46046.510416666657</v>
      </c>
      <c r="E6879" s="2">
        <f t="shared" si="107"/>
        <v>67.395833333313931</v>
      </c>
    </row>
    <row r="6880" spans="1:5" x14ac:dyDescent="0.25">
      <c r="A6880" t="s">
        <v>22</v>
      </c>
      <c r="B6880" t="s">
        <v>6</v>
      </c>
      <c r="C6880" s="1">
        <v>45733.027777777781</v>
      </c>
      <c r="D6880" s="1">
        <v>45797.45</v>
      </c>
      <c r="E6880" s="2">
        <f t="shared" si="107"/>
        <v>64.422222222216078</v>
      </c>
    </row>
    <row r="6881" spans="1:5" x14ac:dyDescent="0.25">
      <c r="A6881" t="s">
        <v>23</v>
      </c>
      <c r="B6881" t="s">
        <v>18</v>
      </c>
      <c r="C6881" s="1">
        <v>46100.208333333343</v>
      </c>
      <c r="D6881" s="1">
        <v>46156.002083333333</v>
      </c>
      <c r="E6881" s="2">
        <f t="shared" si="107"/>
        <v>55.793749999989814</v>
      </c>
    </row>
    <row r="6882" spans="1:5" x14ac:dyDescent="0.25">
      <c r="A6882" t="s">
        <v>8</v>
      </c>
      <c r="B6882" t="s">
        <v>18</v>
      </c>
      <c r="C6882" s="1">
        <v>46157.003472222219</v>
      </c>
      <c r="D6882" s="1">
        <v>46195.804166666669</v>
      </c>
      <c r="E6882" s="2">
        <f t="shared" si="107"/>
        <v>38.800694444449618</v>
      </c>
    </row>
    <row r="6883" spans="1:5" x14ac:dyDescent="0.25">
      <c r="A6883" t="s">
        <v>12</v>
      </c>
      <c r="B6883" t="s">
        <v>13</v>
      </c>
      <c r="C6883" s="1">
        <v>46036.183333333327</v>
      </c>
      <c r="D6883" s="1">
        <v>46079.787499999999</v>
      </c>
      <c r="E6883" s="2">
        <f t="shared" si="107"/>
        <v>43.604166666671517</v>
      </c>
    </row>
    <row r="6884" spans="1:5" x14ac:dyDescent="0.25">
      <c r="A6884" t="s">
        <v>12</v>
      </c>
      <c r="B6884" t="s">
        <v>13</v>
      </c>
      <c r="C6884" s="1">
        <v>45781.375</v>
      </c>
      <c r="D6884" s="1">
        <v>45825.833333333343</v>
      </c>
      <c r="E6884" s="2">
        <f t="shared" si="107"/>
        <v>44.458333333343035</v>
      </c>
    </row>
    <row r="6885" spans="1:5" x14ac:dyDescent="0.25">
      <c r="A6885" t="s">
        <v>13</v>
      </c>
      <c r="B6885" t="s">
        <v>8</v>
      </c>
      <c r="C6885" s="1">
        <v>45857.175000000003</v>
      </c>
      <c r="D6885" s="1">
        <v>45881.811805555553</v>
      </c>
      <c r="E6885" s="2">
        <f t="shared" si="107"/>
        <v>24.636805555550382</v>
      </c>
    </row>
    <row r="6886" spans="1:5" x14ac:dyDescent="0.25">
      <c r="A6886" t="s">
        <v>22</v>
      </c>
      <c r="B6886" t="s">
        <v>19</v>
      </c>
      <c r="C6886" s="1">
        <v>46092.00104166667</v>
      </c>
      <c r="D6886" s="1">
        <v>46139.809525462973</v>
      </c>
      <c r="E6886" s="2">
        <f t="shared" si="107"/>
        <v>47.808483796303335</v>
      </c>
    </row>
    <row r="6887" spans="1:5" x14ac:dyDescent="0.25">
      <c r="A6887" t="s">
        <v>23</v>
      </c>
      <c r="B6887" t="s">
        <v>18</v>
      </c>
      <c r="C6887" s="1">
        <v>45903.787499999999</v>
      </c>
      <c r="D6887" s="1">
        <v>45955.333333333343</v>
      </c>
      <c r="E6887" s="2">
        <f t="shared" si="107"/>
        <v>51.54583333334449</v>
      </c>
    </row>
    <row r="6888" spans="1:5" x14ac:dyDescent="0.25">
      <c r="A6888" t="s">
        <v>6</v>
      </c>
      <c r="B6888" t="s">
        <v>8</v>
      </c>
      <c r="C6888" s="1">
        <v>45946.220833333333</v>
      </c>
      <c r="D6888" s="1">
        <v>45987.640277777777</v>
      </c>
      <c r="E6888" s="2">
        <f t="shared" si="107"/>
        <v>41.419444444443798</v>
      </c>
    </row>
    <row r="6889" spans="1:5" x14ac:dyDescent="0.25">
      <c r="A6889" t="s">
        <v>7</v>
      </c>
      <c r="B6889" t="s">
        <v>8</v>
      </c>
      <c r="C6889" s="1">
        <v>45847.879166666673</v>
      </c>
      <c r="D6889" s="1">
        <v>45910.25</v>
      </c>
      <c r="E6889" s="2">
        <f t="shared" si="107"/>
        <v>62.370833333327028</v>
      </c>
    </row>
    <row r="6890" spans="1:5" x14ac:dyDescent="0.25">
      <c r="A6890" t="s">
        <v>41</v>
      </c>
      <c r="B6890" t="s">
        <v>8</v>
      </c>
      <c r="C6890" s="1">
        <v>46187.908333333333</v>
      </c>
      <c r="D6890" s="1">
        <v>46225.791666666657</v>
      </c>
      <c r="E6890" s="2">
        <f t="shared" si="107"/>
        <v>37.883333333324117</v>
      </c>
    </row>
    <row r="6891" spans="1:5" x14ac:dyDescent="0.25">
      <c r="A6891" t="s">
        <v>8</v>
      </c>
      <c r="B6891" t="s">
        <v>27</v>
      </c>
      <c r="C6891" s="1">
        <v>46123.931944444441</v>
      </c>
      <c r="D6891" s="1">
        <v>46171.361111111109</v>
      </c>
      <c r="E6891" s="2">
        <f t="shared" si="107"/>
        <v>47.429166666668607</v>
      </c>
    </row>
    <row r="6892" spans="1:5" x14ac:dyDescent="0.25">
      <c r="A6892" t="s">
        <v>22</v>
      </c>
      <c r="B6892" t="s">
        <v>14</v>
      </c>
      <c r="C6892" s="1">
        <v>46072.159722222219</v>
      </c>
      <c r="D6892" s="1">
        <v>46169.621527777781</v>
      </c>
      <c r="E6892" s="2">
        <f t="shared" si="107"/>
        <v>97.461805555562023</v>
      </c>
    </row>
    <row r="6893" spans="1:5" x14ac:dyDescent="0.25">
      <c r="A6893" t="s">
        <v>12</v>
      </c>
      <c r="B6893" t="s">
        <v>13</v>
      </c>
      <c r="C6893" s="1">
        <v>46012.541666666657</v>
      </c>
      <c r="D6893" s="1">
        <v>46071.030555555553</v>
      </c>
      <c r="E6893" s="2">
        <f t="shared" si="107"/>
        <v>58.488888888896327</v>
      </c>
    </row>
    <row r="6894" spans="1:5" x14ac:dyDescent="0.25">
      <c r="A6894" t="s">
        <v>12</v>
      </c>
      <c r="B6894" t="s">
        <v>13</v>
      </c>
      <c r="C6894" s="1">
        <v>45915.885416666657</v>
      </c>
      <c r="D6894" s="1">
        <v>45968.697222222218</v>
      </c>
      <c r="E6894" s="2">
        <f t="shared" si="107"/>
        <v>52.811805555560568</v>
      </c>
    </row>
    <row r="6895" spans="1:5" x14ac:dyDescent="0.25">
      <c r="A6895" t="s">
        <v>8</v>
      </c>
      <c r="B6895" t="s">
        <v>18</v>
      </c>
      <c r="C6895" s="1">
        <v>46162.799305555563</v>
      </c>
      <c r="D6895" s="1">
        <v>46210.020833333343</v>
      </c>
      <c r="E6895" s="2">
        <f t="shared" si="107"/>
        <v>47.221527777779556</v>
      </c>
    </row>
    <row r="6896" spans="1:5" x14ac:dyDescent="0.25">
      <c r="A6896" t="s">
        <v>22</v>
      </c>
      <c r="B6896" t="s">
        <v>51</v>
      </c>
      <c r="C6896" s="1">
        <v>46090.125694444447</v>
      </c>
      <c r="D6896" s="1">
        <v>46148.975694444453</v>
      </c>
      <c r="E6896" s="2">
        <f t="shared" si="107"/>
        <v>58.850000000005821</v>
      </c>
    </row>
    <row r="6897" spans="1:5" x14ac:dyDescent="0.25">
      <c r="A6897" t="s">
        <v>14</v>
      </c>
      <c r="B6897" t="s">
        <v>22</v>
      </c>
      <c r="C6897" s="1">
        <v>46002.25</v>
      </c>
      <c r="D6897" s="1">
        <v>46067.566666666673</v>
      </c>
      <c r="E6897" s="2">
        <f t="shared" si="107"/>
        <v>65.316666666672972</v>
      </c>
    </row>
    <row r="6898" spans="1:5" x14ac:dyDescent="0.25">
      <c r="A6898" t="s">
        <v>9</v>
      </c>
      <c r="B6898" t="s">
        <v>11</v>
      </c>
      <c r="C6898" s="1">
        <v>46087.241666666669</v>
      </c>
      <c r="D6898" s="1">
        <v>46140.29583333333</v>
      </c>
      <c r="E6898" s="2">
        <f t="shared" si="107"/>
        <v>53.054166666661331</v>
      </c>
    </row>
    <row r="6899" spans="1:5" x14ac:dyDescent="0.25">
      <c r="A6899" t="s">
        <v>5</v>
      </c>
      <c r="B6899" t="s">
        <v>8</v>
      </c>
      <c r="C6899" s="1">
        <v>46065.004166666673</v>
      </c>
      <c r="D6899" s="1">
        <v>46099.525000000001</v>
      </c>
      <c r="E6899" s="2">
        <f t="shared" si="107"/>
        <v>34.520833333328483</v>
      </c>
    </row>
    <row r="6900" spans="1:5" x14ac:dyDescent="0.25">
      <c r="A6900" t="s">
        <v>20</v>
      </c>
      <c r="B6900" t="s">
        <v>8</v>
      </c>
      <c r="C6900" s="1">
        <v>45941.970833333333</v>
      </c>
      <c r="D6900" s="1">
        <v>45976.125</v>
      </c>
      <c r="E6900" s="2">
        <f t="shared" si="107"/>
        <v>34.154166666667152</v>
      </c>
    </row>
    <row r="6901" spans="1:5" x14ac:dyDescent="0.25">
      <c r="A6901" t="s">
        <v>27</v>
      </c>
      <c r="B6901" t="s">
        <v>8</v>
      </c>
      <c r="C6901" s="1">
        <v>46145.770833333343</v>
      </c>
      <c r="D6901" s="1">
        <v>46209.094444444447</v>
      </c>
      <c r="E6901" s="2">
        <f t="shared" si="107"/>
        <v>63.323611111103673</v>
      </c>
    </row>
    <row r="6902" spans="1:5" x14ac:dyDescent="0.25">
      <c r="A6902" t="s">
        <v>12</v>
      </c>
      <c r="B6902" t="s">
        <v>13</v>
      </c>
      <c r="C6902" s="1">
        <v>45915.885416666657</v>
      </c>
      <c r="D6902" s="1">
        <v>45968.697222222218</v>
      </c>
      <c r="E6902" s="2">
        <f t="shared" si="107"/>
        <v>52.811805555560568</v>
      </c>
    </row>
    <row r="6903" spans="1:5" x14ac:dyDescent="0.25">
      <c r="A6903" t="s">
        <v>5</v>
      </c>
      <c r="B6903" t="s">
        <v>8</v>
      </c>
      <c r="C6903" s="1">
        <v>45952.57916666667</v>
      </c>
      <c r="D6903" s="1">
        <v>45993.345833333333</v>
      </c>
      <c r="E6903" s="2">
        <f t="shared" si="107"/>
        <v>40.766666666662786</v>
      </c>
    </row>
    <row r="6904" spans="1:5" x14ac:dyDescent="0.25">
      <c r="A6904" t="s">
        <v>7</v>
      </c>
      <c r="B6904" t="s">
        <v>8</v>
      </c>
      <c r="C6904" s="1">
        <v>45931.208333333343</v>
      </c>
      <c r="D6904" s="1">
        <v>45966.508333333331</v>
      </c>
      <c r="E6904" s="2">
        <f t="shared" si="107"/>
        <v>35.299999999988358</v>
      </c>
    </row>
    <row r="6905" spans="1:5" x14ac:dyDescent="0.25">
      <c r="A6905" t="s">
        <v>48</v>
      </c>
      <c r="B6905" t="s">
        <v>12</v>
      </c>
      <c r="C6905" s="1">
        <v>45907.376388888893</v>
      </c>
      <c r="D6905" s="1">
        <v>45970.104166666657</v>
      </c>
      <c r="E6905" s="2">
        <f t="shared" si="107"/>
        <v>62.727777777763549</v>
      </c>
    </row>
    <row r="6906" spans="1:5" x14ac:dyDescent="0.25">
      <c r="A6906" t="s">
        <v>5</v>
      </c>
      <c r="B6906" t="s">
        <v>47</v>
      </c>
      <c r="C6906" s="1">
        <v>46113.60833333333</v>
      </c>
      <c r="D6906" s="1">
        <v>46147.708333333343</v>
      </c>
      <c r="E6906" s="2">
        <f t="shared" si="107"/>
        <v>34.100000000013097</v>
      </c>
    </row>
    <row r="6907" spans="1:5" x14ac:dyDescent="0.25">
      <c r="A6907" t="s">
        <v>7</v>
      </c>
      <c r="B6907" t="s">
        <v>8</v>
      </c>
      <c r="C6907" s="1">
        <v>45875.462500000001</v>
      </c>
      <c r="D6907" s="1">
        <v>45920.2</v>
      </c>
      <c r="E6907" s="2">
        <f t="shared" si="107"/>
        <v>44.737499999995634</v>
      </c>
    </row>
    <row r="6908" spans="1:5" x14ac:dyDescent="0.25">
      <c r="A6908" t="s">
        <v>22</v>
      </c>
      <c r="B6908" t="s">
        <v>19</v>
      </c>
      <c r="C6908" s="1">
        <v>45823.977083333331</v>
      </c>
      <c r="D6908" s="1">
        <v>45875.595138888893</v>
      </c>
      <c r="E6908" s="2">
        <f t="shared" si="107"/>
        <v>51.618055555562023</v>
      </c>
    </row>
    <row r="6909" spans="1:5" x14ac:dyDescent="0.25">
      <c r="A6909" t="s">
        <v>41</v>
      </c>
      <c r="B6909" t="s">
        <v>8</v>
      </c>
      <c r="C6909" s="1">
        <v>46201.175694444442</v>
      </c>
      <c r="D6909" s="1">
        <v>46237.043749999997</v>
      </c>
      <c r="E6909" s="2">
        <f t="shared" si="107"/>
        <v>35.868055555554747</v>
      </c>
    </row>
    <row r="6910" spans="1:5" x14ac:dyDescent="0.25">
      <c r="A6910" t="s">
        <v>15</v>
      </c>
      <c r="B6910" t="s">
        <v>18</v>
      </c>
      <c r="C6910" s="1">
        <v>45967.545138888891</v>
      </c>
      <c r="D6910" s="1">
        <v>46014.96597222222</v>
      </c>
      <c r="E6910" s="2">
        <f t="shared" si="107"/>
        <v>47.420833333329938</v>
      </c>
    </row>
    <row r="6911" spans="1:5" x14ac:dyDescent="0.25">
      <c r="A6911" t="s">
        <v>6</v>
      </c>
      <c r="B6911" t="s">
        <v>8</v>
      </c>
      <c r="C6911" s="1">
        <v>46043.240277777782</v>
      </c>
      <c r="D6911" s="1">
        <v>46099.910416666673</v>
      </c>
      <c r="E6911" s="2">
        <f t="shared" si="107"/>
        <v>56.670138888890506</v>
      </c>
    </row>
    <row r="6912" spans="1:5" x14ac:dyDescent="0.25">
      <c r="A6912" t="s">
        <v>5</v>
      </c>
      <c r="B6912" t="s">
        <v>8</v>
      </c>
      <c r="C6912" s="1">
        <v>45998.125</v>
      </c>
      <c r="D6912" s="1">
        <v>46039.5</v>
      </c>
      <c r="E6912" s="2">
        <f t="shared" si="107"/>
        <v>41.375</v>
      </c>
    </row>
    <row r="6913" spans="1:5" x14ac:dyDescent="0.25">
      <c r="A6913" t="s">
        <v>7</v>
      </c>
      <c r="B6913" t="s">
        <v>8</v>
      </c>
      <c r="C6913" s="1">
        <v>45822.8</v>
      </c>
      <c r="D6913" s="1">
        <v>45875.612500000003</v>
      </c>
      <c r="E6913" s="2">
        <f t="shared" si="107"/>
        <v>52.8125</v>
      </c>
    </row>
    <row r="6914" spans="1:5" x14ac:dyDescent="0.25">
      <c r="A6914" t="s">
        <v>9</v>
      </c>
      <c r="B6914" t="s">
        <v>11</v>
      </c>
      <c r="C6914" s="1">
        <v>45701.544444444437</v>
      </c>
      <c r="D6914" s="1">
        <v>45783.9</v>
      </c>
      <c r="E6914" s="2">
        <f t="shared" ref="E6914:E6977" si="108">D6914-C6914</f>
        <v>82.355555555564933</v>
      </c>
    </row>
    <row r="6915" spans="1:5" x14ac:dyDescent="0.25">
      <c r="A6915" t="s">
        <v>6</v>
      </c>
      <c r="B6915" t="s">
        <v>8</v>
      </c>
      <c r="C6915" s="1">
        <v>46056.571527777778</v>
      </c>
      <c r="D6915" s="1">
        <v>46105.134722222218</v>
      </c>
      <c r="E6915" s="2">
        <f t="shared" si="108"/>
        <v>48.563194444439432</v>
      </c>
    </row>
    <row r="6916" spans="1:5" x14ac:dyDescent="0.25">
      <c r="A6916" t="s">
        <v>22</v>
      </c>
      <c r="B6916" t="s">
        <v>52</v>
      </c>
      <c r="C6916" s="1">
        <v>46179.6875</v>
      </c>
      <c r="D6916" s="1">
        <v>46231.833333333343</v>
      </c>
      <c r="E6916" s="2">
        <f t="shared" si="108"/>
        <v>52.145833333343035</v>
      </c>
    </row>
    <row r="6917" spans="1:5" x14ac:dyDescent="0.25">
      <c r="A6917" t="s">
        <v>5</v>
      </c>
      <c r="B6917" t="s">
        <v>8</v>
      </c>
      <c r="C6917" s="1">
        <v>46025.436111111107</v>
      </c>
      <c r="D6917" s="1">
        <v>46071.058333333327</v>
      </c>
      <c r="E6917" s="2">
        <f t="shared" si="108"/>
        <v>45.622222222220444</v>
      </c>
    </row>
    <row r="6918" spans="1:5" x14ac:dyDescent="0.25">
      <c r="A6918" t="s">
        <v>5</v>
      </c>
      <c r="B6918" t="s">
        <v>8</v>
      </c>
      <c r="C6918" s="1">
        <v>46072.658333333333</v>
      </c>
      <c r="D6918" s="1">
        <v>46107.929166666669</v>
      </c>
      <c r="E6918" s="2">
        <f t="shared" si="108"/>
        <v>35.270833333335759</v>
      </c>
    </row>
    <row r="6919" spans="1:5" x14ac:dyDescent="0.25">
      <c r="A6919" t="s">
        <v>7</v>
      </c>
      <c r="B6919" t="s">
        <v>8</v>
      </c>
      <c r="C6919" s="1">
        <v>45875.462500000001</v>
      </c>
      <c r="D6919" s="1">
        <v>45920.2</v>
      </c>
      <c r="E6919" s="2">
        <f t="shared" si="108"/>
        <v>44.737499999995634</v>
      </c>
    </row>
    <row r="6920" spans="1:5" x14ac:dyDescent="0.25">
      <c r="A6920" t="s">
        <v>34</v>
      </c>
      <c r="B6920" t="s">
        <v>8</v>
      </c>
      <c r="C6920" s="1">
        <v>45824.183333333327</v>
      </c>
      <c r="D6920" s="1">
        <v>45855.862500000003</v>
      </c>
      <c r="E6920" s="2">
        <f t="shared" si="108"/>
        <v>31.679166666675883</v>
      </c>
    </row>
    <row r="6921" spans="1:5" x14ac:dyDescent="0.25">
      <c r="A6921" t="s">
        <v>45</v>
      </c>
      <c r="B6921" t="s">
        <v>19</v>
      </c>
      <c r="C6921" s="1">
        <v>46034.546527777777</v>
      </c>
      <c r="D6921" s="1">
        <v>46082.257638888892</v>
      </c>
      <c r="E6921" s="2">
        <f t="shared" si="108"/>
        <v>47.711111111115315</v>
      </c>
    </row>
    <row r="6922" spans="1:5" x14ac:dyDescent="0.25">
      <c r="A6922" t="s">
        <v>10</v>
      </c>
      <c r="B6922" t="s">
        <v>8</v>
      </c>
      <c r="C6922" s="1">
        <v>45923.388194444437</v>
      </c>
      <c r="D6922" s="1">
        <v>45944.317361111112</v>
      </c>
      <c r="E6922" s="2">
        <f t="shared" si="108"/>
        <v>20.929166666675883</v>
      </c>
    </row>
    <row r="6923" spans="1:5" x14ac:dyDescent="0.25">
      <c r="A6923" t="s">
        <v>12</v>
      </c>
      <c r="B6923" t="s">
        <v>8</v>
      </c>
      <c r="C6923" s="1">
        <v>45781.375</v>
      </c>
      <c r="D6923" s="1">
        <v>45873.418749999997</v>
      </c>
      <c r="E6923" s="2">
        <f t="shared" si="108"/>
        <v>92.04374999999709</v>
      </c>
    </row>
    <row r="6924" spans="1:5" x14ac:dyDescent="0.25">
      <c r="A6924" t="s">
        <v>15</v>
      </c>
      <c r="B6924" t="s">
        <v>6</v>
      </c>
      <c r="C6924" s="1">
        <v>46043.729166666657</v>
      </c>
      <c r="D6924" s="1">
        <v>46104.8125</v>
      </c>
      <c r="E6924" s="2">
        <f t="shared" si="108"/>
        <v>61.083333333343035</v>
      </c>
    </row>
    <row r="6925" spans="1:5" x14ac:dyDescent="0.25">
      <c r="A6925" t="s">
        <v>27</v>
      </c>
      <c r="B6925" t="s">
        <v>20</v>
      </c>
      <c r="C6925" s="1">
        <v>45725.397916666669</v>
      </c>
      <c r="D6925" s="1">
        <v>45794.862500000003</v>
      </c>
      <c r="E6925" s="2">
        <f t="shared" si="108"/>
        <v>69.464583333334303</v>
      </c>
    </row>
    <row r="6926" spans="1:5" x14ac:dyDescent="0.25">
      <c r="A6926" t="s">
        <v>8</v>
      </c>
      <c r="B6926" t="s">
        <v>6</v>
      </c>
      <c r="C6926" s="1">
        <v>46135.436111111107</v>
      </c>
      <c r="D6926" s="1">
        <v>46214.6875</v>
      </c>
      <c r="E6926" s="2">
        <f t="shared" si="108"/>
        <v>79.251388888893416</v>
      </c>
    </row>
    <row r="6927" spans="1:5" x14ac:dyDescent="0.25">
      <c r="A6927" t="s">
        <v>7</v>
      </c>
      <c r="B6927" t="s">
        <v>13</v>
      </c>
      <c r="C6927" s="1">
        <v>45987.599305555559</v>
      </c>
      <c r="D6927" s="1">
        <v>46045.837500000001</v>
      </c>
      <c r="E6927" s="2">
        <f t="shared" si="108"/>
        <v>58.238194444442343</v>
      </c>
    </row>
    <row r="6928" spans="1:5" x14ac:dyDescent="0.25">
      <c r="A6928" t="s">
        <v>27</v>
      </c>
      <c r="B6928" t="s">
        <v>18</v>
      </c>
      <c r="C6928" s="1">
        <v>45813.168055555558</v>
      </c>
      <c r="D6928" s="1">
        <v>45869.003472222219</v>
      </c>
      <c r="E6928" s="2">
        <f t="shared" si="108"/>
        <v>55.835416666661331</v>
      </c>
    </row>
    <row r="6929" spans="1:5" x14ac:dyDescent="0.25">
      <c r="A6929" t="s">
        <v>22</v>
      </c>
      <c r="B6929" t="s">
        <v>19</v>
      </c>
      <c r="C6929" s="1">
        <v>45883.51458333333</v>
      </c>
      <c r="D6929" s="1">
        <v>45944.42291666667</v>
      </c>
      <c r="E6929" s="2">
        <f t="shared" si="108"/>
        <v>60.908333333340124</v>
      </c>
    </row>
    <row r="6930" spans="1:5" x14ac:dyDescent="0.25">
      <c r="A6930" t="s">
        <v>19</v>
      </c>
      <c r="B6930" t="s">
        <v>8</v>
      </c>
      <c r="C6930" s="1">
        <v>45839.998611111107</v>
      </c>
      <c r="D6930" s="1">
        <v>45881</v>
      </c>
      <c r="E6930" s="2">
        <f t="shared" si="108"/>
        <v>41.001388888893416</v>
      </c>
    </row>
    <row r="6931" spans="1:5" x14ac:dyDescent="0.25">
      <c r="A6931" t="s">
        <v>7</v>
      </c>
      <c r="B6931" t="s">
        <v>8</v>
      </c>
      <c r="C6931" s="1">
        <v>45911.006944444453</v>
      </c>
      <c r="D6931" s="1">
        <v>45948.104166666657</v>
      </c>
      <c r="E6931" s="2">
        <f t="shared" si="108"/>
        <v>37.097222222204437</v>
      </c>
    </row>
    <row r="6932" spans="1:5" x14ac:dyDescent="0.25">
      <c r="A6932" t="s">
        <v>8</v>
      </c>
      <c r="B6932" t="s">
        <v>6</v>
      </c>
      <c r="C6932" s="1">
        <v>46127.822916666657</v>
      </c>
      <c r="D6932" s="1">
        <v>46174.149305555547</v>
      </c>
      <c r="E6932" s="2">
        <f t="shared" si="108"/>
        <v>46.326388888890506</v>
      </c>
    </row>
    <row r="6933" spans="1:5" x14ac:dyDescent="0.25">
      <c r="A6933" t="s">
        <v>5</v>
      </c>
      <c r="B6933" t="s">
        <v>8</v>
      </c>
      <c r="C6933" s="1">
        <v>46093.616666666669</v>
      </c>
      <c r="D6933" s="1">
        <v>46141.354166666657</v>
      </c>
      <c r="E6933" s="2">
        <f t="shared" si="108"/>
        <v>47.737499999988358</v>
      </c>
    </row>
    <row r="6934" spans="1:5" x14ac:dyDescent="0.25">
      <c r="A6934" t="s">
        <v>10</v>
      </c>
      <c r="B6934" t="s">
        <v>8</v>
      </c>
      <c r="C6934" s="1">
        <v>46188.222916666673</v>
      </c>
      <c r="D6934" s="1">
        <v>46209.59652777778</v>
      </c>
      <c r="E6934" s="2">
        <f t="shared" si="108"/>
        <v>21.373611111106584</v>
      </c>
    </row>
    <row r="6935" spans="1:5" x14ac:dyDescent="0.25">
      <c r="A6935" t="s">
        <v>20</v>
      </c>
      <c r="B6935" t="s">
        <v>8</v>
      </c>
      <c r="C6935" s="1">
        <v>45858.162499999999</v>
      </c>
      <c r="D6935" s="1">
        <v>45891.185416666667</v>
      </c>
      <c r="E6935" s="2">
        <f t="shared" si="108"/>
        <v>33.022916666668607</v>
      </c>
    </row>
    <row r="6936" spans="1:5" x14ac:dyDescent="0.25">
      <c r="A6936" t="s">
        <v>20</v>
      </c>
      <c r="B6936" t="s">
        <v>8</v>
      </c>
      <c r="C6936" s="1">
        <v>46075.20416666667</v>
      </c>
      <c r="D6936" s="1">
        <v>46113.945138888892</v>
      </c>
      <c r="E6936" s="2">
        <f t="shared" si="108"/>
        <v>38.740972222221899</v>
      </c>
    </row>
    <row r="6937" spans="1:5" x14ac:dyDescent="0.25">
      <c r="A6937" t="s">
        <v>5</v>
      </c>
      <c r="B6937" t="s">
        <v>8</v>
      </c>
      <c r="C6937" s="1">
        <v>46018.725694444453</v>
      </c>
      <c r="D6937" s="1">
        <v>46071.058333333327</v>
      </c>
      <c r="E6937" s="2">
        <f t="shared" si="108"/>
        <v>52.332638888874499</v>
      </c>
    </row>
    <row r="6938" spans="1:5" x14ac:dyDescent="0.25">
      <c r="A6938" t="s">
        <v>13</v>
      </c>
      <c r="B6938" t="s">
        <v>8</v>
      </c>
      <c r="C6938" s="1">
        <v>45725</v>
      </c>
      <c r="D6938" s="1">
        <v>45749.63958333333</v>
      </c>
      <c r="E6938" s="2">
        <f t="shared" si="108"/>
        <v>24.639583333329938</v>
      </c>
    </row>
    <row r="6939" spans="1:5" x14ac:dyDescent="0.25">
      <c r="A6939" t="s">
        <v>11</v>
      </c>
      <c r="B6939" t="s">
        <v>7</v>
      </c>
      <c r="C6939" s="1">
        <v>45909.612500000003</v>
      </c>
      <c r="D6939" s="1">
        <v>46015.571527777778</v>
      </c>
      <c r="E6939" s="2">
        <f t="shared" si="108"/>
        <v>105.95902777777519</v>
      </c>
    </row>
    <row r="6940" spans="1:5" x14ac:dyDescent="0.25">
      <c r="A6940" t="s">
        <v>19</v>
      </c>
      <c r="B6940" t="s">
        <v>8</v>
      </c>
      <c r="C6940" s="1">
        <v>45849.51666666667</v>
      </c>
      <c r="D6940" s="1">
        <v>45874.833333333343</v>
      </c>
      <c r="E6940" s="2">
        <f t="shared" si="108"/>
        <v>25.316666666672972</v>
      </c>
    </row>
    <row r="6941" spans="1:5" x14ac:dyDescent="0.25">
      <c r="A6941" t="s">
        <v>22</v>
      </c>
      <c r="B6941" t="s">
        <v>19</v>
      </c>
      <c r="C6941" s="1">
        <v>45790.489583333343</v>
      </c>
      <c r="D6941" s="1">
        <v>45839.894444444442</v>
      </c>
      <c r="E6941" s="2">
        <f t="shared" si="108"/>
        <v>49.404861111099308</v>
      </c>
    </row>
    <row r="6942" spans="1:5" x14ac:dyDescent="0.25">
      <c r="A6942" t="s">
        <v>7</v>
      </c>
      <c r="B6942" t="s">
        <v>8</v>
      </c>
      <c r="C6942" s="1">
        <v>45940.345833333333</v>
      </c>
      <c r="D6942" s="1">
        <v>45989.166666666657</v>
      </c>
      <c r="E6942" s="2">
        <f t="shared" si="108"/>
        <v>48.820833333324117</v>
      </c>
    </row>
    <row r="6943" spans="1:5" x14ac:dyDescent="0.25">
      <c r="A6943" t="s">
        <v>7</v>
      </c>
      <c r="B6943" t="s">
        <v>11</v>
      </c>
      <c r="C6943" s="1">
        <v>45890.570833333331</v>
      </c>
      <c r="D6943" s="1">
        <v>45965.345833333333</v>
      </c>
      <c r="E6943" s="2">
        <f t="shared" si="108"/>
        <v>74.775000000001455</v>
      </c>
    </row>
    <row r="6944" spans="1:5" x14ac:dyDescent="0.25">
      <c r="A6944" t="s">
        <v>12</v>
      </c>
      <c r="B6944" t="s">
        <v>18</v>
      </c>
      <c r="C6944" s="1">
        <v>45835.017361111109</v>
      </c>
      <c r="D6944" s="1">
        <v>45897.833333333343</v>
      </c>
      <c r="E6944" s="2">
        <f t="shared" si="108"/>
        <v>62.81597222223354</v>
      </c>
    </row>
    <row r="6945" spans="1:5" x14ac:dyDescent="0.25">
      <c r="A6945" t="s">
        <v>5</v>
      </c>
      <c r="B6945" t="s">
        <v>8</v>
      </c>
      <c r="C6945" s="1">
        <v>46065.004166666673</v>
      </c>
      <c r="D6945" s="1">
        <v>46099.525000000001</v>
      </c>
      <c r="E6945" s="2">
        <f t="shared" si="108"/>
        <v>34.520833333328483</v>
      </c>
    </row>
    <row r="6946" spans="1:5" x14ac:dyDescent="0.25">
      <c r="A6946" t="s">
        <v>27</v>
      </c>
      <c r="B6946" t="s">
        <v>20</v>
      </c>
      <c r="C6946" s="1">
        <v>45684.708333333343</v>
      </c>
      <c r="D6946" s="1">
        <v>45752.4375</v>
      </c>
      <c r="E6946" s="2">
        <f t="shared" si="108"/>
        <v>67.729166666656965</v>
      </c>
    </row>
    <row r="6947" spans="1:5" x14ac:dyDescent="0.25">
      <c r="A6947" t="s">
        <v>48</v>
      </c>
      <c r="B6947" t="s">
        <v>12</v>
      </c>
      <c r="C6947" s="1">
        <v>45792.458333333343</v>
      </c>
      <c r="D6947" s="1">
        <v>45856.2</v>
      </c>
      <c r="E6947" s="2">
        <f t="shared" si="108"/>
        <v>63.741666666654055</v>
      </c>
    </row>
    <row r="6948" spans="1:5" x14ac:dyDescent="0.25">
      <c r="A6948" t="s">
        <v>16</v>
      </c>
      <c r="B6948" t="s">
        <v>20</v>
      </c>
      <c r="C6948" s="1">
        <v>45703.462500000001</v>
      </c>
      <c r="D6948" s="1">
        <v>45747.083333333343</v>
      </c>
      <c r="E6948" s="2">
        <f t="shared" si="108"/>
        <v>43.620833333341579</v>
      </c>
    </row>
    <row r="6949" spans="1:5" x14ac:dyDescent="0.25">
      <c r="A6949" t="s">
        <v>7</v>
      </c>
      <c r="B6949" t="s">
        <v>8</v>
      </c>
      <c r="C6949" s="1">
        <v>45800.645833333343</v>
      </c>
      <c r="D6949" s="1">
        <v>45839.3125</v>
      </c>
      <c r="E6949" s="2">
        <f t="shared" si="108"/>
        <v>38.666666666656965</v>
      </c>
    </row>
    <row r="6950" spans="1:5" x14ac:dyDescent="0.25">
      <c r="A6950" t="s">
        <v>35</v>
      </c>
      <c r="B6950" t="s">
        <v>19</v>
      </c>
      <c r="C6950" s="1">
        <v>45866.661111111112</v>
      </c>
      <c r="D6950" s="1">
        <v>45910.574999999997</v>
      </c>
      <c r="E6950" s="2">
        <f t="shared" si="108"/>
        <v>43.913888888884685</v>
      </c>
    </row>
    <row r="6951" spans="1:5" x14ac:dyDescent="0.25">
      <c r="A6951" t="s">
        <v>23</v>
      </c>
      <c r="B6951" t="s">
        <v>24</v>
      </c>
      <c r="C6951" s="1">
        <v>45923.925000000003</v>
      </c>
      <c r="D6951" s="1">
        <v>45976.066666666673</v>
      </c>
      <c r="E6951" s="2">
        <f t="shared" si="108"/>
        <v>52.141666666670062</v>
      </c>
    </row>
    <row r="6952" spans="1:5" x14ac:dyDescent="0.25">
      <c r="A6952" t="s">
        <v>27</v>
      </c>
      <c r="B6952" t="s">
        <v>8</v>
      </c>
      <c r="C6952" s="1">
        <v>45762.64166666667</v>
      </c>
      <c r="D6952" s="1">
        <v>45815.175694444442</v>
      </c>
      <c r="E6952" s="2">
        <f t="shared" si="108"/>
        <v>52.53402777777228</v>
      </c>
    </row>
    <row r="6953" spans="1:5" x14ac:dyDescent="0.25">
      <c r="A6953" t="s">
        <v>15</v>
      </c>
      <c r="B6953" t="s">
        <v>8</v>
      </c>
      <c r="C6953" s="1">
        <v>45896.723611111112</v>
      </c>
      <c r="D6953" s="1">
        <v>45935.75277777778</v>
      </c>
      <c r="E6953" s="2">
        <f t="shared" si="108"/>
        <v>39.029166666667152</v>
      </c>
    </row>
    <row r="6954" spans="1:5" x14ac:dyDescent="0.25">
      <c r="A6954" t="s">
        <v>7</v>
      </c>
      <c r="B6954" t="s">
        <v>8</v>
      </c>
      <c r="C6954" s="1">
        <v>45891.654166666667</v>
      </c>
      <c r="D6954" s="1">
        <v>45938.662499999999</v>
      </c>
      <c r="E6954" s="2">
        <f t="shared" si="108"/>
        <v>47.008333333331393</v>
      </c>
    </row>
    <row r="6955" spans="1:5" x14ac:dyDescent="0.25">
      <c r="A6955" t="s">
        <v>9</v>
      </c>
      <c r="B6955" t="s">
        <v>11</v>
      </c>
      <c r="C6955" s="1">
        <v>45742.186805555553</v>
      </c>
      <c r="D6955" s="1">
        <v>45825.958333333343</v>
      </c>
      <c r="E6955" s="2">
        <f t="shared" si="108"/>
        <v>83.771527777789743</v>
      </c>
    </row>
    <row r="6956" spans="1:5" x14ac:dyDescent="0.25">
      <c r="A6956" t="s">
        <v>9</v>
      </c>
      <c r="B6956" t="s">
        <v>11</v>
      </c>
      <c r="C6956" s="1">
        <v>46094.183333333327</v>
      </c>
      <c r="D6956" s="1">
        <v>46154.554166666669</v>
      </c>
      <c r="E6956" s="2">
        <f t="shared" si="108"/>
        <v>60.370833333341579</v>
      </c>
    </row>
    <row r="6957" spans="1:5" x14ac:dyDescent="0.25">
      <c r="A6957" t="s">
        <v>16</v>
      </c>
      <c r="B6957" t="s">
        <v>8</v>
      </c>
      <c r="C6957" s="1">
        <v>45744.76666666667</v>
      </c>
      <c r="D6957" s="1">
        <v>45795.140972222223</v>
      </c>
      <c r="E6957" s="2">
        <f t="shared" si="108"/>
        <v>50.374305555553292</v>
      </c>
    </row>
    <row r="6958" spans="1:5" x14ac:dyDescent="0.25">
      <c r="A6958" t="s">
        <v>7</v>
      </c>
      <c r="B6958" t="s">
        <v>8</v>
      </c>
      <c r="C6958" s="1">
        <v>45931.208333333343</v>
      </c>
      <c r="D6958" s="1">
        <v>45966.508333333331</v>
      </c>
      <c r="E6958" s="2">
        <f t="shared" si="108"/>
        <v>35.299999999988358</v>
      </c>
    </row>
    <row r="6959" spans="1:5" x14ac:dyDescent="0.25">
      <c r="A6959" t="s">
        <v>5</v>
      </c>
      <c r="B6959" t="s">
        <v>55</v>
      </c>
      <c r="C6959" s="1">
        <v>45659.054166666669</v>
      </c>
      <c r="D6959" s="1">
        <v>45691.106157407397</v>
      </c>
      <c r="E6959" s="2">
        <f t="shared" si="108"/>
        <v>32.051990740728797</v>
      </c>
    </row>
    <row r="6960" spans="1:5" x14ac:dyDescent="0.25">
      <c r="A6960" t="s">
        <v>14</v>
      </c>
      <c r="B6960" t="s">
        <v>22</v>
      </c>
      <c r="C6960" s="1">
        <v>45780.091666666667</v>
      </c>
      <c r="D6960" s="1">
        <v>45838.091666666667</v>
      </c>
      <c r="E6960" s="2">
        <f t="shared" si="108"/>
        <v>58</v>
      </c>
    </row>
    <row r="6961" spans="1:5" x14ac:dyDescent="0.25">
      <c r="A6961" t="s">
        <v>16</v>
      </c>
      <c r="B6961" t="s">
        <v>13</v>
      </c>
      <c r="C6961" s="1">
        <v>45664.220833333333</v>
      </c>
      <c r="D6961" s="1">
        <v>45704.333333333343</v>
      </c>
      <c r="E6961" s="2">
        <f t="shared" si="108"/>
        <v>40.112500000010186</v>
      </c>
    </row>
    <row r="6962" spans="1:5" x14ac:dyDescent="0.25">
      <c r="A6962" t="s">
        <v>12</v>
      </c>
      <c r="B6962" t="s">
        <v>13</v>
      </c>
      <c r="C6962" s="1">
        <v>45775.875</v>
      </c>
      <c r="D6962" s="1">
        <v>45820.898611111108</v>
      </c>
      <c r="E6962" s="2">
        <f t="shared" si="108"/>
        <v>45.023611111108039</v>
      </c>
    </row>
    <row r="6963" spans="1:5" x14ac:dyDescent="0.25">
      <c r="A6963" t="s">
        <v>7</v>
      </c>
      <c r="B6963" t="s">
        <v>8</v>
      </c>
      <c r="C6963" s="1">
        <v>45875.462500000001</v>
      </c>
      <c r="D6963" s="1">
        <v>45920.2</v>
      </c>
      <c r="E6963" s="2">
        <f t="shared" si="108"/>
        <v>44.737499999995634</v>
      </c>
    </row>
    <row r="6964" spans="1:5" x14ac:dyDescent="0.25">
      <c r="A6964" t="s">
        <v>13</v>
      </c>
      <c r="B6964" t="s">
        <v>8</v>
      </c>
      <c r="C6964" s="1">
        <v>46109.458333333343</v>
      </c>
      <c r="D6964" s="1">
        <v>46134.082638888889</v>
      </c>
      <c r="E6964" s="2">
        <f t="shared" si="108"/>
        <v>24.624305555546016</v>
      </c>
    </row>
    <row r="6965" spans="1:5" x14ac:dyDescent="0.25">
      <c r="A6965" t="s">
        <v>12</v>
      </c>
      <c r="B6965" t="s">
        <v>13</v>
      </c>
      <c r="C6965" s="1">
        <v>46043.625</v>
      </c>
      <c r="D6965" s="1">
        <v>46087.020833333343</v>
      </c>
      <c r="E6965" s="2">
        <f t="shared" si="108"/>
        <v>43.395833333343035</v>
      </c>
    </row>
    <row r="6966" spans="1:5" x14ac:dyDescent="0.25">
      <c r="A6966" t="s">
        <v>5</v>
      </c>
      <c r="B6966" t="s">
        <v>8</v>
      </c>
      <c r="C6966" s="1">
        <v>46018.725694444453</v>
      </c>
      <c r="D6966" s="1">
        <v>46064.20416666667</v>
      </c>
      <c r="E6966" s="2">
        <f t="shared" si="108"/>
        <v>45.478472222217533</v>
      </c>
    </row>
    <row r="6967" spans="1:5" x14ac:dyDescent="0.25">
      <c r="A6967" t="s">
        <v>15</v>
      </c>
      <c r="B6967" t="s">
        <v>38</v>
      </c>
      <c r="C6967" s="1">
        <v>46066.779861111107</v>
      </c>
      <c r="D6967" s="1">
        <v>46111.243750000001</v>
      </c>
      <c r="E6967" s="2">
        <f t="shared" si="108"/>
        <v>44.463888888894871</v>
      </c>
    </row>
    <row r="6968" spans="1:5" x14ac:dyDescent="0.25">
      <c r="A6968" t="s">
        <v>15</v>
      </c>
      <c r="B6968" t="s">
        <v>8</v>
      </c>
      <c r="C6968" s="1">
        <v>46063.395833333343</v>
      </c>
      <c r="D6968" s="1">
        <v>46102.916666666657</v>
      </c>
      <c r="E6968" s="2">
        <f t="shared" si="108"/>
        <v>39.520833333313931</v>
      </c>
    </row>
    <row r="6969" spans="1:5" x14ac:dyDescent="0.25">
      <c r="A6969" t="s">
        <v>15</v>
      </c>
      <c r="B6969" t="s">
        <v>8</v>
      </c>
      <c r="C6969" s="1">
        <v>45850.657638888893</v>
      </c>
      <c r="D6969" s="1">
        <v>45910.938888888893</v>
      </c>
      <c r="E6969" s="2">
        <f t="shared" si="108"/>
        <v>60.28125</v>
      </c>
    </row>
    <row r="6970" spans="1:5" x14ac:dyDescent="0.25">
      <c r="A6970" t="s">
        <v>15</v>
      </c>
      <c r="B6970" t="s">
        <v>16</v>
      </c>
      <c r="C6970" s="1">
        <v>46098.458333333343</v>
      </c>
      <c r="D6970" s="1">
        <v>46114.666666666657</v>
      </c>
      <c r="E6970" s="2">
        <f t="shared" si="108"/>
        <v>16.208333333313931</v>
      </c>
    </row>
    <row r="6971" spans="1:5" x14ac:dyDescent="0.25">
      <c r="A6971" t="s">
        <v>27</v>
      </c>
      <c r="B6971" t="s">
        <v>8</v>
      </c>
      <c r="C6971" s="1">
        <v>46101.495833333327</v>
      </c>
      <c r="D6971" s="1">
        <v>46144.908333333333</v>
      </c>
      <c r="E6971" s="2">
        <f t="shared" si="108"/>
        <v>43.412500000005821</v>
      </c>
    </row>
    <row r="6972" spans="1:5" x14ac:dyDescent="0.25">
      <c r="A6972" t="s">
        <v>12</v>
      </c>
      <c r="B6972" t="s">
        <v>8</v>
      </c>
      <c r="C6972" s="1">
        <v>45944.186805555553</v>
      </c>
      <c r="D6972" s="1">
        <v>45991.530555555553</v>
      </c>
      <c r="E6972" s="2">
        <f t="shared" si="108"/>
        <v>47.34375</v>
      </c>
    </row>
    <row r="6973" spans="1:5" x14ac:dyDescent="0.25">
      <c r="A6973" t="s">
        <v>12</v>
      </c>
      <c r="B6973" t="s">
        <v>18</v>
      </c>
      <c r="C6973" s="1">
        <v>45907.466666666667</v>
      </c>
      <c r="D6973" s="1">
        <v>45970.963194444441</v>
      </c>
      <c r="E6973" s="2">
        <f t="shared" si="108"/>
        <v>63.496527777773736</v>
      </c>
    </row>
    <row r="6974" spans="1:5" x14ac:dyDescent="0.25">
      <c r="A6974" t="s">
        <v>12</v>
      </c>
      <c r="B6974" t="s">
        <v>8</v>
      </c>
      <c r="C6974" s="1">
        <v>45981.336111111108</v>
      </c>
      <c r="D6974" s="1">
        <v>46025.904166666667</v>
      </c>
      <c r="E6974" s="2">
        <f t="shared" si="108"/>
        <v>44.568055555559113</v>
      </c>
    </row>
    <row r="6975" spans="1:5" x14ac:dyDescent="0.25">
      <c r="A6975" t="s">
        <v>15</v>
      </c>
      <c r="B6975" t="s">
        <v>8</v>
      </c>
      <c r="C6975" s="1">
        <v>45688.75</v>
      </c>
      <c r="D6975" s="1">
        <v>45724.601388888892</v>
      </c>
      <c r="E6975" s="2">
        <f t="shared" si="108"/>
        <v>35.851388888891961</v>
      </c>
    </row>
    <row r="6976" spans="1:5" x14ac:dyDescent="0.25">
      <c r="A6976" t="s">
        <v>15</v>
      </c>
      <c r="B6976" t="s">
        <v>8</v>
      </c>
      <c r="C6976" s="1">
        <v>46031.183333333327</v>
      </c>
      <c r="D6976" s="1">
        <v>46074.836805555547</v>
      </c>
      <c r="E6976" s="2">
        <f t="shared" si="108"/>
        <v>43.653472222220444</v>
      </c>
    </row>
    <row r="6977" spans="1:5" x14ac:dyDescent="0.25">
      <c r="A6977" t="s">
        <v>34</v>
      </c>
      <c r="B6977" t="s">
        <v>8</v>
      </c>
      <c r="C6977" s="1">
        <v>45893.419444444437</v>
      </c>
      <c r="D6977" s="1">
        <v>45932.709027777782</v>
      </c>
      <c r="E6977" s="2">
        <f t="shared" si="108"/>
        <v>39.289583333345945</v>
      </c>
    </row>
    <row r="6978" spans="1:5" x14ac:dyDescent="0.25">
      <c r="A6978" t="s">
        <v>12</v>
      </c>
      <c r="B6978" t="s">
        <v>18</v>
      </c>
      <c r="C6978" s="1">
        <v>45903.05</v>
      </c>
      <c r="D6978" s="1">
        <v>45970.963194444441</v>
      </c>
      <c r="E6978" s="2">
        <f t="shared" ref="E6978:E7041" si="109">D6978-C6978</f>
        <v>67.913194444437977</v>
      </c>
    </row>
    <row r="6979" spans="1:5" x14ac:dyDescent="0.25">
      <c r="A6979" t="s">
        <v>22</v>
      </c>
      <c r="B6979" t="s">
        <v>51</v>
      </c>
      <c r="C6979" s="1">
        <v>46048.46597222222</v>
      </c>
      <c r="D6979" s="1">
        <v>46112.119444444441</v>
      </c>
      <c r="E6979" s="2">
        <f t="shared" si="109"/>
        <v>63.653472222220444</v>
      </c>
    </row>
    <row r="6980" spans="1:5" x14ac:dyDescent="0.25">
      <c r="A6980" t="s">
        <v>22</v>
      </c>
      <c r="B6980" t="s">
        <v>19</v>
      </c>
      <c r="C6980" s="1">
        <v>45984.224305555559</v>
      </c>
      <c r="D6980" s="1">
        <v>46038.279861111107</v>
      </c>
      <c r="E6980" s="2">
        <f t="shared" si="109"/>
        <v>54.055555555547471</v>
      </c>
    </row>
    <row r="6981" spans="1:5" x14ac:dyDescent="0.25">
      <c r="A6981" t="s">
        <v>15</v>
      </c>
      <c r="B6981" t="s">
        <v>8</v>
      </c>
      <c r="C6981" s="1">
        <v>45920.875</v>
      </c>
      <c r="D6981" s="1">
        <v>45970.688888888893</v>
      </c>
      <c r="E6981" s="2">
        <f t="shared" si="109"/>
        <v>49.813888888893416</v>
      </c>
    </row>
    <row r="6982" spans="1:5" x14ac:dyDescent="0.25">
      <c r="A6982" t="s">
        <v>15</v>
      </c>
      <c r="B6982" t="s">
        <v>8</v>
      </c>
      <c r="C6982" s="1">
        <v>45850.657638888893</v>
      </c>
      <c r="D6982" s="1">
        <v>45910.938888888893</v>
      </c>
      <c r="E6982" s="2">
        <f t="shared" si="109"/>
        <v>60.28125</v>
      </c>
    </row>
    <row r="6983" spans="1:5" x14ac:dyDescent="0.25">
      <c r="A6983" t="s">
        <v>15</v>
      </c>
      <c r="B6983" t="s">
        <v>16</v>
      </c>
      <c r="C6983" s="1">
        <v>46239.307638888888</v>
      </c>
      <c r="D6983" s="1">
        <v>46266.073611111111</v>
      </c>
      <c r="E6983" s="2">
        <f t="shared" si="109"/>
        <v>26.765972222223354</v>
      </c>
    </row>
    <row r="6984" spans="1:5" x14ac:dyDescent="0.25">
      <c r="A6984" t="s">
        <v>15</v>
      </c>
      <c r="B6984" t="s">
        <v>19</v>
      </c>
      <c r="C6984" s="1">
        <v>46238.3125</v>
      </c>
      <c r="D6984" s="1">
        <v>46274.875</v>
      </c>
      <c r="E6984" s="2">
        <f t="shared" si="109"/>
        <v>36.5625</v>
      </c>
    </row>
    <row r="6985" spans="1:5" x14ac:dyDescent="0.25">
      <c r="A6985" t="s">
        <v>15</v>
      </c>
      <c r="B6985" t="s">
        <v>19</v>
      </c>
      <c r="C6985" s="1">
        <v>46238.3125</v>
      </c>
      <c r="D6985" s="1">
        <v>46274.875</v>
      </c>
      <c r="E6985" s="2">
        <f t="shared" si="109"/>
        <v>36.5625</v>
      </c>
    </row>
    <row r="6986" spans="1:5" x14ac:dyDescent="0.25">
      <c r="A6986" t="s">
        <v>16</v>
      </c>
      <c r="B6986" t="s">
        <v>13</v>
      </c>
      <c r="C6986" s="1">
        <v>45744.76666666667</v>
      </c>
      <c r="D6986" s="1">
        <v>45785.365972222222</v>
      </c>
      <c r="E6986" s="2">
        <f t="shared" si="109"/>
        <v>40.599305555551837</v>
      </c>
    </row>
    <row r="6987" spans="1:5" x14ac:dyDescent="0.25">
      <c r="A6987" t="s">
        <v>9</v>
      </c>
      <c r="B6987" t="s">
        <v>8</v>
      </c>
      <c r="C6987" s="1">
        <v>46176.84375</v>
      </c>
      <c r="D6987" s="1">
        <v>46225.791666666657</v>
      </c>
      <c r="E6987" s="2">
        <f t="shared" si="109"/>
        <v>48.947916666656965</v>
      </c>
    </row>
    <row r="6988" spans="1:5" x14ac:dyDescent="0.25">
      <c r="A6988" t="s">
        <v>10</v>
      </c>
      <c r="B6988" t="s">
        <v>11</v>
      </c>
      <c r="C6988" s="1">
        <v>45960.208333333343</v>
      </c>
      <c r="D6988" s="1">
        <v>45986.95</v>
      </c>
      <c r="E6988" s="2">
        <f t="shared" si="109"/>
        <v>26.741666666654055</v>
      </c>
    </row>
    <row r="6989" spans="1:5" x14ac:dyDescent="0.25">
      <c r="A6989" t="s">
        <v>9</v>
      </c>
      <c r="B6989" t="s">
        <v>8</v>
      </c>
      <c r="C6989" s="1">
        <v>46012.402777777781</v>
      </c>
      <c r="D6989" s="1">
        <v>46047.712500000001</v>
      </c>
      <c r="E6989" s="2">
        <f t="shared" si="109"/>
        <v>35.309722222220444</v>
      </c>
    </row>
    <row r="6990" spans="1:5" x14ac:dyDescent="0.25">
      <c r="A6990" t="s">
        <v>5</v>
      </c>
      <c r="B6990" t="s">
        <v>8</v>
      </c>
      <c r="C6990" s="1">
        <v>46078.916666666657</v>
      </c>
      <c r="D6990" s="1">
        <v>46113.395833333343</v>
      </c>
      <c r="E6990" s="2">
        <f t="shared" si="109"/>
        <v>34.479166666686069</v>
      </c>
    </row>
    <row r="6991" spans="1:5" x14ac:dyDescent="0.25">
      <c r="A6991" t="s">
        <v>34</v>
      </c>
      <c r="B6991" t="s">
        <v>21</v>
      </c>
      <c r="C6991" s="1">
        <v>45831.298611111109</v>
      </c>
      <c r="D6991" s="1">
        <v>45842.9375</v>
      </c>
      <c r="E6991" s="2">
        <f t="shared" si="109"/>
        <v>11.638888888890506</v>
      </c>
    </row>
    <row r="6992" spans="1:5" x14ac:dyDescent="0.25">
      <c r="A6992" t="s">
        <v>12</v>
      </c>
      <c r="B6992" t="s">
        <v>13</v>
      </c>
      <c r="C6992" s="1">
        <v>46094.051388888889</v>
      </c>
      <c r="D6992" s="1">
        <v>46140.6</v>
      </c>
      <c r="E6992" s="2">
        <f t="shared" si="109"/>
        <v>46.548611111109494</v>
      </c>
    </row>
    <row r="6993" spans="1:5" x14ac:dyDescent="0.25">
      <c r="A6993" t="s">
        <v>8</v>
      </c>
      <c r="B6993" t="s">
        <v>18</v>
      </c>
      <c r="C6993" s="1">
        <v>46162.799305555563</v>
      </c>
      <c r="D6993" s="1">
        <v>46210.020833333343</v>
      </c>
      <c r="E6993" s="2">
        <f t="shared" si="109"/>
        <v>47.221527777779556</v>
      </c>
    </row>
    <row r="6994" spans="1:5" x14ac:dyDescent="0.25">
      <c r="A6994" t="s">
        <v>28</v>
      </c>
      <c r="B6994" t="s">
        <v>18</v>
      </c>
      <c r="C6994" s="1">
        <v>45852.695138888892</v>
      </c>
      <c r="D6994" s="1">
        <v>45917.230555555558</v>
      </c>
      <c r="E6994" s="2">
        <f t="shared" si="109"/>
        <v>64.535416666665697</v>
      </c>
    </row>
    <row r="6995" spans="1:5" x14ac:dyDescent="0.25">
      <c r="A6995" t="s">
        <v>8</v>
      </c>
      <c r="B6995" t="s">
        <v>18</v>
      </c>
      <c r="C6995" s="1">
        <v>46212.760416666657</v>
      </c>
      <c r="D6995" s="1">
        <v>46269.7</v>
      </c>
      <c r="E6995" s="2">
        <f t="shared" si="109"/>
        <v>56.939583333340124</v>
      </c>
    </row>
    <row r="6996" spans="1:5" x14ac:dyDescent="0.25">
      <c r="A6996" t="s">
        <v>46</v>
      </c>
      <c r="B6996" t="s">
        <v>11</v>
      </c>
      <c r="C6996" s="1">
        <v>46194.854861111111</v>
      </c>
      <c r="D6996" s="1">
        <v>46204.538888888892</v>
      </c>
      <c r="E6996" s="2">
        <f t="shared" si="109"/>
        <v>9.6840277777810115</v>
      </c>
    </row>
    <row r="6997" spans="1:5" x14ac:dyDescent="0.25">
      <c r="A6997" t="s">
        <v>12</v>
      </c>
      <c r="B6997" t="s">
        <v>18</v>
      </c>
      <c r="C6997" s="1">
        <v>45947.123611111107</v>
      </c>
      <c r="D6997" s="1">
        <v>46008.915277777778</v>
      </c>
      <c r="E6997" s="2">
        <f t="shared" si="109"/>
        <v>61.791666666671517</v>
      </c>
    </row>
    <row r="6998" spans="1:5" x14ac:dyDescent="0.25">
      <c r="A6998" t="s">
        <v>8</v>
      </c>
      <c r="B6998" t="s">
        <v>7</v>
      </c>
      <c r="C6998" s="1">
        <v>45959.195833333331</v>
      </c>
      <c r="D6998" s="1">
        <v>46016.57916666667</v>
      </c>
      <c r="E6998" s="2">
        <f t="shared" si="109"/>
        <v>57.383333333338669</v>
      </c>
    </row>
    <row r="6999" spans="1:5" x14ac:dyDescent="0.25">
      <c r="A6999" t="s">
        <v>5</v>
      </c>
      <c r="B6999" t="s">
        <v>8</v>
      </c>
      <c r="C6999" s="1">
        <v>46035.520833333343</v>
      </c>
      <c r="D6999" s="1">
        <v>46073.45416666667</v>
      </c>
      <c r="E6999" s="2">
        <f t="shared" si="109"/>
        <v>37.933333333327028</v>
      </c>
    </row>
    <row r="7000" spans="1:5" x14ac:dyDescent="0.25">
      <c r="A7000" t="s">
        <v>7</v>
      </c>
      <c r="B7000" t="s">
        <v>8</v>
      </c>
      <c r="C7000" s="1">
        <v>45875.462500000001</v>
      </c>
      <c r="D7000" s="1">
        <v>45920.2</v>
      </c>
      <c r="E7000" s="2">
        <f t="shared" si="109"/>
        <v>44.737499999995634</v>
      </c>
    </row>
    <row r="7001" spans="1:5" x14ac:dyDescent="0.25">
      <c r="A7001" t="s">
        <v>7</v>
      </c>
      <c r="B7001" t="s">
        <v>8</v>
      </c>
      <c r="C7001" s="1">
        <v>45891.654166666667</v>
      </c>
      <c r="D7001" s="1">
        <v>45938.662499999999</v>
      </c>
      <c r="E7001" s="2">
        <f t="shared" si="109"/>
        <v>47.008333333331393</v>
      </c>
    </row>
    <row r="7002" spans="1:5" x14ac:dyDescent="0.25">
      <c r="A7002" t="s">
        <v>15</v>
      </c>
      <c r="B7002" t="s">
        <v>19</v>
      </c>
      <c r="C7002" s="1">
        <v>45920.016250000001</v>
      </c>
      <c r="D7002" s="1">
        <v>45961.661469907413</v>
      </c>
      <c r="E7002" s="2">
        <f t="shared" si="109"/>
        <v>41.645219907411956</v>
      </c>
    </row>
    <row r="7003" spans="1:5" x14ac:dyDescent="0.25">
      <c r="A7003" t="s">
        <v>22</v>
      </c>
      <c r="B7003" t="s">
        <v>19</v>
      </c>
      <c r="C7003" s="1">
        <v>45896.181435185194</v>
      </c>
      <c r="D7003" s="1">
        <v>45938.941678240742</v>
      </c>
      <c r="E7003" s="2">
        <f t="shared" si="109"/>
        <v>42.760243055548926</v>
      </c>
    </row>
    <row r="7004" spans="1:5" x14ac:dyDescent="0.25">
      <c r="A7004" t="s">
        <v>22</v>
      </c>
      <c r="B7004" t="s">
        <v>19</v>
      </c>
      <c r="C7004" s="1">
        <v>45922.759062500001</v>
      </c>
      <c r="D7004" s="1">
        <v>45968.365810185183</v>
      </c>
      <c r="E7004" s="2">
        <f t="shared" si="109"/>
        <v>45.606747685182199</v>
      </c>
    </row>
    <row r="7005" spans="1:5" x14ac:dyDescent="0.25">
      <c r="A7005" t="s">
        <v>8</v>
      </c>
      <c r="B7005" t="s">
        <v>13</v>
      </c>
      <c r="C7005" s="1">
        <v>45785.913194444453</v>
      </c>
      <c r="D7005" s="1">
        <v>45818.029166666667</v>
      </c>
      <c r="E7005" s="2">
        <f t="shared" si="109"/>
        <v>32.115972222214623</v>
      </c>
    </row>
    <row r="7006" spans="1:5" x14ac:dyDescent="0.25">
      <c r="A7006" t="s">
        <v>5</v>
      </c>
      <c r="B7006" t="s">
        <v>8</v>
      </c>
      <c r="C7006" s="1">
        <v>46093.616666666669</v>
      </c>
      <c r="D7006" s="1">
        <v>46141.354166666657</v>
      </c>
      <c r="E7006" s="2">
        <f t="shared" si="109"/>
        <v>47.737499999988358</v>
      </c>
    </row>
    <row r="7007" spans="1:5" x14ac:dyDescent="0.25">
      <c r="A7007" t="s">
        <v>5</v>
      </c>
      <c r="B7007" t="s">
        <v>8</v>
      </c>
      <c r="C7007" s="1">
        <v>45995.0625</v>
      </c>
      <c r="D7007" s="1">
        <v>46028.791666666657</v>
      </c>
      <c r="E7007" s="2">
        <f t="shared" si="109"/>
        <v>33.729166666656965</v>
      </c>
    </row>
    <row r="7008" spans="1:5" x14ac:dyDescent="0.25">
      <c r="A7008" t="s">
        <v>7</v>
      </c>
      <c r="B7008" t="s">
        <v>8</v>
      </c>
      <c r="C7008" s="1">
        <v>45822.8</v>
      </c>
      <c r="D7008" s="1">
        <v>45875.612500000003</v>
      </c>
      <c r="E7008" s="2">
        <f t="shared" si="109"/>
        <v>52.8125</v>
      </c>
    </row>
    <row r="7009" spans="1:5" x14ac:dyDescent="0.25">
      <c r="A7009" t="s">
        <v>34</v>
      </c>
      <c r="B7009" t="s">
        <v>13</v>
      </c>
      <c r="C7009" s="1">
        <v>46173.876388888893</v>
      </c>
      <c r="D7009" s="1">
        <v>46198.293055555558</v>
      </c>
      <c r="E7009" s="2">
        <f t="shared" si="109"/>
        <v>24.416666666664241</v>
      </c>
    </row>
    <row r="7010" spans="1:5" x14ac:dyDescent="0.25">
      <c r="A7010" t="s">
        <v>22</v>
      </c>
      <c r="B7010" t="s">
        <v>19</v>
      </c>
      <c r="C7010" s="1">
        <v>45679.163194444453</v>
      </c>
      <c r="D7010" s="1">
        <v>45755.558333333327</v>
      </c>
      <c r="E7010" s="2">
        <f t="shared" si="109"/>
        <v>76.395138888874499</v>
      </c>
    </row>
    <row r="7011" spans="1:5" x14ac:dyDescent="0.25">
      <c r="A7011" t="s">
        <v>15</v>
      </c>
      <c r="B7011" t="s">
        <v>38</v>
      </c>
      <c r="C7011" s="1">
        <v>46136.763888888891</v>
      </c>
      <c r="D7011" s="1">
        <v>46183.841666666667</v>
      </c>
      <c r="E7011" s="2">
        <f t="shared" si="109"/>
        <v>47.077777777776646</v>
      </c>
    </row>
    <row r="7012" spans="1:5" x14ac:dyDescent="0.25">
      <c r="A7012" t="s">
        <v>22</v>
      </c>
      <c r="B7012" t="s">
        <v>14</v>
      </c>
      <c r="C7012" s="1">
        <v>45873.847222222219</v>
      </c>
      <c r="D7012" s="1">
        <v>45919.29</v>
      </c>
      <c r="E7012" s="2">
        <f t="shared" si="109"/>
        <v>45.442777777781885</v>
      </c>
    </row>
    <row r="7013" spans="1:5" x14ac:dyDescent="0.25">
      <c r="A7013" t="s">
        <v>22</v>
      </c>
      <c r="B7013" t="s">
        <v>19</v>
      </c>
      <c r="C7013" s="1">
        <v>45688.381249999999</v>
      </c>
      <c r="D7013" s="1">
        <v>45755.558333333327</v>
      </c>
      <c r="E7013" s="2">
        <f t="shared" si="109"/>
        <v>67.177083333328483</v>
      </c>
    </row>
    <row r="7014" spans="1:5" x14ac:dyDescent="0.25">
      <c r="A7014" t="s">
        <v>8</v>
      </c>
      <c r="B7014" t="s">
        <v>5</v>
      </c>
      <c r="C7014" s="1">
        <v>45761.228472222218</v>
      </c>
      <c r="D7014" s="1">
        <v>45796.416666666657</v>
      </c>
      <c r="E7014" s="2">
        <f t="shared" si="109"/>
        <v>35.188194444439432</v>
      </c>
    </row>
    <row r="7015" spans="1:5" x14ac:dyDescent="0.25">
      <c r="A7015" t="s">
        <v>12</v>
      </c>
      <c r="B7015" t="s">
        <v>18</v>
      </c>
      <c r="C7015" s="1">
        <v>45845.878472222219</v>
      </c>
      <c r="D7015" s="1">
        <v>45909.30972222222</v>
      </c>
      <c r="E7015" s="2">
        <f t="shared" si="109"/>
        <v>63.431250000001455</v>
      </c>
    </row>
    <row r="7016" spans="1:5" x14ac:dyDescent="0.25">
      <c r="A7016" t="s">
        <v>22</v>
      </c>
      <c r="B7016" t="s">
        <v>52</v>
      </c>
      <c r="C7016" s="1">
        <v>46179.6875</v>
      </c>
      <c r="D7016" s="1">
        <v>46231.833333333343</v>
      </c>
      <c r="E7016" s="2">
        <f t="shared" si="109"/>
        <v>52.145833333343035</v>
      </c>
    </row>
    <row r="7017" spans="1:5" x14ac:dyDescent="0.25">
      <c r="A7017" t="s">
        <v>34</v>
      </c>
      <c r="B7017" t="s">
        <v>13</v>
      </c>
      <c r="C7017" s="1">
        <v>45788.039594907408</v>
      </c>
      <c r="D7017" s="1">
        <v>45813.92083333333</v>
      </c>
      <c r="E7017" s="2">
        <f t="shared" si="109"/>
        <v>25.881238425921765</v>
      </c>
    </row>
    <row r="7018" spans="1:5" x14ac:dyDescent="0.25">
      <c r="A7018" t="s">
        <v>22</v>
      </c>
      <c r="B7018" t="s">
        <v>19</v>
      </c>
      <c r="C7018" s="1">
        <v>45712.171527777777</v>
      </c>
      <c r="D7018" s="1">
        <v>45778.55</v>
      </c>
      <c r="E7018" s="2">
        <f t="shared" si="109"/>
        <v>66.378472222226264</v>
      </c>
    </row>
    <row r="7019" spans="1:5" x14ac:dyDescent="0.25">
      <c r="A7019" t="s">
        <v>11</v>
      </c>
      <c r="B7019" t="s">
        <v>21</v>
      </c>
      <c r="C7019" s="1">
        <v>45913.212500000001</v>
      </c>
      <c r="D7019" s="1">
        <v>45923.6</v>
      </c>
      <c r="E7019" s="2">
        <f t="shared" si="109"/>
        <v>10.38749999999709</v>
      </c>
    </row>
    <row r="7020" spans="1:5" x14ac:dyDescent="0.25">
      <c r="A7020" t="s">
        <v>10</v>
      </c>
      <c r="B7020" t="s">
        <v>11</v>
      </c>
      <c r="C7020" s="1">
        <v>45912.1</v>
      </c>
      <c r="D7020" s="1">
        <v>45946.133333333331</v>
      </c>
      <c r="E7020" s="2">
        <f t="shared" si="109"/>
        <v>34.033333333332848</v>
      </c>
    </row>
    <row r="7021" spans="1:5" x14ac:dyDescent="0.25">
      <c r="A7021" t="s">
        <v>15</v>
      </c>
      <c r="B7021" t="s">
        <v>18</v>
      </c>
      <c r="C7021" s="1">
        <v>46241.367766203701</v>
      </c>
      <c r="D7021" s="1">
        <v>46284.247916666667</v>
      </c>
      <c r="E7021" s="2">
        <f t="shared" si="109"/>
        <v>42.880150462966412</v>
      </c>
    </row>
    <row r="7022" spans="1:5" x14ac:dyDescent="0.25">
      <c r="A7022" t="s">
        <v>15</v>
      </c>
      <c r="B7022" t="s">
        <v>13</v>
      </c>
      <c r="C7022" s="1">
        <v>46037.984722222223</v>
      </c>
      <c r="D7022" s="1">
        <v>46086.87222222222</v>
      </c>
      <c r="E7022" s="2">
        <f t="shared" si="109"/>
        <v>48.88749999999709</v>
      </c>
    </row>
    <row r="7023" spans="1:5" x14ac:dyDescent="0.25">
      <c r="A7023" t="s">
        <v>26</v>
      </c>
      <c r="B7023" t="s">
        <v>21</v>
      </c>
      <c r="C7023" s="1">
        <v>46175.373611111107</v>
      </c>
      <c r="D7023" s="1">
        <v>46205.692361111112</v>
      </c>
      <c r="E7023" s="2">
        <f t="shared" si="109"/>
        <v>30.318750000005821</v>
      </c>
    </row>
    <row r="7024" spans="1:5" x14ac:dyDescent="0.25">
      <c r="A7024" t="s">
        <v>46</v>
      </c>
      <c r="B7024" t="s">
        <v>11</v>
      </c>
      <c r="C7024" s="1">
        <v>46141.672430555547</v>
      </c>
      <c r="D7024" s="1">
        <v>46149.981944444437</v>
      </c>
      <c r="E7024" s="2">
        <f t="shared" si="109"/>
        <v>8.3095138888893416</v>
      </c>
    </row>
    <row r="7025" spans="1:5" x14ac:dyDescent="0.25">
      <c r="A7025" t="s">
        <v>15</v>
      </c>
      <c r="B7025" t="s">
        <v>13</v>
      </c>
      <c r="C7025" s="1">
        <v>45911.773819444446</v>
      </c>
      <c r="D7025" s="1">
        <v>45952.45416666667</v>
      </c>
      <c r="E7025" s="2">
        <f t="shared" si="109"/>
        <v>40.680347222223645</v>
      </c>
    </row>
    <row r="7026" spans="1:5" x14ac:dyDescent="0.25">
      <c r="A7026" t="s">
        <v>22</v>
      </c>
      <c r="B7026" t="s">
        <v>14</v>
      </c>
      <c r="C7026" s="1">
        <v>45838.058553240742</v>
      </c>
      <c r="D7026" s="1">
        <v>45889.818055555559</v>
      </c>
      <c r="E7026" s="2">
        <f t="shared" si="109"/>
        <v>51.759502314816928</v>
      </c>
    </row>
    <row r="7027" spans="1:5" x14ac:dyDescent="0.25">
      <c r="A7027" t="s">
        <v>8</v>
      </c>
      <c r="B7027" t="s">
        <v>18</v>
      </c>
      <c r="C7027" s="1">
        <v>46149.661805555559</v>
      </c>
      <c r="D7027" s="1">
        <v>46195.804166666669</v>
      </c>
      <c r="E7027" s="2">
        <f t="shared" si="109"/>
        <v>46.142361111109494</v>
      </c>
    </row>
    <row r="7028" spans="1:5" x14ac:dyDescent="0.25">
      <c r="A7028" t="s">
        <v>7</v>
      </c>
      <c r="B7028" t="s">
        <v>8</v>
      </c>
      <c r="C7028" s="1">
        <v>45903.083333333343</v>
      </c>
      <c r="D7028" s="1">
        <v>45938.662499999999</v>
      </c>
      <c r="E7028" s="2">
        <f t="shared" si="109"/>
        <v>35.57916666665551</v>
      </c>
    </row>
    <row r="7029" spans="1:5" x14ac:dyDescent="0.25">
      <c r="A7029" t="s">
        <v>5</v>
      </c>
      <c r="B7029" t="s">
        <v>8</v>
      </c>
      <c r="C7029" s="1">
        <v>46018.725694444453</v>
      </c>
      <c r="D7029" s="1">
        <v>46071.058333333327</v>
      </c>
      <c r="E7029" s="2">
        <f t="shared" si="109"/>
        <v>52.332638888874499</v>
      </c>
    </row>
    <row r="7030" spans="1:5" x14ac:dyDescent="0.25">
      <c r="A7030" t="s">
        <v>5</v>
      </c>
      <c r="B7030" t="s">
        <v>8</v>
      </c>
      <c r="C7030" s="1">
        <v>46018.725694444453</v>
      </c>
      <c r="D7030" s="1">
        <v>46071.058333333327</v>
      </c>
      <c r="E7030" s="2">
        <f t="shared" si="109"/>
        <v>52.332638888874499</v>
      </c>
    </row>
    <row r="7031" spans="1:5" x14ac:dyDescent="0.25">
      <c r="A7031" t="s">
        <v>28</v>
      </c>
      <c r="B7031" t="s">
        <v>18</v>
      </c>
      <c r="C7031" s="1">
        <v>45852.695138888892</v>
      </c>
      <c r="D7031" s="1">
        <v>45917.230555555558</v>
      </c>
      <c r="E7031" s="2">
        <f t="shared" si="109"/>
        <v>64.535416666665697</v>
      </c>
    </row>
    <row r="7032" spans="1:5" x14ac:dyDescent="0.25">
      <c r="A7032" t="s">
        <v>12</v>
      </c>
      <c r="B7032" t="s">
        <v>18</v>
      </c>
      <c r="C7032" s="1">
        <v>45835.017361111109</v>
      </c>
      <c r="D7032" s="1">
        <v>45897.833333333343</v>
      </c>
      <c r="E7032" s="2">
        <f t="shared" si="109"/>
        <v>62.81597222223354</v>
      </c>
    </row>
    <row r="7033" spans="1:5" x14ac:dyDescent="0.25">
      <c r="A7033" t="s">
        <v>8</v>
      </c>
      <c r="B7033" t="s">
        <v>18</v>
      </c>
      <c r="C7033" s="1">
        <v>46162.799305555563</v>
      </c>
      <c r="D7033" s="1">
        <v>46210.020833333343</v>
      </c>
      <c r="E7033" s="2">
        <f t="shared" si="109"/>
        <v>47.221527777779556</v>
      </c>
    </row>
    <row r="7034" spans="1:5" x14ac:dyDescent="0.25">
      <c r="A7034" t="s">
        <v>19</v>
      </c>
      <c r="B7034" t="s">
        <v>11</v>
      </c>
      <c r="C7034" s="1">
        <v>46233.256249999999</v>
      </c>
      <c r="D7034" s="1">
        <v>46274.036805555559</v>
      </c>
      <c r="E7034" s="2">
        <f t="shared" si="109"/>
        <v>40.780555555560568</v>
      </c>
    </row>
    <row r="7035" spans="1:5" x14ac:dyDescent="0.25">
      <c r="A7035" t="s">
        <v>20</v>
      </c>
      <c r="B7035" t="s">
        <v>8</v>
      </c>
      <c r="C7035" s="1">
        <v>46242.979166666657</v>
      </c>
      <c r="D7035" s="1">
        <v>46275.291666666657</v>
      </c>
      <c r="E7035" s="2">
        <f t="shared" si="109"/>
        <v>32.3125</v>
      </c>
    </row>
    <row r="7036" spans="1:5" x14ac:dyDescent="0.25">
      <c r="A7036" t="s">
        <v>15</v>
      </c>
      <c r="B7036" t="s">
        <v>19</v>
      </c>
      <c r="C7036" s="1">
        <v>46117.412951388891</v>
      </c>
      <c r="D7036" s="1">
        <v>46152.626076388893</v>
      </c>
      <c r="E7036" s="2">
        <f t="shared" si="109"/>
        <v>35.213125000002037</v>
      </c>
    </row>
    <row r="7037" spans="1:5" x14ac:dyDescent="0.25">
      <c r="A7037" t="s">
        <v>16</v>
      </c>
      <c r="B7037" t="s">
        <v>8</v>
      </c>
      <c r="C7037" s="1">
        <v>45718.625</v>
      </c>
      <c r="D7037" s="1">
        <v>45760.229166666657</v>
      </c>
      <c r="E7037" s="2">
        <f t="shared" si="109"/>
        <v>41.604166666656965</v>
      </c>
    </row>
    <row r="7038" spans="1:5" x14ac:dyDescent="0.25">
      <c r="A7038" t="s">
        <v>22</v>
      </c>
      <c r="B7038" t="s">
        <v>19</v>
      </c>
      <c r="C7038" s="1">
        <v>45854.175729166673</v>
      </c>
      <c r="D7038" s="1">
        <v>45898.190127314818</v>
      </c>
      <c r="E7038" s="2">
        <f t="shared" si="109"/>
        <v>44.014398148145119</v>
      </c>
    </row>
    <row r="7039" spans="1:5" x14ac:dyDescent="0.25">
      <c r="A7039" t="s">
        <v>20</v>
      </c>
      <c r="B7039" t="s">
        <v>8</v>
      </c>
      <c r="C7039" s="1">
        <v>46025.862500000003</v>
      </c>
      <c r="D7039" s="1">
        <v>46064.25</v>
      </c>
      <c r="E7039" s="2">
        <f t="shared" si="109"/>
        <v>38.38749999999709</v>
      </c>
    </row>
    <row r="7040" spans="1:5" x14ac:dyDescent="0.25">
      <c r="A7040" t="s">
        <v>12</v>
      </c>
      <c r="B7040" t="s">
        <v>18</v>
      </c>
      <c r="C7040" s="1">
        <v>45825.043055555558</v>
      </c>
      <c r="D7040" s="1">
        <v>45891.20208333333</v>
      </c>
      <c r="E7040" s="2">
        <f t="shared" si="109"/>
        <v>66.15902777777228</v>
      </c>
    </row>
    <row r="7041" spans="1:5" x14ac:dyDescent="0.25">
      <c r="A7041" t="s">
        <v>13</v>
      </c>
      <c r="B7041" t="s">
        <v>8</v>
      </c>
      <c r="C7041" s="1">
        <v>45836.020833333343</v>
      </c>
      <c r="D7041" s="1">
        <v>45859.28125</v>
      </c>
      <c r="E7041" s="2">
        <f t="shared" si="109"/>
        <v>23.260416666656965</v>
      </c>
    </row>
    <row r="7042" spans="1:5" x14ac:dyDescent="0.25">
      <c r="A7042" t="s">
        <v>23</v>
      </c>
      <c r="B7042" t="s">
        <v>18</v>
      </c>
      <c r="C7042" s="1">
        <v>46071.378472222219</v>
      </c>
      <c r="D7042" s="1">
        <v>46119.064583333333</v>
      </c>
      <c r="E7042" s="2">
        <f t="shared" ref="E7042:E7105" si="110">D7042-C7042</f>
        <v>47.68611111111386</v>
      </c>
    </row>
    <row r="7043" spans="1:5" x14ac:dyDescent="0.25">
      <c r="A7043" t="s">
        <v>5</v>
      </c>
      <c r="B7043" t="s">
        <v>8</v>
      </c>
      <c r="C7043" s="1">
        <v>45745.883333333331</v>
      </c>
      <c r="D7043" s="1">
        <v>45775.742037037038</v>
      </c>
      <c r="E7043" s="2">
        <f t="shared" si="110"/>
        <v>29.858703703706851</v>
      </c>
    </row>
    <row r="7044" spans="1:5" x14ac:dyDescent="0.25">
      <c r="A7044" t="s">
        <v>17</v>
      </c>
      <c r="B7044" t="s">
        <v>18</v>
      </c>
      <c r="C7044" s="1">
        <v>45723.791666666657</v>
      </c>
      <c r="D7044" s="1">
        <v>45777</v>
      </c>
      <c r="E7044" s="2">
        <f t="shared" si="110"/>
        <v>53.208333333343035</v>
      </c>
    </row>
    <row r="7045" spans="1:5" x14ac:dyDescent="0.25">
      <c r="A7045" t="s">
        <v>28</v>
      </c>
      <c r="B7045" t="s">
        <v>18</v>
      </c>
      <c r="C7045" s="1">
        <v>45890.753472222219</v>
      </c>
      <c r="D7045" s="1">
        <v>45970</v>
      </c>
      <c r="E7045" s="2">
        <f t="shared" si="110"/>
        <v>79.246527777781012</v>
      </c>
    </row>
    <row r="7046" spans="1:5" x14ac:dyDescent="0.25">
      <c r="A7046" t="s">
        <v>15</v>
      </c>
      <c r="B7046" t="s">
        <v>13</v>
      </c>
      <c r="C7046" s="1">
        <v>46232.020833333343</v>
      </c>
      <c r="D7046" s="1">
        <v>46267.020833333343</v>
      </c>
      <c r="E7046" s="2">
        <f t="shared" si="110"/>
        <v>35</v>
      </c>
    </row>
    <row r="7047" spans="1:5" x14ac:dyDescent="0.25">
      <c r="A7047" t="s">
        <v>10</v>
      </c>
      <c r="B7047" t="s">
        <v>8</v>
      </c>
      <c r="C7047" s="1">
        <v>46245.208333333343</v>
      </c>
      <c r="D7047" s="1">
        <v>46264.772222222222</v>
      </c>
      <c r="E7047" s="2">
        <f t="shared" si="110"/>
        <v>19.563888888878864</v>
      </c>
    </row>
    <row r="7048" spans="1:5" x14ac:dyDescent="0.25">
      <c r="A7048" t="s">
        <v>15</v>
      </c>
      <c r="B7048" t="s">
        <v>18</v>
      </c>
      <c r="C7048" s="1">
        <v>45957.560416666667</v>
      </c>
      <c r="D7048" s="1">
        <v>46008.915277777778</v>
      </c>
      <c r="E7048" s="2">
        <f t="shared" si="110"/>
        <v>51.354861111110949</v>
      </c>
    </row>
    <row r="7049" spans="1:5" x14ac:dyDescent="0.25">
      <c r="A7049" t="s">
        <v>26</v>
      </c>
      <c r="B7049" t="s">
        <v>21</v>
      </c>
      <c r="C7049" s="1">
        <v>46175.373611111107</v>
      </c>
      <c r="D7049" s="1">
        <v>46205.692361111112</v>
      </c>
      <c r="E7049" s="2">
        <f t="shared" si="110"/>
        <v>30.318750000005821</v>
      </c>
    </row>
    <row r="7050" spans="1:5" x14ac:dyDescent="0.25">
      <c r="A7050" t="s">
        <v>5</v>
      </c>
      <c r="B7050" t="s">
        <v>8</v>
      </c>
      <c r="C7050" s="1">
        <v>45731.86041666667</v>
      </c>
      <c r="D7050" s="1">
        <v>45761.418541666673</v>
      </c>
      <c r="E7050" s="2">
        <f t="shared" si="110"/>
        <v>29.558125000003201</v>
      </c>
    </row>
    <row r="7051" spans="1:5" x14ac:dyDescent="0.25">
      <c r="A7051" t="s">
        <v>12</v>
      </c>
      <c r="B7051" t="s">
        <v>13</v>
      </c>
      <c r="C7051" s="1">
        <v>45669.5</v>
      </c>
      <c r="D7051" s="1">
        <v>45714.583333333343</v>
      </c>
      <c r="E7051" s="2">
        <f t="shared" si="110"/>
        <v>45.083333333343035</v>
      </c>
    </row>
    <row r="7052" spans="1:5" x14ac:dyDescent="0.25">
      <c r="A7052" t="s">
        <v>5</v>
      </c>
      <c r="B7052" t="s">
        <v>8</v>
      </c>
      <c r="C7052" s="1">
        <v>45750.686111111107</v>
      </c>
      <c r="D7052" s="1">
        <v>45782.671527777777</v>
      </c>
      <c r="E7052" s="2">
        <f t="shared" si="110"/>
        <v>31.985416666670062</v>
      </c>
    </row>
    <row r="7053" spans="1:5" x14ac:dyDescent="0.25">
      <c r="A7053" t="s">
        <v>28</v>
      </c>
      <c r="B7053" t="s">
        <v>13</v>
      </c>
      <c r="C7053" s="1">
        <v>46107.872916666667</v>
      </c>
      <c r="D7053" s="1">
        <v>46181.138194444437</v>
      </c>
      <c r="E7053" s="2">
        <f t="shared" si="110"/>
        <v>73.26527777776937</v>
      </c>
    </row>
    <row r="7054" spans="1:5" x14ac:dyDescent="0.25">
      <c r="A7054" t="s">
        <v>13</v>
      </c>
      <c r="B7054" t="s">
        <v>8</v>
      </c>
      <c r="C7054" s="1">
        <v>45741.29583333333</v>
      </c>
      <c r="D7054" s="1">
        <v>45777</v>
      </c>
      <c r="E7054" s="2">
        <f t="shared" si="110"/>
        <v>35.704166666670062</v>
      </c>
    </row>
    <row r="7055" spans="1:5" x14ac:dyDescent="0.25">
      <c r="A7055" t="s">
        <v>23</v>
      </c>
      <c r="B7055" t="s">
        <v>18</v>
      </c>
      <c r="C7055" s="1">
        <v>45950.375</v>
      </c>
      <c r="D7055" s="1">
        <v>46008.915277777778</v>
      </c>
      <c r="E7055" s="2">
        <f t="shared" si="110"/>
        <v>58.540277777778101</v>
      </c>
    </row>
    <row r="7056" spans="1:5" x14ac:dyDescent="0.25">
      <c r="A7056" t="s">
        <v>13</v>
      </c>
      <c r="B7056" t="s">
        <v>8</v>
      </c>
      <c r="C7056" s="1">
        <v>45769.25</v>
      </c>
      <c r="D7056" s="1">
        <v>45796.327777777777</v>
      </c>
      <c r="E7056" s="2">
        <f t="shared" si="110"/>
        <v>27.077777777776646</v>
      </c>
    </row>
    <row r="7057" spans="1:5" x14ac:dyDescent="0.25">
      <c r="A7057" t="s">
        <v>12</v>
      </c>
      <c r="B7057" t="s">
        <v>13</v>
      </c>
      <c r="C7057" s="1">
        <v>46083.54583333333</v>
      </c>
      <c r="D7057" s="1">
        <v>46128.060416666667</v>
      </c>
      <c r="E7057" s="2">
        <f t="shared" si="110"/>
        <v>44.514583333337214</v>
      </c>
    </row>
    <row r="7058" spans="1:5" x14ac:dyDescent="0.25">
      <c r="A7058" t="s">
        <v>14</v>
      </c>
      <c r="B7058" t="s">
        <v>22</v>
      </c>
      <c r="C7058" s="1">
        <v>45913.491666666669</v>
      </c>
      <c r="D7058" s="1">
        <v>45968.791666666657</v>
      </c>
      <c r="E7058" s="2">
        <f t="shared" si="110"/>
        <v>55.299999999988358</v>
      </c>
    </row>
    <row r="7059" spans="1:5" x14ac:dyDescent="0.25">
      <c r="A7059" t="s">
        <v>23</v>
      </c>
      <c r="B7059" t="s">
        <v>24</v>
      </c>
      <c r="C7059" s="1">
        <v>45935.175000000003</v>
      </c>
      <c r="D7059" s="1">
        <v>45983.73333333333</v>
      </c>
      <c r="E7059" s="2">
        <f t="shared" si="110"/>
        <v>48.558333333327028</v>
      </c>
    </row>
    <row r="7060" spans="1:5" x14ac:dyDescent="0.25">
      <c r="A7060" t="s">
        <v>26</v>
      </c>
      <c r="B7060" t="s">
        <v>21</v>
      </c>
      <c r="C7060" s="1">
        <v>46185.841666666667</v>
      </c>
      <c r="D7060" s="1">
        <v>46226.525000000001</v>
      </c>
      <c r="E7060" s="2">
        <f t="shared" si="110"/>
        <v>40.683333333334303</v>
      </c>
    </row>
    <row r="7061" spans="1:5" x14ac:dyDescent="0.25">
      <c r="A7061" t="s">
        <v>28</v>
      </c>
      <c r="B7061" t="s">
        <v>8</v>
      </c>
      <c r="C7061" s="1">
        <v>45879.111111111109</v>
      </c>
      <c r="D7061" s="1">
        <v>45935.75277777778</v>
      </c>
      <c r="E7061" s="2">
        <f t="shared" si="110"/>
        <v>56.641666666670062</v>
      </c>
    </row>
    <row r="7062" spans="1:5" x14ac:dyDescent="0.25">
      <c r="A7062" t="s">
        <v>14</v>
      </c>
      <c r="B7062" t="s">
        <v>22</v>
      </c>
      <c r="C7062" s="1">
        <v>46115.633333333331</v>
      </c>
      <c r="D7062" s="1">
        <v>46177.5</v>
      </c>
      <c r="E7062" s="2">
        <f t="shared" si="110"/>
        <v>61.866666666668607</v>
      </c>
    </row>
    <row r="7063" spans="1:5" x14ac:dyDescent="0.25">
      <c r="A7063" t="s">
        <v>5</v>
      </c>
      <c r="B7063" t="s">
        <v>8</v>
      </c>
      <c r="C7063" s="1">
        <v>45777.362500000003</v>
      </c>
      <c r="D7063" s="1">
        <v>45808.435416666667</v>
      </c>
      <c r="E7063" s="2">
        <f t="shared" si="110"/>
        <v>31.072916666664241</v>
      </c>
    </row>
    <row r="7064" spans="1:5" x14ac:dyDescent="0.25">
      <c r="A7064" t="s">
        <v>5</v>
      </c>
      <c r="B7064" t="s">
        <v>8</v>
      </c>
      <c r="C7064" s="1">
        <v>45735.674305555563</v>
      </c>
      <c r="D7064" s="1">
        <v>45764.537499999999</v>
      </c>
      <c r="E7064" s="2">
        <f t="shared" si="110"/>
        <v>28.863194444435067</v>
      </c>
    </row>
    <row r="7065" spans="1:5" x14ac:dyDescent="0.25">
      <c r="A7065" t="s">
        <v>26</v>
      </c>
      <c r="B7065" t="s">
        <v>21</v>
      </c>
      <c r="C7065" s="1">
        <v>46096.73333333333</v>
      </c>
      <c r="D7065" s="1">
        <v>46142.418749999997</v>
      </c>
      <c r="E7065" s="2">
        <f t="shared" si="110"/>
        <v>45.685416666667152</v>
      </c>
    </row>
    <row r="7066" spans="1:5" x14ac:dyDescent="0.25">
      <c r="A7066" t="s">
        <v>20</v>
      </c>
      <c r="B7066" t="s">
        <v>8</v>
      </c>
      <c r="C7066" s="1">
        <v>46025.862500000003</v>
      </c>
      <c r="D7066" s="1">
        <v>46064.25</v>
      </c>
      <c r="E7066" s="2">
        <f t="shared" si="110"/>
        <v>38.38749999999709</v>
      </c>
    </row>
    <row r="7067" spans="1:5" x14ac:dyDescent="0.25">
      <c r="A7067" t="s">
        <v>15</v>
      </c>
      <c r="B7067" t="s">
        <v>19</v>
      </c>
      <c r="C7067" s="1">
        <v>46212.270833333343</v>
      </c>
      <c r="D7067" s="1">
        <v>46247.929166666669</v>
      </c>
      <c r="E7067" s="2">
        <f t="shared" si="110"/>
        <v>35.658333333325572</v>
      </c>
    </row>
    <row r="7068" spans="1:5" x14ac:dyDescent="0.25">
      <c r="A7068" t="s">
        <v>22</v>
      </c>
      <c r="B7068" t="s">
        <v>19</v>
      </c>
      <c r="C7068" s="1">
        <v>46237.129166666673</v>
      </c>
      <c r="D7068" s="1">
        <v>46285.245833333327</v>
      </c>
      <c r="E7068" s="2">
        <f t="shared" si="110"/>
        <v>48.116666666654055</v>
      </c>
    </row>
    <row r="7069" spans="1:5" x14ac:dyDescent="0.25">
      <c r="A7069" t="s">
        <v>10</v>
      </c>
      <c r="B7069" t="s">
        <v>11</v>
      </c>
      <c r="C7069" s="1">
        <v>45943.333333333343</v>
      </c>
      <c r="D7069" s="1">
        <v>45973.103472222218</v>
      </c>
      <c r="E7069" s="2">
        <f t="shared" si="110"/>
        <v>29.770138888874499</v>
      </c>
    </row>
    <row r="7070" spans="1:5" x14ac:dyDescent="0.25">
      <c r="A7070" t="s">
        <v>5</v>
      </c>
      <c r="B7070" t="s">
        <v>8</v>
      </c>
      <c r="C7070" s="1">
        <v>45758.429166666669</v>
      </c>
      <c r="D7070" s="1">
        <v>45789.869444444441</v>
      </c>
      <c r="E7070" s="2">
        <f t="shared" si="110"/>
        <v>31.44027777777228</v>
      </c>
    </row>
    <row r="7071" spans="1:5" x14ac:dyDescent="0.25">
      <c r="A7071" t="s">
        <v>5</v>
      </c>
      <c r="B7071" t="s">
        <v>8</v>
      </c>
      <c r="C7071" s="1">
        <v>46130.83011574074</v>
      </c>
      <c r="D7071" s="1">
        <v>46159.978472222218</v>
      </c>
      <c r="E7071" s="2">
        <f t="shared" si="110"/>
        <v>29.148356481477094</v>
      </c>
    </row>
    <row r="7072" spans="1:5" x14ac:dyDescent="0.25">
      <c r="A7072" t="s">
        <v>5</v>
      </c>
      <c r="B7072" t="s">
        <v>8</v>
      </c>
      <c r="C7072" s="1">
        <v>45715.841666666667</v>
      </c>
      <c r="D7072" s="1">
        <v>45741.816666666673</v>
      </c>
      <c r="E7072" s="2">
        <f t="shared" si="110"/>
        <v>25.975000000005821</v>
      </c>
    </row>
    <row r="7073" spans="1:5" x14ac:dyDescent="0.25">
      <c r="A7073" t="s">
        <v>27</v>
      </c>
      <c r="B7073" t="s">
        <v>18</v>
      </c>
      <c r="C7073" s="1">
        <v>46005.75</v>
      </c>
      <c r="D7073" s="1">
        <v>46063.32708333333</v>
      </c>
      <c r="E7073" s="2">
        <f t="shared" si="110"/>
        <v>57.577083333329938</v>
      </c>
    </row>
    <row r="7074" spans="1:5" x14ac:dyDescent="0.25">
      <c r="A7074" t="s">
        <v>60</v>
      </c>
      <c r="B7074" t="s">
        <v>13</v>
      </c>
      <c r="C7074" s="1">
        <v>45965.375</v>
      </c>
      <c r="D7074" s="1">
        <v>46015.118055555547</v>
      </c>
      <c r="E7074" s="2">
        <f t="shared" si="110"/>
        <v>49.743055555547471</v>
      </c>
    </row>
    <row r="7075" spans="1:5" x14ac:dyDescent="0.25">
      <c r="A7075" t="s">
        <v>12</v>
      </c>
      <c r="B7075" t="s">
        <v>13</v>
      </c>
      <c r="C7075" s="1">
        <v>45749.412499999999</v>
      </c>
      <c r="D7075" s="1">
        <v>45797.95</v>
      </c>
      <c r="E7075" s="2">
        <f t="shared" si="110"/>
        <v>48.537499999998545</v>
      </c>
    </row>
    <row r="7076" spans="1:5" x14ac:dyDescent="0.25">
      <c r="A7076" t="s">
        <v>13</v>
      </c>
      <c r="B7076" t="s">
        <v>8</v>
      </c>
      <c r="C7076" s="1">
        <v>45829.554166666669</v>
      </c>
      <c r="D7076" s="1">
        <v>45854.631944444453</v>
      </c>
      <c r="E7076" s="2">
        <f t="shared" si="110"/>
        <v>25.077777777783922</v>
      </c>
    </row>
    <row r="7077" spans="1:5" x14ac:dyDescent="0.25">
      <c r="A7077" t="s">
        <v>15</v>
      </c>
      <c r="B7077" t="s">
        <v>18</v>
      </c>
      <c r="C7077" s="1">
        <v>46081.041666666657</v>
      </c>
      <c r="D7077" s="1">
        <v>46131.375</v>
      </c>
      <c r="E7077" s="2">
        <f t="shared" si="110"/>
        <v>50.333333333343035</v>
      </c>
    </row>
    <row r="7078" spans="1:5" x14ac:dyDescent="0.25">
      <c r="A7078" t="s">
        <v>16</v>
      </c>
      <c r="B7078" t="s">
        <v>20</v>
      </c>
      <c r="C7078" s="1">
        <v>45714.612500000003</v>
      </c>
      <c r="D7078" s="1">
        <v>45769.580555555563</v>
      </c>
      <c r="E7078" s="2">
        <f t="shared" si="110"/>
        <v>54.968055555560568</v>
      </c>
    </row>
    <row r="7079" spans="1:5" x14ac:dyDescent="0.25">
      <c r="A7079" t="s">
        <v>26</v>
      </c>
      <c r="B7079" t="s">
        <v>21</v>
      </c>
      <c r="C7079" s="1">
        <v>46214.779166666667</v>
      </c>
      <c r="D7079" s="1">
        <v>46254.470833333333</v>
      </c>
      <c r="E7079" s="2">
        <f t="shared" si="110"/>
        <v>39.691666666665697</v>
      </c>
    </row>
    <row r="7080" spans="1:5" x14ac:dyDescent="0.25">
      <c r="A7080" t="s">
        <v>10</v>
      </c>
      <c r="B7080" t="s">
        <v>8</v>
      </c>
      <c r="C7080" s="1">
        <v>46258.895833333343</v>
      </c>
      <c r="D7080" s="1">
        <v>46278.383333333331</v>
      </c>
      <c r="E7080" s="2">
        <f t="shared" si="110"/>
        <v>19.487499999988358</v>
      </c>
    </row>
    <row r="7081" spans="1:5" x14ac:dyDescent="0.25">
      <c r="A7081" t="s">
        <v>12</v>
      </c>
      <c r="B7081" t="s">
        <v>18</v>
      </c>
      <c r="C7081" s="1">
        <v>45715.003472222219</v>
      </c>
      <c r="D7081" s="1">
        <v>45770.936805555553</v>
      </c>
      <c r="E7081" s="2">
        <f t="shared" si="110"/>
        <v>55.933333333334303</v>
      </c>
    </row>
    <row r="7082" spans="1:5" x14ac:dyDescent="0.25">
      <c r="A7082" t="s">
        <v>10</v>
      </c>
      <c r="B7082" t="s">
        <v>8</v>
      </c>
      <c r="C7082" s="1">
        <v>46160.263888888891</v>
      </c>
      <c r="D7082" s="1">
        <v>46180.861805555563</v>
      </c>
      <c r="E7082" s="2">
        <f t="shared" si="110"/>
        <v>20.597916666672972</v>
      </c>
    </row>
    <row r="7083" spans="1:5" x14ac:dyDescent="0.25">
      <c r="A7083" t="s">
        <v>10</v>
      </c>
      <c r="B7083" t="s">
        <v>11</v>
      </c>
      <c r="C7083" s="1">
        <v>45870.351388888892</v>
      </c>
      <c r="D7083" s="1">
        <v>45903.355555555558</v>
      </c>
      <c r="E7083" s="2">
        <f t="shared" si="110"/>
        <v>33.004166666665697</v>
      </c>
    </row>
    <row r="7084" spans="1:5" x14ac:dyDescent="0.25">
      <c r="A7084" t="s">
        <v>12</v>
      </c>
      <c r="B7084" t="s">
        <v>8</v>
      </c>
      <c r="C7084" s="1">
        <v>45933.466666666667</v>
      </c>
      <c r="D7084" s="1">
        <v>45991</v>
      </c>
      <c r="E7084" s="2">
        <f t="shared" si="110"/>
        <v>57.533333333332848</v>
      </c>
    </row>
    <row r="7085" spans="1:5" x14ac:dyDescent="0.25">
      <c r="A7085" t="s">
        <v>5</v>
      </c>
      <c r="B7085" t="s">
        <v>8</v>
      </c>
      <c r="C7085" s="1">
        <v>45758.429166666669</v>
      </c>
      <c r="D7085" s="1">
        <v>45789.869444444441</v>
      </c>
      <c r="E7085" s="2">
        <f t="shared" si="110"/>
        <v>31.44027777777228</v>
      </c>
    </row>
    <row r="7086" spans="1:5" x14ac:dyDescent="0.25">
      <c r="A7086" t="s">
        <v>5</v>
      </c>
      <c r="B7086" t="s">
        <v>8</v>
      </c>
      <c r="C7086" s="1">
        <v>45750.686111111107</v>
      </c>
      <c r="D7086" s="1">
        <v>45782.671527777777</v>
      </c>
      <c r="E7086" s="2">
        <f t="shared" si="110"/>
        <v>31.985416666670062</v>
      </c>
    </row>
    <row r="7087" spans="1:5" x14ac:dyDescent="0.25">
      <c r="A7087" t="s">
        <v>20</v>
      </c>
      <c r="B7087" t="s">
        <v>8</v>
      </c>
      <c r="C7087" s="1">
        <v>45803.866666666669</v>
      </c>
      <c r="D7087" s="1">
        <v>45848.248611111107</v>
      </c>
      <c r="E7087" s="2">
        <f t="shared" si="110"/>
        <v>44.381944444437977</v>
      </c>
    </row>
    <row r="7088" spans="1:5" x14ac:dyDescent="0.25">
      <c r="A7088" t="s">
        <v>19</v>
      </c>
      <c r="B7088" t="s">
        <v>54</v>
      </c>
      <c r="C7088" s="1">
        <v>46167.708333333343</v>
      </c>
      <c r="D7088" s="1">
        <v>46203.429166666669</v>
      </c>
      <c r="E7088" s="2">
        <f t="shared" si="110"/>
        <v>35.720833333325572</v>
      </c>
    </row>
    <row r="7089" spans="1:5" x14ac:dyDescent="0.25">
      <c r="A7089" t="s">
        <v>22</v>
      </c>
      <c r="B7089" t="s">
        <v>19</v>
      </c>
      <c r="C7089" s="1">
        <v>45679.163194444453</v>
      </c>
      <c r="D7089" s="1">
        <v>45755.558333333327</v>
      </c>
      <c r="E7089" s="2">
        <f t="shared" si="110"/>
        <v>76.395138888874499</v>
      </c>
    </row>
    <row r="7090" spans="1:5" x14ac:dyDescent="0.25">
      <c r="A7090" t="s">
        <v>7</v>
      </c>
      <c r="B7090" t="s">
        <v>18</v>
      </c>
      <c r="C7090" s="1">
        <v>46055.548611111109</v>
      </c>
      <c r="D7090" s="1">
        <v>46114.824305555558</v>
      </c>
      <c r="E7090" s="2">
        <f t="shared" si="110"/>
        <v>59.275694444448163</v>
      </c>
    </row>
    <row r="7091" spans="1:5" x14ac:dyDescent="0.25">
      <c r="A7091" t="s">
        <v>7</v>
      </c>
      <c r="B7091" t="s">
        <v>13</v>
      </c>
      <c r="C7091" s="1">
        <v>45915.689583333333</v>
      </c>
      <c r="D7091" s="1">
        <v>45950.791666666657</v>
      </c>
      <c r="E7091" s="2">
        <f t="shared" si="110"/>
        <v>35.102083333324117</v>
      </c>
    </row>
    <row r="7092" spans="1:5" x14ac:dyDescent="0.25">
      <c r="A7092" t="s">
        <v>42</v>
      </c>
      <c r="B7092" t="s">
        <v>19</v>
      </c>
      <c r="C7092" s="1">
        <v>45903.935659722221</v>
      </c>
      <c r="D7092" s="1">
        <v>45945.757638888892</v>
      </c>
      <c r="E7092" s="2">
        <f t="shared" si="110"/>
        <v>41.821979166670644</v>
      </c>
    </row>
    <row r="7093" spans="1:5" x14ac:dyDescent="0.25">
      <c r="A7093" t="s">
        <v>7</v>
      </c>
      <c r="B7093" t="s">
        <v>13</v>
      </c>
      <c r="C7093" s="1">
        <v>45908.104166666657</v>
      </c>
      <c r="D7093" s="1">
        <v>45945.262499999997</v>
      </c>
      <c r="E7093" s="2">
        <f t="shared" si="110"/>
        <v>37.158333333340124</v>
      </c>
    </row>
    <row r="7094" spans="1:5" x14ac:dyDescent="0.25">
      <c r="A7094" t="s">
        <v>7</v>
      </c>
      <c r="B7094" t="s">
        <v>20</v>
      </c>
      <c r="C7094" s="1">
        <v>45971.623611111107</v>
      </c>
      <c r="D7094" s="1">
        <v>46038.643055555563</v>
      </c>
      <c r="E7094" s="2">
        <f t="shared" si="110"/>
        <v>67.019444444456894</v>
      </c>
    </row>
    <row r="7095" spans="1:5" x14ac:dyDescent="0.25">
      <c r="A7095" t="s">
        <v>22</v>
      </c>
      <c r="B7095" t="s">
        <v>19</v>
      </c>
      <c r="C7095" s="1">
        <v>45712.171527777777</v>
      </c>
      <c r="D7095" s="1">
        <v>45778.55</v>
      </c>
      <c r="E7095" s="2">
        <f t="shared" si="110"/>
        <v>66.378472222226264</v>
      </c>
    </row>
    <row r="7096" spans="1:5" x14ac:dyDescent="0.25">
      <c r="A7096" t="s">
        <v>11</v>
      </c>
      <c r="B7096" t="s">
        <v>37</v>
      </c>
      <c r="C7096" s="1">
        <v>45739.8125</v>
      </c>
      <c r="D7096" s="1">
        <v>45755.908333333333</v>
      </c>
      <c r="E7096" s="2">
        <f t="shared" si="110"/>
        <v>16.095833333332848</v>
      </c>
    </row>
    <row r="7097" spans="1:5" x14ac:dyDescent="0.25">
      <c r="A7097" t="s">
        <v>22</v>
      </c>
      <c r="B7097" t="s">
        <v>14</v>
      </c>
      <c r="C7097" s="1">
        <v>45902.175000000003</v>
      </c>
      <c r="D7097" s="1">
        <v>45945.550694444442</v>
      </c>
      <c r="E7097" s="2">
        <f t="shared" si="110"/>
        <v>43.375694444439432</v>
      </c>
    </row>
    <row r="7098" spans="1:5" x14ac:dyDescent="0.25">
      <c r="A7098" t="s">
        <v>11</v>
      </c>
      <c r="B7098" t="s">
        <v>21</v>
      </c>
      <c r="C7098" s="1">
        <v>45941.916666666657</v>
      </c>
      <c r="D7098" s="1">
        <v>45951.8</v>
      </c>
      <c r="E7098" s="2">
        <f t="shared" si="110"/>
        <v>9.883333333345945</v>
      </c>
    </row>
    <row r="7099" spans="1:5" x14ac:dyDescent="0.25">
      <c r="A7099" t="s">
        <v>22</v>
      </c>
      <c r="B7099" t="s">
        <v>19</v>
      </c>
      <c r="C7099" s="1">
        <v>45754.168738425928</v>
      </c>
      <c r="D7099" s="1">
        <v>45816.841666666667</v>
      </c>
      <c r="E7099" s="2">
        <f t="shared" si="110"/>
        <v>62.672928240739566</v>
      </c>
    </row>
    <row r="7100" spans="1:5" x14ac:dyDescent="0.25">
      <c r="A7100" t="s">
        <v>8</v>
      </c>
      <c r="B7100" t="s">
        <v>13</v>
      </c>
      <c r="C7100" s="1">
        <v>45828.992361111108</v>
      </c>
      <c r="D7100" s="1">
        <v>45862.43472222222</v>
      </c>
      <c r="E7100" s="2">
        <f t="shared" si="110"/>
        <v>33.442361111112405</v>
      </c>
    </row>
    <row r="7101" spans="1:5" x14ac:dyDescent="0.25">
      <c r="A7101" t="s">
        <v>14</v>
      </c>
      <c r="B7101" t="s">
        <v>34</v>
      </c>
      <c r="C7101" s="1">
        <v>45801.86515046296</v>
      </c>
      <c r="D7101" s="1">
        <v>45829.6875</v>
      </c>
      <c r="E7101" s="2">
        <f t="shared" si="110"/>
        <v>27.822349537040282</v>
      </c>
    </row>
    <row r="7102" spans="1:5" x14ac:dyDescent="0.25">
      <c r="A7102" t="s">
        <v>15</v>
      </c>
      <c r="B7102" t="s">
        <v>38</v>
      </c>
      <c r="C7102" s="1">
        <v>46232.938194444447</v>
      </c>
      <c r="D7102" s="1">
        <v>46279.83085648148</v>
      </c>
      <c r="E7102" s="2">
        <f t="shared" si="110"/>
        <v>46.892662037033006</v>
      </c>
    </row>
    <row r="7103" spans="1:5" x14ac:dyDescent="0.25">
      <c r="A7103" t="s">
        <v>8</v>
      </c>
      <c r="B7103" t="s">
        <v>13</v>
      </c>
      <c r="C7103" s="1">
        <v>45800.517361111109</v>
      </c>
      <c r="D7103" s="1">
        <v>45832.662499999999</v>
      </c>
      <c r="E7103" s="2">
        <f t="shared" si="110"/>
        <v>32.145138888889051</v>
      </c>
    </row>
    <row r="7104" spans="1:5" x14ac:dyDescent="0.25">
      <c r="A7104" t="s">
        <v>11</v>
      </c>
      <c r="B7104" t="s">
        <v>37</v>
      </c>
      <c r="C7104" s="1">
        <v>45896.645833333343</v>
      </c>
      <c r="D7104" s="1">
        <v>45912.51666666667</v>
      </c>
      <c r="E7104" s="2">
        <f t="shared" si="110"/>
        <v>15.870833333327028</v>
      </c>
    </row>
    <row r="7105" spans="1:5" x14ac:dyDescent="0.25">
      <c r="A7105" t="s">
        <v>34</v>
      </c>
      <c r="B7105" t="s">
        <v>13</v>
      </c>
      <c r="C7105" s="1">
        <v>45809.745972222219</v>
      </c>
      <c r="D7105" s="1">
        <v>45835.224999999999</v>
      </c>
      <c r="E7105" s="2">
        <f t="shared" si="110"/>
        <v>25.479027777779265</v>
      </c>
    </row>
    <row r="7106" spans="1:5" x14ac:dyDescent="0.25">
      <c r="A7106" t="s">
        <v>11</v>
      </c>
      <c r="B7106" t="s">
        <v>37</v>
      </c>
      <c r="C7106" s="1">
        <v>45792.61105324074</v>
      </c>
      <c r="D7106" s="1">
        <v>45804.3</v>
      </c>
      <c r="E7106" s="2">
        <f t="shared" ref="E7106:E7169" si="111">D7106-C7106</f>
        <v>11.688946759262762</v>
      </c>
    </row>
    <row r="7107" spans="1:5" x14ac:dyDescent="0.25">
      <c r="A7107" t="s">
        <v>10</v>
      </c>
      <c r="B7107" t="s">
        <v>11</v>
      </c>
      <c r="C7107" s="1">
        <v>45731.370983796303</v>
      </c>
      <c r="D7107" s="1">
        <v>45762.859317129631</v>
      </c>
      <c r="E7107" s="2">
        <f t="shared" si="111"/>
        <v>31.488333333327319</v>
      </c>
    </row>
    <row r="7108" spans="1:5" x14ac:dyDescent="0.25">
      <c r="A7108" t="s">
        <v>8</v>
      </c>
      <c r="B7108" t="s">
        <v>13</v>
      </c>
      <c r="C7108" s="1">
        <v>45785.938738425917</v>
      </c>
      <c r="D7108" s="1">
        <v>45818.029166666667</v>
      </c>
      <c r="E7108" s="2">
        <f t="shared" si="111"/>
        <v>32.090428240750043</v>
      </c>
    </row>
    <row r="7109" spans="1:5" x14ac:dyDescent="0.25">
      <c r="A7109" t="s">
        <v>8</v>
      </c>
      <c r="B7109" t="s">
        <v>13</v>
      </c>
      <c r="C7109" s="1">
        <v>45926.987500000003</v>
      </c>
      <c r="D7109" s="1">
        <v>45951.145833333343</v>
      </c>
      <c r="E7109" s="2">
        <f t="shared" si="111"/>
        <v>24.158333333340124</v>
      </c>
    </row>
    <row r="7110" spans="1:5" x14ac:dyDescent="0.25">
      <c r="A7110" t="s">
        <v>22</v>
      </c>
      <c r="B7110" t="s">
        <v>14</v>
      </c>
      <c r="C7110" s="1">
        <v>45679.180462962962</v>
      </c>
      <c r="D7110" s="1">
        <v>45735.804166666669</v>
      </c>
      <c r="E7110" s="2">
        <f t="shared" si="111"/>
        <v>56.623703703706269</v>
      </c>
    </row>
    <row r="7111" spans="1:5" x14ac:dyDescent="0.25">
      <c r="A7111" t="s">
        <v>34</v>
      </c>
      <c r="B7111" t="s">
        <v>13</v>
      </c>
      <c r="C7111" s="1">
        <v>45900.658622685187</v>
      </c>
      <c r="D7111" s="1">
        <v>45926.012499999997</v>
      </c>
      <c r="E7111" s="2">
        <f t="shared" si="111"/>
        <v>25.353877314810234</v>
      </c>
    </row>
    <row r="7112" spans="1:5" x14ac:dyDescent="0.25">
      <c r="A7112" t="s">
        <v>34</v>
      </c>
      <c r="B7112" t="s">
        <v>13</v>
      </c>
      <c r="C7112" s="1">
        <v>45992.475694444453</v>
      </c>
      <c r="D7112" s="1">
        <v>46024.011111111111</v>
      </c>
      <c r="E7112" s="2">
        <f t="shared" si="111"/>
        <v>31.535416666658421</v>
      </c>
    </row>
    <row r="7113" spans="1:5" x14ac:dyDescent="0.25">
      <c r="A7113" t="s">
        <v>15</v>
      </c>
      <c r="B7113" t="s">
        <v>13</v>
      </c>
      <c r="C7113" s="1">
        <v>46064.895833333343</v>
      </c>
      <c r="D7113" s="1">
        <v>46115.525694444441</v>
      </c>
      <c r="E7113" s="2">
        <f t="shared" si="111"/>
        <v>50.629861111097853</v>
      </c>
    </row>
    <row r="7114" spans="1:5" x14ac:dyDescent="0.25">
      <c r="A7114" t="s">
        <v>22</v>
      </c>
      <c r="B7114" t="s">
        <v>19</v>
      </c>
      <c r="C7114" s="1">
        <v>45679.180462962962</v>
      </c>
      <c r="D7114" s="1">
        <v>45755.54792824074</v>
      </c>
      <c r="E7114" s="2">
        <f t="shared" si="111"/>
        <v>76.367465277777228</v>
      </c>
    </row>
    <row r="7115" spans="1:5" x14ac:dyDescent="0.25">
      <c r="A7115" t="s">
        <v>11</v>
      </c>
      <c r="B7115" t="s">
        <v>37</v>
      </c>
      <c r="C7115" s="1">
        <v>45663.671898148154</v>
      </c>
      <c r="D7115" s="1">
        <v>45678.612500000003</v>
      </c>
      <c r="E7115" s="2">
        <f t="shared" si="111"/>
        <v>14.940601851849351</v>
      </c>
    </row>
    <row r="7116" spans="1:5" x14ac:dyDescent="0.25">
      <c r="A7116" t="s">
        <v>7</v>
      </c>
      <c r="B7116" t="s">
        <v>20</v>
      </c>
      <c r="C7116" s="1">
        <v>45811.097222222219</v>
      </c>
      <c r="D7116" s="1">
        <v>45860.850694444453</v>
      </c>
      <c r="E7116" s="2">
        <f t="shared" si="111"/>
        <v>49.75347222223354</v>
      </c>
    </row>
    <row r="7117" spans="1:5" x14ac:dyDescent="0.25">
      <c r="A7117" t="s">
        <v>22</v>
      </c>
      <c r="B7117" t="s">
        <v>14</v>
      </c>
      <c r="C7117" s="1">
        <v>45936.666666666657</v>
      </c>
      <c r="D7117" s="1">
        <v>45980.79583333333</v>
      </c>
      <c r="E7117" s="2">
        <f t="shared" si="111"/>
        <v>44.129166666672972</v>
      </c>
    </row>
    <row r="7118" spans="1:5" x14ac:dyDescent="0.25">
      <c r="A7118" t="s">
        <v>19</v>
      </c>
      <c r="B7118" t="s">
        <v>11</v>
      </c>
      <c r="C7118" s="1">
        <v>46233.271064814813</v>
      </c>
      <c r="D7118" s="1">
        <v>46274.031782407408</v>
      </c>
      <c r="E7118" s="2">
        <f t="shared" si="111"/>
        <v>40.760717592595029</v>
      </c>
    </row>
    <row r="7119" spans="1:5" x14ac:dyDescent="0.25">
      <c r="A7119" t="s">
        <v>10</v>
      </c>
      <c r="B7119" t="s">
        <v>11</v>
      </c>
      <c r="C7119" s="1">
        <v>45714.706921296303</v>
      </c>
      <c r="D7119" s="1">
        <v>45749.220833333333</v>
      </c>
      <c r="E7119" s="2">
        <f t="shared" si="111"/>
        <v>34.513912037029513</v>
      </c>
    </row>
    <row r="7120" spans="1:5" x14ac:dyDescent="0.25">
      <c r="A7120" t="s">
        <v>22</v>
      </c>
      <c r="B7120" t="s">
        <v>14</v>
      </c>
      <c r="C7120" s="1">
        <v>45873.847222222219</v>
      </c>
      <c r="D7120" s="1">
        <v>45919.291666666657</v>
      </c>
      <c r="E7120" s="2">
        <f t="shared" si="111"/>
        <v>45.444444444437977</v>
      </c>
    </row>
    <row r="7121" spans="1:5" x14ac:dyDescent="0.25">
      <c r="A7121" t="s">
        <v>11</v>
      </c>
      <c r="B7121" t="s">
        <v>37</v>
      </c>
      <c r="C7121" s="1">
        <v>46124.326388888891</v>
      </c>
      <c r="D7121" s="1">
        <v>46141.252083333333</v>
      </c>
      <c r="E7121" s="2">
        <f t="shared" si="111"/>
        <v>16.925694444442343</v>
      </c>
    </row>
    <row r="7122" spans="1:5" x14ac:dyDescent="0.25">
      <c r="A7122" t="s">
        <v>22</v>
      </c>
      <c r="B7122" t="s">
        <v>14</v>
      </c>
      <c r="C7122" s="1">
        <v>45809.553287037037</v>
      </c>
      <c r="D7122" s="1">
        <v>45854.8125</v>
      </c>
      <c r="E7122" s="2">
        <f t="shared" si="111"/>
        <v>45.25921296296292</v>
      </c>
    </row>
    <row r="7123" spans="1:5" x14ac:dyDescent="0.25">
      <c r="A7123" t="s">
        <v>14</v>
      </c>
      <c r="B7123" t="s">
        <v>34</v>
      </c>
      <c r="C7123" s="1">
        <v>45871.047013888892</v>
      </c>
      <c r="D7123" s="1">
        <v>45899.791666666657</v>
      </c>
      <c r="E7123" s="2">
        <f t="shared" si="111"/>
        <v>28.744652777764713</v>
      </c>
    </row>
    <row r="7124" spans="1:5" x14ac:dyDescent="0.25">
      <c r="A7124" t="s">
        <v>11</v>
      </c>
      <c r="B7124" t="s">
        <v>21</v>
      </c>
      <c r="C7124" s="1">
        <v>46207.272673611107</v>
      </c>
      <c r="D7124" s="1">
        <v>46217.568749999999</v>
      </c>
      <c r="E7124" s="2">
        <f t="shared" si="111"/>
        <v>10.296076388891379</v>
      </c>
    </row>
    <row r="7125" spans="1:5" x14ac:dyDescent="0.25">
      <c r="A7125" t="s">
        <v>15</v>
      </c>
      <c r="B7125" t="s">
        <v>38</v>
      </c>
      <c r="C7125" s="1">
        <v>46218.020833333343</v>
      </c>
      <c r="D7125" s="1">
        <v>46263.936111111107</v>
      </c>
      <c r="E7125" s="2">
        <f t="shared" si="111"/>
        <v>45.915277777763549</v>
      </c>
    </row>
    <row r="7126" spans="1:5" x14ac:dyDescent="0.25">
      <c r="A7126" t="s">
        <v>8</v>
      </c>
      <c r="B7126" t="s">
        <v>13</v>
      </c>
      <c r="C7126" s="1">
        <v>46019.675000000003</v>
      </c>
      <c r="D7126" s="1">
        <v>46048.083333333343</v>
      </c>
      <c r="E7126" s="2">
        <f t="shared" si="111"/>
        <v>28.408333333340124</v>
      </c>
    </row>
    <row r="7127" spans="1:5" x14ac:dyDescent="0.25">
      <c r="A7127" t="s">
        <v>34</v>
      </c>
      <c r="B7127" t="s">
        <v>13</v>
      </c>
      <c r="C7127" s="1">
        <v>45781.413981481477</v>
      </c>
      <c r="D7127" s="1">
        <v>45807.228252314817</v>
      </c>
      <c r="E7127" s="2">
        <f t="shared" si="111"/>
        <v>25.814270833339833</v>
      </c>
    </row>
    <row r="7128" spans="1:5" x14ac:dyDescent="0.25">
      <c r="A7128" t="s">
        <v>22</v>
      </c>
      <c r="B7128" t="s">
        <v>19</v>
      </c>
      <c r="C7128" s="1">
        <v>45712.171527777777</v>
      </c>
      <c r="D7128" s="1">
        <v>45778.55</v>
      </c>
      <c r="E7128" s="2">
        <f t="shared" si="111"/>
        <v>66.378472222226264</v>
      </c>
    </row>
    <row r="7129" spans="1:5" x14ac:dyDescent="0.25">
      <c r="A7129" t="s">
        <v>22</v>
      </c>
      <c r="B7129" t="s">
        <v>14</v>
      </c>
      <c r="C7129" s="1">
        <v>45690.94027777778</v>
      </c>
      <c r="D7129" s="1">
        <v>45735.804166666669</v>
      </c>
      <c r="E7129" s="2">
        <f t="shared" si="111"/>
        <v>44.863888888889051</v>
      </c>
    </row>
    <row r="7130" spans="1:5" x14ac:dyDescent="0.25">
      <c r="A7130" t="s">
        <v>15</v>
      </c>
      <c r="B7130" t="s">
        <v>13</v>
      </c>
      <c r="C7130" s="1">
        <v>46023.19027777778</v>
      </c>
      <c r="D7130" s="1">
        <v>46072.587500000001</v>
      </c>
      <c r="E7130" s="2">
        <f t="shared" si="111"/>
        <v>49.397222222221899</v>
      </c>
    </row>
    <row r="7131" spans="1:5" x14ac:dyDescent="0.25">
      <c r="A7131" t="s">
        <v>22</v>
      </c>
      <c r="B7131" t="s">
        <v>19</v>
      </c>
      <c r="C7131" s="1">
        <v>45705.035416666673</v>
      </c>
      <c r="D7131" s="1">
        <v>45773.758333333331</v>
      </c>
      <c r="E7131" s="2">
        <f t="shared" si="111"/>
        <v>68.722916666658421</v>
      </c>
    </row>
    <row r="7132" spans="1:5" x14ac:dyDescent="0.25">
      <c r="A7132" t="s">
        <v>34</v>
      </c>
      <c r="B7132" t="s">
        <v>13</v>
      </c>
      <c r="C7132" s="1">
        <v>46189.27244212963</v>
      </c>
      <c r="D7132" s="1">
        <v>46214.01458333333</v>
      </c>
      <c r="E7132" s="2">
        <f t="shared" si="111"/>
        <v>24.742141203700157</v>
      </c>
    </row>
    <row r="7133" spans="1:5" x14ac:dyDescent="0.25">
      <c r="A7133" t="s">
        <v>22</v>
      </c>
      <c r="B7133" t="s">
        <v>14</v>
      </c>
      <c r="C7133" s="1">
        <v>45690.94027777778</v>
      </c>
      <c r="D7133" s="1">
        <v>45735.804166666669</v>
      </c>
      <c r="E7133" s="2">
        <f t="shared" si="111"/>
        <v>44.863888888889051</v>
      </c>
    </row>
    <row r="7134" spans="1:5" x14ac:dyDescent="0.25">
      <c r="A7134" t="s">
        <v>40</v>
      </c>
      <c r="B7134" t="s">
        <v>37</v>
      </c>
      <c r="C7134" s="1">
        <v>45876.970833333333</v>
      </c>
      <c r="D7134" s="1">
        <v>45889.170543981483</v>
      </c>
      <c r="E7134" s="2">
        <f t="shared" si="111"/>
        <v>12.199710648150358</v>
      </c>
    </row>
    <row r="7135" spans="1:5" x14ac:dyDescent="0.25">
      <c r="A7135" t="s">
        <v>11</v>
      </c>
      <c r="B7135" t="s">
        <v>37</v>
      </c>
      <c r="C7135" s="1">
        <v>45874.208333333343</v>
      </c>
      <c r="D7135" s="1">
        <v>45889.170543981483</v>
      </c>
      <c r="E7135" s="2">
        <f t="shared" si="111"/>
        <v>14.962210648140172</v>
      </c>
    </row>
    <row r="7136" spans="1:5" x14ac:dyDescent="0.25">
      <c r="A7136" t="s">
        <v>34</v>
      </c>
      <c r="B7136" t="s">
        <v>13</v>
      </c>
      <c r="C7136" s="1">
        <v>45992.475694444453</v>
      </c>
      <c r="D7136" s="1">
        <v>46024.011111111111</v>
      </c>
      <c r="E7136" s="2">
        <f t="shared" si="111"/>
        <v>31.535416666658421</v>
      </c>
    </row>
    <row r="7137" spans="1:5" x14ac:dyDescent="0.25">
      <c r="A7137" t="s">
        <v>34</v>
      </c>
      <c r="B7137" t="s">
        <v>13</v>
      </c>
      <c r="C7137" s="1">
        <v>46167.447222222218</v>
      </c>
      <c r="D7137" s="1">
        <v>46191.282638888893</v>
      </c>
      <c r="E7137" s="2">
        <f t="shared" si="111"/>
        <v>23.835416666675883</v>
      </c>
    </row>
    <row r="7138" spans="1:5" x14ac:dyDescent="0.25">
      <c r="A7138" t="s">
        <v>15</v>
      </c>
      <c r="B7138" t="s">
        <v>13</v>
      </c>
      <c r="C7138" s="1">
        <v>46086.0625</v>
      </c>
      <c r="D7138" s="1">
        <v>46125.76458333333</v>
      </c>
      <c r="E7138" s="2">
        <f t="shared" si="111"/>
        <v>39.702083333329938</v>
      </c>
    </row>
    <row r="7139" spans="1:5" x14ac:dyDescent="0.25">
      <c r="A7139" t="s">
        <v>7</v>
      </c>
      <c r="B7139" t="s">
        <v>20</v>
      </c>
      <c r="C7139" s="1">
        <v>46069.774305555547</v>
      </c>
      <c r="D7139" s="1">
        <v>46127.35833333333</v>
      </c>
      <c r="E7139" s="2">
        <f t="shared" si="111"/>
        <v>57.584027777782467</v>
      </c>
    </row>
    <row r="7140" spans="1:5" x14ac:dyDescent="0.25">
      <c r="A7140" t="s">
        <v>22</v>
      </c>
      <c r="B7140" t="s">
        <v>19</v>
      </c>
      <c r="C7140" s="1">
        <v>45763.170138888891</v>
      </c>
      <c r="D7140" s="1">
        <v>45816.841666666667</v>
      </c>
      <c r="E7140" s="2">
        <f t="shared" si="111"/>
        <v>53.671527777776646</v>
      </c>
    </row>
    <row r="7141" spans="1:5" x14ac:dyDescent="0.25">
      <c r="A7141" t="s">
        <v>11</v>
      </c>
      <c r="B7141" t="s">
        <v>37</v>
      </c>
      <c r="C7141" s="1">
        <v>45874.223391203697</v>
      </c>
      <c r="D7141" s="1">
        <v>45889.158333333333</v>
      </c>
      <c r="E7141" s="2">
        <f t="shared" si="111"/>
        <v>14.934942129635601</v>
      </c>
    </row>
    <row r="7142" spans="1:5" x14ac:dyDescent="0.25">
      <c r="A7142" t="s">
        <v>8</v>
      </c>
      <c r="B7142" t="s">
        <v>13</v>
      </c>
      <c r="C7142" s="1">
        <v>45779.232569444437</v>
      </c>
      <c r="D7142" s="1">
        <v>45811.554675925923</v>
      </c>
      <c r="E7142" s="2">
        <f t="shared" si="111"/>
        <v>32.322106481486117</v>
      </c>
    </row>
    <row r="7143" spans="1:5" x14ac:dyDescent="0.25">
      <c r="A7143" t="s">
        <v>10</v>
      </c>
      <c r="B7143" t="s">
        <v>11</v>
      </c>
      <c r="C7143" s="1">
        <v>45899.158333333333</v>
      </c>
      <c r="D7143" s="1">
        <v>45931.845833333333</v>
      </c>
      <c r="E7143" s="2">
        <f t="shared" si="111"/>
        <v>32.6875</v>
      </c>
    </row>
    <row r="7144" spans="1:5" x14ac:dyDescent="0.25">
      <c r="A7144" t="s">
        <v>15</v>
      </c>
      <c r="B7144" t="s">
        <v>13</v>
      </c>
      <c r="C7144" s="1">
        <v>46198.539953703701</v>
      </c>
      <c r="D7144" s="1">
        <v>46236.826388888891</v>
      </c>
      <c r="E7144" s="2">
        <f t="shared" si="111"/>
        <v>38.286435185189475</v>
      </c>
    </row>
    <row r="7145" spans="1:5" x14ac:dyDescent="0.25">
      <c r="A7145" t="s">
        <v>8</v>
      </c>
      <c r="B7145" t="s">
        <v>13</v>
      </c>
      <c r="C7145" s="1">
        <v>46103.223611111112</v>
      </c>
      <c r="D7145" s="1">
        <v>46132.859027777777</v>
      </c>
      <c r="E7145" s="2">
        <f t="shared" si="111"/>
        <v>29.635416666664241</v>
      </c>
    </row>
    <row r="7146" spans="1:5" x14ac:dyDescent="0.25">
      <c r="A7146" t="s">
        <v>15</v>
      </c>
      <c r="B7146" t="s">
        <v>13</v>
      </c>
      <c r="C7146" s="1">
        <v>46133.9375</v>
      </c>
      <c r="D7146" s="1">
        <v>46173.727777777778</v>
      </c>
      <c r="E7146" s="2">
        <f t="shared" si="111"/>
        <v>39.790277777778101</v>
      </c>
    </row>
    <row r="7147" spans="1:5" x14ac:dyDescent="0.25">
      <c r="A7147" t="s">
        <v>22</v>
      </c>
      <c r="B7147" t="s">
        <v>19</v>
      </c>
      <c r="C7147" s="1">
        <v>45679.180462962962</v>
      </c>
      <c r="D7147" s="1">
        <v>45755.558333333327</v>
      </c>
      <c r="E7147" s="2">
        <f t="shared" si="111"/>
        <v>76.37787037036469</v>
      </c>
    </row>
    <row r="7148" spans="1:5" x14ac:dyDescent="0.25">
      <c r="A7148" t="s">
        <v>15</v>
      </c>
      <c r="B7148" t="s">
        <v>38</v>
      </c>
      <c r="C7148" s="1">
        <v>46123.006377314807</v>
      </c>
      <c r="D7148" s="1">
        <v>46167.224999999999</v>
      </c>
      <c r="E7148" s="2">
        <f t="shared" si="111"/>
        <v>44.218622685191804</v>
      </c>
    </row>
    <row r="7149" spans="1:5" x14ac:dyDescent="0.25">
      <c r="A7149" t="s">
        <v>11</v>
      </c>
      <c r="B7149" t="s">
        <v>37</v>
      </c>
      <c r="C7149" s="1">
        <v>45663.672048611108</v>
      </c>
      <c r="D7149" s="1">
        <v>45678.612500000003</v>
      </c>
      <c r="E7149" s="2">
        <f t="shared" si="111"/>
        <v>14.940451388894871</v>
      </c>
    </row>
    <row r="7150" spans="1:5" x14ac:dyDescent="0.25">
      <c r="A7150" t="s">
        <v>15</v>
      </c>
      <c r="B7150" t="s">
        <v>38</v>
      </c>
      <c r="C7150" s="1">
        <v>46232.938194444447</v>
      </c>
      <c r="D7150" s="1">
        <v>46279.838194444441</v>
      </c>
      <c r="E7150" s="2">
        <f t="shared" si="111"/>
        <v>46.899999999994179</v>
      </c>
    </row>
    <row r="7151" spans="1:5" x14ac:dyDescent="0.25">
      <c r="A7151" t="s">
        <v>14</v>
      </c>
      <c r="B7151" t="s">
        <v>22</v>
      </c>
      <c r="C7151" s="1">
        <v>46033.320138888892</v>
      </c>
      <c r="D7151" s="1">
        <v>46083.322916666657</v>
      </c>
      <c r="E7151" s="2">
        <f t="shared" si="111"/>
        <v>50.002777777765004</v>
      </c>
    </row>
    <row r="7152" spans="1:5" x14ac:dyDescent="0.25">
      <c r="A7152" t="s">
        <v>18</v>
      </c>
      <c r="B7152" t="s">
        <v>27</v>
      </c>
      <c r="C7152" s="1">
        <v>45663.288194444453</v>
      </c>
      <c r="D7152" s="1">
        <v>45735.613009259258</v>
      </c>
      <c r="E7152" s="2">
        <f t="shared" si="111"/>
        <v>72.324814814804995</v>
      </c>
    </row>
    <row r="7153" spans="1:5" x14ac:dyDescent="0.25">
      <c r="A7153" t="s">
        <v>22</v>
      </c>
      <c r="B7153" t="s">
        <v>14</v>
      </c>
      <c r="C7153" s="1">
        <v>45726.180520833332</v>
      </c>
      <c r="D7153" s="1">
        <v>45771.811805555553</v>
      </c>
      <c r="E7153" s="2">
        <f t="shared" si="111"/>
        <v>45.631284722221608</v>
      </c>
    </row>
    <row r="7154" spans="1:5" x14ac:dyDescent="0.25">
      <c r="A7154" t="s">
        <v>15</v>
      </c>
      <c r="B7154" t="s">
        <v>38</v>
      </c>
      <c r="C7154" s="1">
        <v>46123.006377314807</v>
      </c>
      <c r="D7154" s="1">
        <v>46167.224999999999</v>
      </c>
      <c r="E7154" s="2">
        <f t="shared" si="111"/>
        <v>44.218622685191804</v>
      </c>
    </row>
    <row r="7155" spans="1:5" x14ac:dyDescent="0.25">
      <c r="A7155" t="s">
        <v>11</v>
      </c>
      <c r="B7155" t="s">
        <v>37</v>
      </c>
      <c r="C7155" s="1">
        <v>46026.289583333331</v>
      </c>
      <c r="D7155" s="1">
        <v>46043.29</v>
      </c>
      <c r="E7155" s="2">
        <f t="shared" si="111"/>
        <v>17.00041666666948</v>
      </c>
    </row>
    <row r="7156" spans="1:5" x14ac:dyDescent="0.25">
      <c r="A7156" t="s">
        <v>22</v>
      </c>
      <c r="B7156" t="s">
        <v>14</v>
      </c>
      <c r="C7156" s="1">
        <v>45866.008518518523</v>
      </c>
      <c r="D7156" s="1">
        <v>45911.3</v>
      </c>
      <c r="E7156" s="2">
        <f t="shared" si="111"/>
        <v>45.291481481479423</v>
      </c>
    </row>
    <row r="7157" spans="1:5" x14ac:dyDescent="0.25">
      <c r="A7157" t="s">
        <v>19</v>
      </c>
      <c r="B7157" t="s">
        <v>11</v>
      </c>
      <c r="C7157" s="1">
        <v>46178.551469907397</v>
      </c>
      <c r="D7157" s="1">
        <v>46217.786111111112</v>
      </c>
      <c r="E7157" s="2">
        <f t="shared" si="111"/>
        <v>39.234641203715</v>
      </c>
    </row>
    <row r="7158" spans="1:5" x14ac:dyDescent="0.25">
      <c r="A7158" t="s">
        <v>22</v>
      </c>
      <c r="B7158" t="s">
        <v>14</v>
      </c>
      <c r="C7158" s="1">
        <v>45922.163194444453</v>
      </c>
      <c r="D7158" s="1">
        <v>45966.55</v>
      </c>
      <c r="E7158" s="2">
        <f t="shared" si="111"/>
        <v>44.386805555550382</v>
      </c>
    </row>
    <row r="7159" spans="1:5" x14ac:dyDescent="0.25">
      <c r="A7159" t="s">
        <v>7</v>
      </c>
      <c r="B7159" t="s">
        <v>20</v>
      </c>
      <c r="C7159" s="1">
        <v>45853.118055555547</v>
      </c>
      <c r="D7159" s="1">
        <v>45902.989583333343</v>
      </c>
      <c r="E7159" s="2">
        <f t="shared" si="111"/>
        <v>49.871527777795563</v>
      </c>
    </row>
    <row r="7160" spans="1:5" x14ac:dyDescent="0.25">
      <c r="A7160" t="s">
        <v>61</v>
      </c>
      <c r="B7160" t="s">
        <v>62</v>
      </c>
      <c r="C7160" s="1">
        <v>45982.786805555559</v>
      </c>
      <c r="D7160" s="1">
        <v>46025.083333333343</v>
      </c>
      <c r="E7160" s="2">
        <f t="shared" si="111"/>
        <v>42.296527777783922</v>
      </c>
    </row>
    <row r="7161" spans="1:5" x14ac:dyDescent="0.25">
      <c r="A7161" t="s">
        <v>22</v>
      </c>
      <c r="B7161" t="s">
        <v>19</v>
      </c>
      <c r="C7161" s="1">
        <v>45719.029166666667</v>
      </c>
      <c r="D7161" s="1">
        <v>45794</v>
      </c>
      <c r="E7161" s="2">
        <f t="shared" si="111"/>
        <v>74.970833333332848</v>
      </c>
    </row>
    <row r="7162" spans="1:5" x14ac:dyDescent="0.25">
      <c r="A7162" t="s">
        <v>22</v>
      </c>
      <c r="B7162" t="s">
        <v>19</v>
      </c>
      <c r="C7162" s="1">
        <v>45768.991863425923</v>
      </c>
      <c r="D7162" s="1">
        <v>45835.866666666669</v>
      </c>
      <c r="E7162" s="2">
        <f t="shared" si="111"/>
        <v>66.874803240745678</v>
      </c>
    </row>
    <row r="7163" spans="1:5" x14ac:dyDescent="0.25">
      <c r="A7163" t="s">
        <v>22</v>
      </c>
      <c r="B7163" t="s">
        <v>19</v>
      </c>
      <c r="C7163" s="1">
        <v>45705.035416666673</v>
      </c>
      <c r="D7163" s="1">
        <v>45773.758333333331</v>
      </c>
      <c r="E7163" s="2">
        <f t="shared" si="111"/>
        <v>68.722916666658421</v>
      </c>
    </row>
    <row r="7164" spans="1:5" x14ac:dyDescent="0.25">
      <c r="A7164" t="s">
        <v>13</v>
      </c>
      <c r="B7164" t="s">
        <v>8</v>
      </c>
      <c r="C7164" s="1">
        <v>46222.043749999997</v>
      </c>
      <c r="D7164" s="1">
        <v>46244.741666666669</v>
      </c>
      <c r="E7164" s="2">
        <f t="shared" si="111"/>
        <v>22.697916666671517</v>
      </c>
    </row>
    <row r="7165" spans="1:5" x14ac:dyDescent="0.25">
      <c r="A7165" t="s">
        <v>40</v>
      </c>
      <c r="B7165" t="s">
        <v>37</v>
      </c>
      <c r="C7165" s="1">
        <v>45921.006944444453</v>
      </c>
      <c r="D7165" s="1">
        <v>45932.691666666673</v>
      </c>
      <c r="E7165" s="2">
        <f t="shared" si="111"/>
        <v>11.684722222220444</v>
      </c>
    </row>
    <row r="7166" spans="1:5" x14ac:dyDescent="0.25">
      <c r="A7166" t="s">
        <v>7</v>
      </c>
      <c r="B7166" t="s">
        <v>20</v>
      </c>
      <c r="C7166" s="1">
        <v>46027.7</v>
      </c>
      <c r="D7166" s="1">
        <v>46080.408333333333</v>
      </c>
      <c r="E7166" s="2">
        <f t="shared" si="111"/>
        <v>52.708333333335759</v>
      </c>
    </row>
    <row r="7167" spans="1:5" x14ac:dyDescent="0.25">
      <c r="A7167" t="s">
        <v>15</v>
      </c>
      <c r="B7167" t="s">
        <v>38</v>
      </c>
      <c r="C7167" s="1">
        <v>46232.95076388889</v>
      </c>
      <c r="D7167" s="1">
        <v>46279.838194444441</v>
      </c>
      <c r="E7167" s="2">
        <f t="shared" si="111"/>
        <v>46.887430555550964</v>
      </c>
    </row>
    <row r="7168" spans="1:5" x14ac:dyDescent="0.25">
      <c r="A7168" t="s">
        <v>15</v>
      </c>
      <c r="B7168" t="s">
        <v>38</v>
      </c>
      <c r="C7168" s="1">
        <v>46192.579826388886</v>
      </c>
      <c r="D7168" s="1">
        <v>46246.558333333327</v>
      </c>
      <c r="E7168" s="2">
        <f t="shared" si="111"/>
        <v>53.978506944440596</v>
      </c>
    </row>
    <row r="7169" spans="1:5" x14ac:dyDescent="0.25">
      <c r="A7169" t="s">
        <v>8</v>
      </c>
      <c r="B7169" t="s">
        <v>13</v>
      </c>
      <c r="C7169" s="1">
        <v>46172.870833333327</v>
      </c>
      <c r="D7169" s="1">
        <v>46202.074305555558</v>
      </c>
      <c r="E7169" s="2">
        <f t="shared" si="111"/>
        <v>29.20347222223063</v>
      </c>
    </row>
    <row r="7170" spans="1:5" x14ac:dyDescent="0.25">
      <c r="A7170" t="s">
        <v>8</v>
      </c>
      <c r="B7170" t="s">
        <v>13</v>
      </c>
      <c r="C7170" s="1">
        <v>45880.894247685188</v>
      </c>
      <c r="D7170" s="1">
        <v>45903.324999999997</v>
      </c>
      <c r="E7170" s="2">
        <f t="shared" ref="E7170:E7233" si="112">D7170-C7170</f>
        <v>22.43075231480907</v>
      </c>
    </row>
    <row r="7171" spans="1:5" x14ac:dyDescent="0.25">
      <c r="A7171" t="s">
        <v>15</v>
      </c>
      <c r="B7171" t="s">
        <v>38</v>
      </c>
      <c r="C7171" s="1">
        <v>46232.95076388889</v>
      </c>
      <c r="D7171" s="1">
        <v>46276.415277777778</v>
      </c>
      <c r="E7171" s="2">
        <f t="shared" si="112"/>
        <v>43.464513888888177</v>
      </c>
    </row>
    <row r="7172" spans="1:5" x14ac:dyDescent="0.25">
      <c r="A7172" t="s">
        <v>8</v>
      </c>
      <c r="B7172" t="s">
        <v>13</v>
      </c>
      <c r="C7172" s="1">
        <v>45800.517361111109</v>
      </c>
      <c r="D7172" s="1">
        <v>45832.662499999999</v>
      </c>
      <c r="E7172" s="2">
        <f t="shared" si="112"/>
        <v>32.145138888889051</v>
      </c>
    </row>
    <row r="7173" spans="1:5" x14ac:dyDescent="0.25">
      <c r="A7173" t="s">
        <v>18</v>
      </c>
      <c r="B7173" t="s">
        <v>27</v>
      </c>
      <c r="C7173" s="1">
        <v>45791.520833333343</v>
      </c>
      <c r="D7173" s="1">
        <v>45857.347222222219</v>
      </c>
      <c r="E7173" s="2">
        <f t="shared" si="112"/>
        <v>65.826388888875954</v>
      </c>
    </row>
    <row r="7174" spans="1:5" x14ac:dyDescent="0.25">
      <c r="A7174" t="s">
        <v>14</v>
      </c>
      <c r="B7174" t="s">
        <v>34</v>
      </c>
      <c r="C7174" s="1">
        <v>45871.047013888892</v>
      </c>
      <c r="D7174" s="1">
        <v>45899.791666666657</v>
      </c>
      <c r="E7174" s="2">
        <f t="shared" si="112"/>
        <v>28.744652777764713</v>
      </c>
    </row>
    <row r="7175" spans="1:5" x14ac:dyDescent="0.25">
      <c r="A7175" t="s">
        <v>34</v>
      </c>
      <c r="B7175" t="s">
        <v>13</v>
      </c>
      <c r="C7175" s="1">
        <v>46261.480173611111</v>
      </c>
      <c r="D7175" s="1">
        <v>46284.494444444441</v>
      </c>
      <c r="E7175" s="2">
        <f t="shared" si="112"/>
        <v>23.014270833329647</v>
      </c>
    </row>
    <row r="7176" spans="1:5" x14ac:dyDescent="0.25">
      <c r="A7176" t="s">
        <v>34</v>
      </c>
      <c r="B7176" t="s">
        <v>13</v>
      </c>
      <c r="C7176" s="1">
        <v>46173.881585648152</v>
      </c>
      <c r="D7176" s="1">
        <v>46198.293055555558</v>
      </c>
      <c r="E7176" s="2">
        <f t="shared" si="112"/>
        <v>24.411469907405262</v>
      </c>
    </row>
    <row r="7177" spans="1:5" x14ac:dyDescent="0.25">
      <c r="A7177" t="s">
        <v>15</v>
      </c>
      <c r="B7177" t="s">
        <v>38</v>
      </c>
      <c r="C7177" s="1">
        <v>46024.241666666669</v>
      </c>
      <c r="D7177" s="1">
        <v>46070.679166666669</v>
      </c>
      <c r="E7177" s="2">
        <f t="shared" si="112"/>
        <v>46.4375</v>
      </c>
    </row>
    <row r="7178" spans="1:5" x14ac:dyDescent="0.25">
      <c r="A7178" t="s">
        <v>15</v>
      </c>
      <c r="B7178" t="s">
        <v>38</v>
      </c>
      <c r="C7178" s="1">
        <v>46066.779861111107</v>
      </c>
      <c r="D7178" s="1">
        <v>46111.243750000001</v>
      </c>
      <c r="E7178" s="2">
        <f t="shared" si="112"/>
        <v>44.463888888894871</v>
      </c>
    </row>
    <row r="7179" spans="1:5" x14ac:dyDescent="0.25">
      <c r="A7179" t="s">
        <v>15</v>
      </c>
      <c r="B7179" t="s">
        <v>38</v>
      </c>
      <c r="C7179" s="1">
        <v>46095.359722222223</v>
      </c>
      <c r="D7179" s="1">
        <v>46139.943055555559</v>
      </c>
      <c r="E7179" s="2">
        <f t="shared" si="112"/>
        <v>44.583333333335759</v>
      </c>
    </row>
    <row r="7180" spans="1:5" x14ac:dyDescent="0.25">
      <c r="A7180" t="s">
        <v>15</v>
      </c>
      <c r="B7180" t="s">
        <v>38</v>
      </c>
      <c r="C7180" s="1">
        <v>46052.8125</v>
      </c>
      <c r="D7180" s="1">
        <v>46097.245833333327</v>
      </c>
      <c r="E7180" s="2">
        <f t="shared" si="112"/>
        <v>44.433333333327028</v>
      </c>
    </row>
    <row r="7181" spans="1:5" x14ac:dyDescent="0.25">
      <c r="A7181" t="s">
        <v>15</v>
      </c>
      <c r="B7181" t="s">
        <v>38</v>
      </c>
      <c r="C7181" s="1">
        <v>46066.779861111107</v>
      </c>
      <c r="D7181" s="1">
        <v>46118.693749999999</v>
      </c>
      <c r="E7181" s="2">
        <f t="shared" si="112"/>
        <v>51.913888888891961</v>
      </c>
    </row>
    <row r="7182" spans="1:5" x14ac:dyDescent="0.25">
      <c r="A7182" t="s">
        <v>15</v>
      </c>
      <c r="B7182" t="s">
        <v>38</v>
      </c>
      <c r="C7182" s="1">
        <v>46086.5625</v>
      </c>
      <c r="D7182" s="1">
        <v>46132.223611111112</v>
      </c>
      <c r="E7182" s="2">
        <f t="shared" si="112"/>
        <v>45.661111111112405</v>
      </c>
    </row>
    <row r="7183" spans="1:5" x14ac:dyDescent="0.25">
      <c r="A7183" t="s">
        <v>15</v>
      </c>
      <c r="B7183" t="s">
        <v>38</v>
      </c>
      <c r="C7183" s="1">
        <v>46024.241666666669</v>
      </c>
      <c r="D7183" s="1">
        <v>46070.679166666669</v>
      </c>
      <c r="E7183" s="2">
        <f t="shared" si="112"/>
        <v>46.4375</v>
      </c>
    </row>
    <row r="7184" spans="1:5" x14ac:dyDescent="0.25">
      <c r="A7184" t="s">
        <v>15</v>
      </c>
      <c r="B7184" t="s">
        <v>38</v>
      </c>
      <c r="C7184" s="1">
        <v>46095.359722222223</v>
      </c>
      <c r="D7184" s="1">
        <v>46139.943055555559</v>
      </c>
      <c r="E7184" s="2">
        <f t="shared" si="112"/>
        <v>44.583333333335759</v>
      </c>
    </row>
    <row r="7185" spans="1:5" x14ac:dyDescent="0.25">
      <c r="A7185" t="s">
        <v>15</v>
      </c>
      <c r="B7185" t="s">
        <v>38</v>
      </c>
      <c r="C7185" s="1">
        <v>46066.779861111107</v>
      </c>
      <c r="D7185" s="1">
        <v>46111.243750000001</v>
      </c>
      <c r="E7185" s="2">
        <f t="shared" si="112"/>
        <v>44.463888888894871</v>
      </c>
    </row>
    <row r="7186" spans="1:5" x14ac:dyDescent="0.25">
      <c r="A7186" t="s">
        <v>15</v>
      </c>
      <c r="B7186" t="s">
        <v>38</v>
      </c>
      <c r="C7186" s="1">
        <v>46066.779861111107</v>
      </c>
      <c r="D7186" s="1">
        <v>46111.243750000001</v>
      </c>
      <c r="E7186" s="2">
        <f t="shared" si="112"/>
        <v>44.463888888894871</v>
      </c>
    </row>
    <row r="7187" spans="1:5" x14ac:dyDescent="0.25">
      <c r="A7187" t="s">
        <v>15</v>
      </c>
      <c r="B7187" t="s">
        <v>38</v>
      </c>
      <c r="C7187" s="1">
        <v>46024.241666666669</v>
      </c>
      <c r="D7187" s="1">
        <v>46070.679166666669</v>
      </c>
      <c r="E7187" s="2">
        <f t="shared" si="112"/>
        <v>46.4375</v>
      </c>
    </row>
    <row r="7188" spans="1:5" x14ac:dyDescent="0.25">
      <c r="A7188" t="s">
        <v>15</v>
      </c>
      <c r="B7188" t="s">
        <v>38</v>
      </c>
      <c r="C7188" s="1">
        <v>46059.645833333343</v>
      </c>
      <c r="D7188" s="1">
        <v>46104.324999999997</v>
      </c>
      <c r="E7188" s="2">
        <f t="shared" si="112"/>
        <v>44.679166666654055</v>
      </c>
    </row>
    <row r="7189" spans="1:5" x14ac:dyDescent="0.25">
      <c r="A7189" t="s">
        <v>15</v>
      </c>
      <c r="B7189" t="s">
        <v>38</v>
      </c>
      <c r="C7189" s="1">
        <v>46066.779861111107</v>
      </c>
      <c r="D7189" s="1">
        <v>46111.243750000001</v>
      </c>
      <c r="E7189" s="2">
        <f t="shared" si="112"/>
        <v>44.463888888894871</v>
      </c>
    </row>
    <row r="7190" spans="1:5" x14ac:dyDescent="0.25">
      <c r="A7190" t="s">
        <v>15</v>
      </c>
      <c r="B7190" t="s">
        <v>38</v>
      </c>
      <c r="C7190" s="1">
        <v>46109.229166666657</v>
      </c>
      <c r="D7190" s="1">
        <v>46153.0625</v>
      </c>
      <c r="E7190" s="2">
        <f t="shared" si="112"/>
        <v>43.833333333343035</v>
      </c>
    </row>
    <row r="7191" spans="1:5" x14ac:dyDescent="0.25">
      <c r="A7191" t="s">
        <v>15</v>
      </c>
      <c r="B7191" t="s">
        <v>38</v>
      </c>
      <c r="C7191" s="1">
        <v>46052.8125</v>
      </c>
      <c r="D7191" s="1">
        <v>46097.245833333327</v>
      </c>
      <c r="E7191" s="2">
        <f t="shared" si="112"/>
        <v>44.433333333327028</v>
      </c>
    </row>
    <row r="7192" spans="1:5" x14ac:dyDescent="0.25">
      <c r="A7192" t="s">
        <v>15</v>
      </c>
      <c r="B7192" t="s">
        <v>18</v>
      </c>
      <c r="C7192" s="1">
        <v>46177.465486111112</v>
      </c>
      <c r="D7192" s="1">
        <v>46246.278900462959</v>
      </c>
      <c r="E7192" s="2">
        <f t="shared" si="112"/>
        <v>68.813414351847314</v>
      </c>
    </row>
    <row r="7193" spans="1:5" x14ac:dyDescent="0.25">
      <c r="A7193" t="s">
        <v>15</v>
      </c>
      <c r="B7193" t="s">
        <v>38</v>
      </c>
      <c r="C7193" s="1">
        <v>46066.779861111107</v>
      </c>
      <c r="D7193" s="1">
        <v>46111.243750000001</v>
      </c>
      <c r="E7193" s="2">
        <f t="shared" si="112"/>
        <v>44.463888888894871</v>
      </c>
    </row>
    <row r="7194" spans="1:5" x14ac:dyDescent="0.25">
      <c r="A7194" t="s">
        <v>15</v>
      </c>
      <c r="B7194" t="s">
        <v>38</v>
      </c>
      <c r="C7194" s="1">
        <v>46101.166666666657</v>
      </c>
      <c r="D7194" s="1">
        <v>46145.947916666657</v>
      </c>
      <c r="E7194" s="2">
        <f t="shared" si="112"/>
        <v>44.78125</v>
      </c>
    </row>
    <row r="7195" spans="1:5" x14ac:dyDescent="0.25">
      <c r="A7195" t="s">
        <v>15</v>
      </c>
      <c r="B7195" t="s">
        <v>38</v>
      </c>
      <c r="C7195" s="1">
        <v>46109.229166666657</v>
      </c>
      <c r="D7195" s="1">
        <v>46153.0625</v>
      </c>
      <c r="E7195" s="2">
        <f t="shared" si="112"/>
        <v>43.833333333343035</v>
      </c>
    </row>
    <row r="7196" spans="1:5" x14ac:dyDescent="0.25">
      <c r="A7196" t="s">
        <v>15</v>
      </c>
      <c r="B7196" t="s">
        <v>38</v>
      </c>
      <c r="C7196" s="1">
        <v>46109.229166666657</v>
      </c>
      <c r="D7196" s="1">
        <v>46153.0625</v>
      </c>
      <c r="E7196" s="2">
        <f t="shared" si="112"/>
        <v>43.833333333343035</v>
      </c>
    </row>
    <row r="7197" spans="1:5" x14ac:dyDescent="0.25">
      <c r="A7197" t="s">
        <v>15</v>
      </c>
      <c r="B7197" t="s">
        <v>18</v>
      </c>
      <c r="C7197" s="1">
        <v>46177.46466435185</v>
      </c>
      <c r="D7197" s="1">
        <v>46246.278900462959</v>
      </c>
      <c r="E7197" s="2">
        <f t="shared" si="112"/>
        <v>68.814236111109494</v>
      </c>
    </row>
    <row r="7198" spans="1:5" x14ac:dyDescent="0.25">
      <c r="A7198" t="s">
        <v>15</v>
      </c>
      <c r="B7198" t="s">
        <v>38</v>
      </c>
      <c r="C7198" s="1">
        <v>46109.229166666657</v>
      </c>
      <c r="D7198" s="1">
        <v>46153.0625</v>
      </c>
      <c r="E7198" s="2">
        <f t="shared" si="112"/>
        <v>43.833333333343035</v>
      </c>
    </row>
    <row r="7199" spans="1:5" x14ac:dyDescent="0.25">
      <c r="A7199" t="s">
        <v>15</v>
      </c>
      <c r="B7199" t="s">
        <v>38</v>
      </c>
      <c r="C7199" s="1">
        <v>46059.645833333343</v>
      </c>
      <c r="D7199" s="1">
        <v>46104.324999999997</v>
      </c>
      <c r="E7199" s="2">
        <f t="shared" si="112"/>
        <v>44.679166666654055</v>
      </c>
    </row>
    <row r="7200" spans="1:5" x14ac:dyDescent="0.25">
      <c r="A7200" t="s">
        <v>15</v>
      </c>
      <c r="B7200" t="s">
        <v>38</v>
      </c>
      <c r="C7200" s="1">
        <v>46031.853472222218</v>
      </c>
      <c r="D7200" s="1">
        <v>46075.982638888891</v>
      </c>
      <c r="E7200" s="2">
        <f t="shared" si="112"/>
        <v>44.129166666672972</v>
      </c>
    </row>
    <row r="7201" spans="1:5" x14ac:dyDescent="0.25">
      <c r="A7201" t="s">
        <v>15</v>
      </c>
      <c r="B7201" t="s">
        <v>38</v>
      </c>
      <c r="C7201" s="1">
        <v>46037.900694444441</v>
      </c>
      <c r="D7201" s="1">
        <v>46083.218055555553</v>
      </c>
      <c r="E7201" s="2">
        <f t="shared" si="112"/>
        <v>45.317361111112405</v>
      </c>
    </row>
    <row r="7202" spans="1:5" x14ac:dyDescent="0.25">
      <c r="A7202" t="s">
        <v>15</v>
      </c>
      <c r="B7202" t="s">
        <v>38</v>
      </c>
      <c r="C7202" s="1">
        <v>46003.495833333327</v>
      </c>
      <c r="D7202" s="1">
        <v>46050.574305555558</v>
      </c>
      <c r="E7202" s="2">
        <f t="shared" si="112"/>
        <v>47.07847222223063</v>
      </c>
    </row>
    <row r="7203" spans="1:5" x14ac:dyDescent="0.25">
      <c r="A7203" t="s">
        <v>11</v>
      </c>
      <c r="B7203" t="s">
        <v>37</v>
      </c>
      <c r="C7203" s="1">
        <v>45690.337372685193</v>
      </c>
      <c r="D7203" s="1">
        <v>45707.291666666657</v>
      </c>
      <c r="E7203" s="2">
        <f t="shared" si="112"/>
        <v>16.954293981463707</v>
      </c>
    </row>
    <row r="7204" spans="1:5" x14ac:dyDescent="0.25">
      <c r="A7204" t="s">
        <v>11</v>
      </c>
      <c r="B7204" t="s">
        <v>21</v>
      </c>
      <c r="C7204" s="1">
        <v>46059.073611111111</v>
      </c>
      <c r="D7204" s="1">
        <v>46070.507638888892</v>
      </c>
      <c r="E7204" s="2">
        <f t="shared" si="112"/>
        <v>11.434027777781012</v>
      </c>
    </row>
    <row r="7205" spans="1:5" x14ac:dyDescent="0.25">
      <c r="A7205" t="s">
        <v>34</v>
      </c>
      <c r="B7205" t="s">
        <v>13</v>
      </c>
      <c r="C7205" s="1">
        <v>46086.439583333333</v>
      </c>
      <c r="D7205" s="1">
        <v>46122.525000000001</v>
      </c>
      <c r="E7205" s="2">
        <f t="shared" si="112"/>
        <v>36.085416666668607</v>
      </c>
    </row>
    <row r="7206" spans="1:5" x14ac:dyDescent="0.25">
      <c r="A7206" t="s">
        <v>18</v>
      </c>
      <c r="B7206" t="s">
        <v>27</v>
      </c>
      <c r="C7206" s="1">
        <v>45749.263981481483</v>
      </c>
      <c r="D7206" s="1">
        <v>45819.925000000003</v>
      </c>
      <c r="E7206" s="2">
        <f t="shared" si="112"/>
        <v>70.661018518519995</v>
      </c>
    </row>
    <row r="7207" spans="1:5" x14ac:dyDescent="0.25">
      <c r="A7207" t="s">
        <v>15</v>
      </c>
      <c r="B7207" t="s">
        <v>18</v>
      </c>
      <c r="C7207" s="1">
        <v>46226.007013888891</v>
      </c>
      <c r="D7207" s="1">
        <v>46269.724999999999</v>
      </c>
      <c r="E7207" s="2">
        <f t="shared" si="112"/>
        <v>43.717986111107166</v>
      </c>
    </row>
    <row r="7208" spans="1:5" x14ac:dyDescent="0.25">
      <c r="A7208" t="s">
        <v>34</v>
      </c>
      <c r="B7208" t="s">
        <v>13</v>
      </c>
      <c r="C7208" s="1">
        <v>45970.10833333333</v>
      </c>
      <c r="D7208" s="1">
        <v>45995.737500000003</v>
      </c>
      <c r="E7208" s="2">
        <f t="shared" si="112"/>
        <v>25.629166666672972</v>
      </c>
    </row>
    <row r="7209" spans="1:5" x14ac:dyDescent="0.25">
      <c r="A7209" t="s">
        <v>22</v>
      </c>
      <c r="B7209" t="s">
        <v>19</v>
      </c>
      <c r="C7209" s="1">
        <v>45726.157638888893</v>
      </c>
      <c r="D7209" s="1">
        <v>45794.54583333333</v>
      </c>
      <c r="E7209" s="2">
        <f t="shared" si="112"/>
        <v>68.388194444436522</v>
      </c>
    </row>
    <row r="7210" spans="1:5" x14ac:dyDescent="0.25">
      <c r="A7210" t="s">
        <v>34</v>
      </c>
      <c r="B7210" t="s">
        <v>13</v>
      </c>
      <c r="C7210" s="1">
        <v>46020.304166666669</v>
      </c>
      <c r="D7210" s="1">
        <v>46060.847916666673</v>
      </c>
      <c r="E7210" s="2">
        <f t="shared" si="112"/>
        <v>40.543750000004366</v>
      </c>
    </row>
    <row r="7211" spans="1:5" x14ac:dyDescent="0.25">
      <c r="A7211" t="s">
        <v>22</v>
      </c>
      <c r="B7211" t="s">
        <v>14</v>
      </c>
      <c r="C7211" s="1">
        <v>45910.17083333333</v>
      </c>
      <c r="D7211" s="1">
        <v>45966.55</v>
      </c>
      <c r="E7211" s="2">
        <f t="shared" si="112"/>
        <v>56.379166666672972</v>
      </c>
    </row>
    <row r="7212" spans="1:5" x14ac:dyDescent="0.25">
      <c r="A7212" t="s">
        <v>14</v>
      </c>
      <c r="B7212" t="s">
        <v>22</v>
      </c>
      <c r="C7212" s="1">
        <v>46196.043194444443</v>
      </c>
      <c r="D7212" s="1">
        <v>46256.322916666657</v>
      </c>
      <c r="E7212" s="2">
        <f t="shared" si="112"/>
        <v>60.279722222214332</v>
      </c>
    </row>
    <row r="7213" spans="1:5" x14ac:dyDescent="0.25">
      <c r="A7213" t="s">
        <v>7</v>
      </c>
      <c r="B7213" t="s">
        <v>13</v>
      </c>
      <c r="C7213" s="1">
        <v>46237.588229166657</v>
      </c>
      <c r="D7213" s="1">
        <v>46273.025694444441</v>
      </c>
      <c r="E7213" s="2">
        <f t="shared" si="112"/>
        <v>35.437465277784213</v>
      </c>
    </row>
    <row r="7214" spans="1:5" x14ac:dyDescent="0.25">
      <c r="A7214" t="s">
        <v>15</v>
      </c>
      <c r="B7214" t="s">
        <v>38</v>
      </c>
      <c r="C7214" s="1">
        <v>46123.006377314807</v>
      </c>
      <c r="D7214" s="1">
        <v>46167.224999999999</v>
      </c>
      <c r="E7214" s="2">
        <f t="shared" si="112"/>
        <v>44.218622685191804</v>
      </c>
    </row>
    <row r="7215" spans="1:5" x14ac:dyDescent="0.25">
      <c r="A7215" t="s">
        <v>15</v>
      </c>
      <c r="B7215" t="s">
        <v>38</v>
      </c>
      <c r="C7215" s="1">
        <v>46150.083182870367</v>
      </c>
      <c r="D7215" s="1">
        <v>46196.245833333327</v>
      </c>
      <c r="E7215" s="2">
        <f t="shared" si="112"/>
        <v>46.162650462960301</v>
      </c>
    </row>
    <row r="7216" spans="1:5" x14ac:dyDescent="0.25">
      <c r="A7216" t="s">
        <v>19</v>
      </c>
      <c r="B7216" t="s">
        <v>11</v>
      </c>
      <c r="C7216" s="1">
        <v>46233.271064814813</v>
      </c>
      <c r="D7216" s="1">
        <v>46274.031782407408</v>
      </c>
      <c r="E7216" s="2">
        <f t="shared" si="112"/>
        <v>40.760717592595029</v>
      </c>
    </row>
    <row r="7217" spans="1:5" x14ac:dyDescent="0.25">
      <c r="A7217" t="s">
        <v>11</v>
      </c>
      <c r="B7217" t="s">
        <v>21</v>
      </c>
      <c r="C7217" s="1">
        <v>46059.073611111111</v>
      </c>
      <c r="D7217" s="1">
        <v>46070.507638888892</v>
      </c>
      <c r="E7217" s="2">
        <f t="shared" si="112"/>
        <v>11.434027777781012</v>
      </c>
    </row>
    <row r="7218" spans="1:5" x14ac:dyDescent="0.25">
      <c r="A7218" t="s">
        <v>22</v>
      </c>
      <c r="B7218" t="s">
        <v>6</v>
      </c>
      <c r="C7218" s="1">
        <v>45719.029166666667</v>
      </c>
      <c r="D7218" s="1">
        <v>45783.35833333333</v>
      </c>
      <c r="E7218" s="2">
        <f t="shared" si="112"/>
        <v>64.329166666662786</v>
      </c>
    </row>
    <row r="7219" spans="1:5" x14ac:dyDescent="0.25">
      <c r="A7219" t="s">
        <v>7</v>
      </c>
      <c r="B7219" t="s">
        <v>8</v>
      </c>
      <c r="C7219" s="1">
        <v>45822.8</v>
      </c>
      <c r="D7219" s="1">
        <v>45875.612500000003</v>
      </c>
      <c r="E7219" s="2">
        <f t="shared" si="112"/>
        <v>52.8125</v>
      </c>
    </row>
    <row r="7220" spans="1:5" x14ac:dyDescent="0.25">
      <c r="A7220" t="s">
        <v>12</v>
      </c>
      <c r="B7220" t="s">
        <v>8</v>
      </c>
      <c r="C7220" s="1">
        <v>46101.967361111107</v>
      </c>
      <c r="D7220" s="1">
        <v>46144.908333333333</v>
      </c>
      <c r="E7220" s="2">
        <f t="shared" si="112"/>
        <v>42.940972222226264</v>
      </c>
    </row>
    <row r="7221" spans="1:5" x14ac:dyDescent="0.25">
      <c r="A7221" t="s">
        <v>27</v>
      </c>
      <c r="B7221" t="s">
        <v>18</v>
      </c>
      <c r="C7221" s="1">
        <v>45972.5</v>
      </c>
      <c r="D7221" s="1">
        <v>46035.51666666667</v>
      </c>
      <c r="E7221" s="2">
        <f t="shared" si="112"/>
        <v>63.016666666670062</v>
      </c>
    </row>
    <row r="7222" spans="1:5" x14ac:dyDescent="0.25">
      <c r="A7222" t="s">
        <v>27</v>
      </c>
      <c r="B7222" t="s">
        <v>18</v>
      </c>
      <c r="C7222" s="1">
        <v>46060.466666666667</v>
      </c>
      <c r="D7222" s="1">
        <v>46119.064583333333</v>
      </c>
      <c r="E7222" s="2">
        <f t="shared" si="112"/>
        <v>58.597916666665697</v>
      </c>
    </row>
    <row r="7223" spans="1:5" x14ac:dyDescent="0.25">
      <c r="A7223" t="s">
        <v>22</v>
      </c>
      <c r="B7223" t="s">
        <v>51</v>
      </c>
      <c r="C7223" s="1">
        <v>45687.697916666657</v>
      </c>
      <c r="D7223" s="1">
        <v>45759.482638888891</v>
      </c>
      <c r="E7223" s="2">
        <f t="shared" si="112"/>
        <v>71.78472222223354</v>
      </c>
    </row>
    <row r="7224" spans="1:5" x14ac:dyDescent="0.25">
      <c r="A7224" t="s">
        <v>22</v>
      </c>
      <c r="B7224" t="s">
        <v>19</v>
      </c>
      <c r="C7224" s="1">
        <v>45797.0625</v>
      </c>
      <c r="D7224" s="1">
        <v>45847.847916666673</v>
      </c>
      <c r="E7224" s="2">
        <f t="shared" si="112"/>
        <v>50.785416666672972</v>
      </c>
    </row>
    <row r="7225" spans="1:5" x14ac:dyDescent="0.25">
      <c r="A7225" t="s">
        <v>22</v>
      </c>
      <c r="B7225" t="s">
        <v>19</v>
      </c>
      <c r="C7225" s="1">
        <v>46077.848611111112</v>
      </c>
      <c r="D7225" s="1">
        <v>46133.517361111109</v>
      </c>
      <c r="E7225" s="2">
        <f t="shared" si="112"/>
        <v>55.66874999999709</v>
      </c>
    </row>
    <row r="7226" spans="1:5" x14ac:dyDescent="0.25">
      <c r="A7226" t="s">
        <v>15</v>
      </c>
      <c r="B7226" t="s">
        <v>20</v>
      </c>
      <c r="C7226" s="1">
        <v>46232.020833333343</v>
      </c>
      <c r="D7226" s="1">
        <v>46276.762499999997</v>
      </c>
      <c r="E7226" s="2">
        <f t="shared" si="112"/>
        <v>44.741666666654055</v>
      </c>
    </row>
    <row r="7227" spans="1:5" x14ac:dyDescent="0.25">
      <c r="A7227" t="s">
        <v>15</v>
      </c>
      <c r="B7227" t="s">
        <v>8</v>
      </c>
      <c r="C7227" s="1">
        <v>46108.948611111111</v>
      </c>
      <c r="D7227" s="1">
        <v>46144.908333333333</v>
      </c>
      <c r="E7227" s="2">
        <f t="shared" si="112"/>
        <v>35.959722222221899</v>
      </c>
    </row>
    <row r="7228" spans="1:5" x14ac:dyDescent="0.25">
      <c r="A7228" t="s">
        <v>15</v>
      </c>
      <c r="B7228" t="s">
        <v>16</v>
      </c>
      <c r="C7228" s="1">
        <v>46183.310416666667</v>
      </c>
      <c r="D7228" s="1">
        <v>46199.682638888888</v>
      </c>
      <c r="E7228" s="2">
        <f t="shared" si="112"/>
        <v>16.372222222220444</v>
      </c>
    </row>
    <row r="7229" spans="1:5" x14ac:dyDescent="0.25">
      <c r="A7229" t="s">
        <v>15</v>
      </c>
      <c r="B7229" t="s">
        <v>16</v>
      </c>
      <c r="C7229" s="1">
        <v>46163.05972222222</v>
      </c>
      <c r="D7229" s="1">
        <v>46179.949305555558</v>
      </c>
      <c r="E7229" s="2">
        <f t="shared" si="112"/>
        <v>16.889583333337214</v>
      </c>
    </row>
    <row r="7230" spans="1:5" x14ac:dyDescent="0.25">
      <c r="A7230" t="s">
        <v>15</v>
      </c>
      <c r="B7230" t="s">
        <v>16</v>
      </c>
      <c r="C7230" s="1">
        <v>46224.649305555547</v>
      </c>
      <c r="D7230" s="1">
        <v>46246.352083333331</v>
      </c>
      <c r="E7230" s="2">
        <f t="shared" si="112"/>
        <v>21.702777777783922</v>
      </c>
    </row>
    <row r="7231" spans="1:5" x14ac:dyDescent="0.25">
      <c r="A7231" t="s">
        <v>15</v>
      </c>
      <c r="B7231" t="s">
        <v>8</v>
      </c>
      <c r="C7231" s="1">
        <v>46240.884722222218</v>
      </c>
      <c r="D7231" s="1">
        <v>46278.113888888889</v>
      </c>
      <c r="E7231" s="2">
        <f t="shared" si="112"/>
        <v>37.229166666671517</v>
      </c>
    </row>
    <row r="7232" spans="1:5" x14ac:dyDescent="0.25">
      <c r="A7232" t="s">
        <v>15</v>
      </c>
      <c r="B7232" t="s">
        <v>8</v>
      </c>
      <c r="C7232" s="1">
        <v>46229.473611111112</v>
      </c>
      <c r="D7232" s="1">
        <v>46268.117361111108</v>
      </c>
      <c r="E7232" s="2">
        <f t="shared" si="112"/>
        <v>38.643749999995634</v>
      </c>
    </row>
    <row r="7233" spans="1:5" x14ac:dyDescent="0.25">
      <c r="A7233" t="s">
        <v>15</v>
      </c>
      <c r="B7233" t="s">
        <v>16</v>
      </c>
      <c r="C7233" s="1">
        <v>46157.376388888893</v>
      </c>
      <c r="D7233" s="1">
        <v>46175.399305555547</v>
      </c>
      <c r="E7233" s="2">
        <f t="shared" si="112"/>
        <v>18.022916666654055</v>
      </c>
    </row>
    <row r="7234" spans="1:5" x14ac:dyDescent="0.25">
      <c r="A7234" t="s">
        <v>15</v>
      </c>
      <c r="B7234" t="s">
        <v>8</v>
      </c>
      <c r="C7234" s="1">
        <v>46152.666666666657</v>
      </c>
      <c r="D7234" s="1">
        <v>46191.105555555558</v>
      </c>
      <c r="E7234" s="2">
        <f t="shared" ref="E7234:E7297" si="113">D7234-C7234</f>
        <v>38.438888888900692</v>
      </c>
    </row>
    <row r="7235" spans="1:5" x14ac:dyDescent="0.25">
      <c r="A7235" t="s">
        <v>15</v>
      </c>
      <c r="B7235" t="s">
        <v>16</v>
      </c>
      <c r="C7235" s="1">
        <v>46239.307638888888</v>
      </c>
      <c r="D7235" s="1">
        <v>46266.073611111111</v>
      </c>
      <c r="E7235" s="2">
        <f t="shared" si="113"/>
        <v>26.765972222223354</v>
      </c>
    </row>
    <row r="7236" spans="1:5" x14ac:dyDescent="0.25">
      <c r="A7236" t="s">
        <v>15</v>
      </c>
      <c r="B7236" t="s">
        <v>8</v>
      </c>
      <c r="C7236" s="1">
        <v>46170.982638888891</v>
      </c>
      <c r="D7236" s="1">
        <v>46212.701388888891</v>
      </c>
      <c r="E7236" s="2">
        <f t="shared" si="113"/>
        <v>41.71875</v>
      </c>
    </row>
    <row r="7237" spans="1:5" x14ac:dyDescent="0.25">
      <c r="A7237" t="s">
        <v>15</v>
      </c>
      <c r="B7237" t="s">
        <v>16</v>
      </c>
      <c r="C7237" s="1">
        <v>46194.166666666657</v>
      </c>
      <c r="D7237" s="1">
        <v>46214.020138888889</v>
      </c>
      <c r="E7237" s="2">
        <f t="shared" si="113"/>
        <v>19.853472222232085</v>
      </c>
    </row>
    <row r="7238" spans="1:5" x14ac:dyDescent="0.25">
      <c r="A7238" t="s">
        <v>22</v>
      </c>
      <c r="B7238" t="s">
        <v>14</v>
      </c>
      <c r="C7238" s="1">
        <v>45817.694351851853</v>
      </c>
      <c r="D7238" s="1">
        <v>45863.320138888892</v>
      </c>
      <c r="E7238" s="2">
        <f t="shared" si="113"/>
        <v>45.625787037039117</v>
      </c>
    </row>
    <row r="7239" spans="1:5" x14ac:dyDescent="0.25">
      <c r="A7239" t="s">
        <v>10</v>
      </c>
      <c r="B7239" t="s">
        <v>11</v>
      </c>
      <c r="C7239" s="1">
        <v>45723.718472222223</v>
      </c>
      <c r="D7239" s="1">
        <v>45755.904166666667</v>
      </c>
      <c r="E7239" s="2">
        <f t="shared" si="113"/>
        <v>32.18569444444438</v>
      </c>
    </row>
    <row r="7240" spans="1:5" x14ac:dyDescent="0.25">
      <c r="A7240" t="s">
        <v>28</v>
      </c>
      <c r="B7240" t="s">
        <v>18</v>
      </c>
      <c r="C7240" s="1">
        <v>45862.888888888891</v>
      </c>
      <c r="D7240" s="1">
        <v>45948</v>
      </c>
      <c r="E7240" s="2">
        <f t="shared" si="113"/>
        <v>85.111111111109494</v>
      </c>
    </row>
    <row r="7241" spans="1:5" x14ac:dyDescent="0.25">
      <c r="A7241" t="s">
        <v>34</v>
      </c>
      <c r="B7241" t="s">
        <v>13</v>
      </c>
      <c r="C7241" s="1">
        <v>46020.304166666669</v>
      </c>
      <c r="D7241" s="1">
        <v>46060.847916666673</v>
      </c>
      <c r="E7241" s="2">
        <f t="shared" si="113"/>
        <v>40.543750000004366</v>
      </c>
    </row>
    <row r="7242" spans="1:5" x14ac:dyDescent="0.25">
      <c r="A7242" t="s">
        <v>8</v>
      </c>
      <c r="B7242" t="s">
        <v>18</v>
      </c>
      <c r="C7242" s="1">
        <v>46177.366666666669</v>
      </c>
      <c r="D7242" s="1">
        <v>46224.604166666657</v>
      </c>
      <c r="E7242" s="2">
        <f t="shared" si="113"/>
        <v>47.237499999988358</v>
      </c>
    </row>
    <row r="7243" spans="1:5" x14ac:dyDescent="0.25">
      <c r="A7243" t="s">
        <v>11</v>
      </c>
      <c r="B7243" t="s">
        <v>21</v>
      </c>
      <c r="C7243" s="1">
        <v>46234.792361111111</v>
      </c>
      <c r="D7243" s="1">
        <v>46245.600694444453</v>
      </c>
      <c r="E7243" s="2">
        <f t="shared" si="113"/>
        <v>10.808333333341579</v>
      </c>
    </row>
    <row r="7244" spans="1:5" x14ac:dyDescent="0.25">
      <c r="A7244" t="s">
        <v>11</v>
      </c>
      <c r="B7244" t="s">
        <v>37</v>
      </c>
      <c r="C7244" s="1">
        <v>45766.887499999997</v>
      </c>
      <c r="D7244" s="1">
        <v>45783.916666666657</v>
      </c>
      <c r="E7244" s="2">
        <f t="shared" si="113"/>
        <v>17.029166666659876</v>
      </c>
    </row>
    <row r="7245" spans="1:5" x14ac:dyDescent="0.25">
      <c r="A7245" t="s">
        <v>14</v>
      </c>
      <c r="B7245" t="s">
        <v>22</v>
      </c>
      <c r="C7245" s="1">
        <v>45988.354166666657</v>
      </c>
      <c r="D7245" s="1">
        <v>46072.0625</v>
      </c>
      <c r="E7245" s="2">
        <f t="shared" si="113"/>
        <v>83.708333333343035</v>
      </c>
    </row>
    <row r="7246" spans="1:5" x14ac:dyDescent="0.25">
      <c r="A7246" t="s">
        <v>27</v>
      </c>
      <c r="B7246" t="s">
        <v>18</v>
      </c>
      <c r="C7246" s="1">
        <v>45921.987500000003</v>
      </c>
      <c r="D7246" s="1">
        <v>45973.306944444441</v>
      </c>
      <c r="E7246" s="2">
        <f t="shared" si="113"/>
        <v>51.319444444437977</v>
      </c>
    </row>
    <row r="7247" spans="1:5" x14ac:dyDescent="0.25">
      <c r="A7247" t="s">
        <v>7</v>
      </c>
      <c r="B7247" t="s">
        <v>8</v>
      </c>
      <c r="C7247" s="1">
        <v>45785.595833333333</v>
      </c>
      <c r="D7247" s="1">
        <v>45818.433333333327</v>
      </c>
      <c r="E7247" s="2">
        <f t="shared" si="113"/>
        <v>32.837499999994179</v>
      </c>
    </row>
    <row r="7248" spans="1:5" x14ac:dyDescent="0.25">
      <c r="A7248" t="s">
        <v>15</v>
      </c>
      <c r="B7248" t="s">
        <v>6</v>
      </c>
      <c r="C7248" s="1">
        <v>45716.72152777778</v>
      </c>
      <c r="D7248" s="1">
        <v>45789.354166666657</v>
      </c>
      <c r="E7248" s="2">
        <f t="shared" si="113"/>
        <v>72.632638888877409</v>
      </c>
    </row>
    <row r="7249" spans="1:5" x14ac:dyDescent="0.25">
      <c r="A7249" t="s">
        <v>7</v>
      </c>
      <c r="B7249" t="s">
        <v>8</v>
      </c>
      <c r="C7249" s="1">
        <v>45777.64166666667</v>
      </c>
      <c r="D7249" s="1">
        <v>45818.433333333327</v>
      </c>
      <c r="E7249" s="2">
        <f t="shared" si="113"/>
        <v>40.791666666656965</v>
      </c>
    </row>
    <row r="7250" spans="1:5" x14ac:dyDescent="0.25">
      <c r="A7250" t="s">
        <v>15</v>
      </c>
      <c r="B7250" t="s">
        <v>38</v>
      </c>
      <c r="C7250" s="1">
        <v>46232.95076388889</v>
      </c>
      <c r="D7250" s="1">
        <v>46279.838194444441</v>
      </c>
      <c r="E7250" s="2">
        <f t="shared" si="113"/>
        <v>46.887430555550964</v>
      </c>
    </row>
    <row r="7251" spans="1:5" x14ac:dyDescent="0.25">
      <c r="A7251" t="s">
        <v>34</v>
      </c>
      <c r="B7251" t="s">
        <v>13</v>
      </c>
      <c r="C7251" s="1">
        <v>46141.649131944447</v>
      </c>
      <c r="D7251" s="1">
        <v>46170.734722222223</v>
      </c>
      <c r="E7251" s="2">
        <f t="shared" si="113"/>
        <v>29.085590277776646</v>
      </c>
    </row>
    <row r="7252" spans="1:5" x14ac:dyDescent="0.25">
      <c r="A7252" t="s">
        <v>11</v>
      </c>
      <c r="B7252" t="s">
        <v>37</v>
      </c>
      <c r="C7252" s="1">
        <v>45766.899282407408</v>
      </c>
      <c r="D7252" s="1">
        <v>45783.916666666657</v>
      </c>
      <c r="E7252" s="2">
        <f t="shared" si="113"/>
        <v>17.017384259248502</v>
      </c>
    </row>
    <row r="7253" spans="1:5" x14ac:dyDescent="0.25">
      <c r="A7253" t="s">
        <v>22</v>
      </c>
      <c r="B7253" t="s">
        <v>14</v>
      </c>
      <c r="C7253" s="1">
        <v>45957.616666666669</v>
      </c>
      <c r="D7253" s="1">
        <v>46001.541666666657</v>
      </c>
      <c r="E7253" s="2">
        <f t="shared" si="113"/>
        <v>43.924999999988358</v>
      </c>
    </row>
    <row r="7254" spans="1:5" x14ac:dyDescent="0.25">
      <c r="A7254" t="s">
        <v>61</v>
      </c>
      <c r="B7254" t="s">
        <v>62</v>
      </c>
      <c r="C7254" s="1">
        <v>45982.813472222217</v>
      </c>
      <c r="D7254" s="1">
        <v>46025.083333333343</v>
      </c>
      <c r="E7254" s="2">
        <f t="shared" si="113"/>
        <v>42.269861111126374</v>
      </c>
    </row>
    <row r="7255" spans="1:5" x14ac:dyDescent="0.25">
      <c r="A7255" t="s">
        <v>15</v>
      </c>
      <c r="B7255" t="s">
        <v>13</v>
      </c>
      <c r="C7255" s="1">
        <v>46079.291666666657</v>
      </c>
      <c r="D7255" s="1">
        <v>46119.570833333331</v>
      </c>
      <c r="E7255" s="2">
        <f t="shared" si="113"/>
        <v>40.279166666674428</v>
      </c>
    </row>
    <row r="7256" spans="1:5" x14ac:dyDescent="0.25">
      <c r="A7256" t="s">
        <v>10</v>
      </c>
      <c r="B7256" t="s">
        <v>11</v>
      </c>
      <c r="C7256" s="1">
        <v>45967.525000000001</v>
      </c>
      <c r="D7256" s="1">
        <v>45994.287499999999</v>
      </c>
      <c r="E7256" s="2">
        <f t="shared" si="113"/>
        <v>26.76249999999709</v>
      </c>
    </row>
    <row r="7257" spans="1:5" x14ac:dyDescent="0.25">
      <c r="A7257" t="s">
        <v>34</v>
      </c>
      <c r="B7257" t="s">
        <v>13</v>
      </c>
      <c r="C7257" s="1">
        <v>46167.447222222218</v>
      </c>
      <c r="D7257" s="1">
        <v>46191.282638888893</v>
      </c>
      <c r="E7257" s="2">
        <f t="shared" si="113"/>
        <v>23.835416666675883</v>
      </c>
    </row>
    <row r="7258" spans="1:5" x14ac:dyDescent="0.25">
      <c r="A7258" t="s">
        <v>34</v>
      </c>
      <c r="B7258" t="s">
        <v>13</v>
      </c>
      <c r="C7258" s="1">
        <v>46121.773611111108</v>
      </c>
      <c r="D7258" s="1">
        <v>46150.024305555547</v>
      </c>
      <c r="E7258" s="2">
        <f t="shared" si="113"/>
        <v>28.250694444439432</v>
      </c>
    </row>
    <row r="7259" spans="1:5" x14ac:dyDescent="0.25">
      <c r="A7259" t="s">
        <v>34</v>
      </c>
      <c r="B7259" t="s">
        <v>13</v>
      </c>
      <c r="C7259" s="1">
        <v>46112.299305555563</v>
      </c>
      <c r="D7259" s="1">
        <v>46143.990972222222</v>
      </c>
      <c r="E7259" s="2">
        <f t="shared" si="113"/>
        <v>31.691666666658421</v>
      </c>
    </row>
    <row r="7260" spans="1:5" x14ac:dyDescent="0.25">
      <c r="A7260" t="s">
        <v>15</v>
      </c>
      <c r="B7260" t="s">
        <v>38</v>
      </c>
      <c r="C7260" s="1">
        <v>46145.363888888889</v>
      </c>
      <c r="D7260" s="1">
        <v>46190.424305555563</v>
      </c>
      <c r="E7260" s="2">
        <f t="shared" si="113"/>
        <v>45.060416666674428</v>
      </c>
    </row>
    <row r="7261" spans="1:5" x14ac:dyDescent="0.25">
      <c r="A7261" t="s">
        <v>11</v>
      </c>
      <c r="B7261" t="s">
        <v>37</v>
      </c>
      <c r="C7261" s="1">
        <v>45825.275000000001</v>
      </c>
      <c r="D7261" s="1">
        <v>45834.695833333331</v>
      </c>
      <c r="E7261" s="2">
        <f t="shared" si="113"/>
        <v>9.4208333333299379</v>
      </c>
    </row>
    <row r="7262" spans="1:5" x14ac:dyDescent="0.25">
      <c r="A7262" t="s">
        <v>19</v>
      </c>
      <c r="B7262" t="s">
        <v>11</v>
      </c>
      <c r="C7262" s="1">
        <v>46192.564409722218</v>
      </c>
      <c r="D7262" s="1">
        <v>46231.698611111111</v>
      </c>
      <c r="E7262" s="2">
        <f t="shared" si="113"/>
        <v>39.134201388893416</v>
      </c>
    </row>
    <row r="7263" spans="1:5" x14ac:dyDescent="0.25">
      <c r="A7263" t="s">
        <v>15</v>
      </c>
      <c r="B7263" t="s">
        <v>13</v>
      </c>
      <c r="C7263" s="1">
        <v>45966.155972222223</v>
      </c>
      <c r="D7263" s="1">
        <v>46006.416527777779</v>
      </c>
      <c r="E7263" s="2">
        <f t="shared" si="113"/>
        <v>40.260555555556493</v>
      </c>
    </row>
    <row r="7264" spans="1:5" x14ac:dyDescent="0.25">
      <c r="A7264" t="s">
        <v>7</v>
      </c>
      <c r="B7264" t="s">
        <v>8</v>
      </c>
      <c r="C7264" s="1">
        <v>45834.537499999999</v>
      </c>
      <c r="D7264" s="1">
        <v>45885.783333333333</v>
      </c>
      <c r="E7264" s="2">
        <f t="shared" si="113"/>
        <v>51.245833333334303</v>
      </c>
    </row>
    <row r="7265" spans="1:5" x14ac:dyDescent="0.25">
      <c r="A7265" t="s">
        <v>7</v>
      </c>
      <c r="B7265" t="s">
        <v>8</v>
      </c>
      <c r="C7265" s="1">
        <v>45834.537499999999</v>
      </c>
      <c r="D7265" s="1">
        <v>45885.783333333333</v>
      </c>
      <c r="E7265" s="2">
        <f t="shared" si="113"/>
        <v>51.245833333334303</v>
      </c>
    </row>
    <row r="7266" spans="1:5" x14ac:dyDescent="0.25">
      <c r="A7266" t="s">
        <v>15</v>
      </c>
      <c r="B7266" t="s">
        <v>6</v>
      </c>
      <c r="C7266" s="1">
        <v>46021.175000000003</v>
      </c>
      <c r="D7266" s="1">
        <v>46086.75</v>
      </c>
      <c r="E7266" s="2">
        <f t="shared" si="113"/>
        <v>65.57499999999709</v>
      </c>
    </row>
    <row r="7267" spans="1:5" x14ac:dyDescent="0.25">
      <c r="A7267" t="s">
        <v>7</v>
      </c>
      <c r="B7267" t="s">
        <v>8</v>
      </c>
      <c r="C7267" s="1">
        <v>45891.654166666667</v>
      </c>
      <c r="D7267" s="1">
        <v>45938.662499999999</v>
      </c>
      <c r="E7267" s="2">
        <f t="shared" si="113"/>
        <v>47.008333333331393</v>
      </c>
    </row>
    <row r="7268" spans="1:5" x14ac:dyDescent="0.25">
      <c r="A7268" t="s">
        <v>22</v>
      </c>
      <c r="B7268" t="s">
        <v>52</v>
      </c>
      <c r="C7268" s="1">
        <v>46168.120833333327</v>
      </c>
      <c r="D7268" s="1">
        <v>46217.004166666673</v>
      </c>
      <c r="E7268" s="2">
        <f t="shared" si="113"/>
        <v>48.883333333345945</v>
      </c>
    </row>
    <row r="7269" spans="1:5" x14ac:dyDescent="0.25">
      <c r="A7269" t="s">
        <v>7</v>
      </c>
      <c r="B7269" t="s">
        <v>8</v>
      </c>
      <c r="C7269" s="1">
        <v>45822.8</v>
      </c>
      <c r="D7269" s="1">
        <v>45875.612500000003</v>
      </c>
      <c r="E7269" s="2">
        <f t="shared" si="113"/>
        <v>52.8125</v>
      </c>
    </row>
    <row r="7270" spans="1:5" x14ac:dyDescent="0.25">
      <c r="A7270" t="s">
        <v>15</v>
      </c>
      <c r="B7270" t="s">
        <v>18</v>
      </c>
      <c r="C7270" s="1">
        <v>45918.452777777777</v>
      </c>
      <c r="D7270" s="1">
        <v>45973.306944444441</v>
      </c>
      <c r="E7270" s="2">
        <f t="shared" si="113"/>
        <v>54.854166666664241</v>
      </c>
    </row>
    <row r="7271" spans="1:5" x14ac:dyDescent="0.25">
      <c r="A7271" t="s">
        <v>10</v>
      </c>
      <c r="B7271" t="s">
        <v>11</v>
      </c>
      <c r="C7271" s="1">
        <v>45855.916666666657</v>
      </c>
      <c r="D7271" s="1">
        <v>45888.958333333343</v>
      </c>
      <c r="E7271" s="2">
        <f t="shared" si="113"/>
        <v>33.041666666686069</v>
      </c>
    </row>
    <row r="7272" spans="1:5" x14ac:dyDescent="0.25">
      <c r="A7272" t="s">
        <v>15</v>
      </c>
      <c r="B7272" t="s">
        <v>13</v>
      </c>
      <c r="C7272" s="1">
        <v>45906.832638888889</v>
      </c>
      <c r="D7272" s="1">
        <v>45954.50277777778</v>
      </c>
      <c r="E7272" s="2">
        <f t="shared" si="113"/>
        <v>47.670138888890506</v>
      </c>
    </row>
    <row r="7273" spans="1:5" x14ac:dyDescent="0.25">
      <c r="A7273" t="s">
        <v>34</v>
      </c>
      <c r="B7273" t="s">
        <v>13</v>
      </c>
      <c r="C7273" s="1">
        <v>46254.072916666657</v>
      </c>
      <c r="D7273" s="1">
        <v>46277.713194444441</v>
      </c>
      <c r="E7273" s="2">
        <f t="shared" si="113"/>
        <v>23.640277777783922</v>
      </c>
    </row>
    <row r="7274" spans="1:5" x14ac:dyDescent="0.25">
      <c r="A7274" t="s">
        <v>9</v>
      </c>
      <c r="B7274" t="s">
        <v>11</v>
      </c>
      <c r="C7274" s="1">
        <v>45660.409837962958</v>
      </c>
      <c r="D7274" s="1">
        <v>45742.291666666657</v>
      </c>
      <c r="E7274" s="2">
        <f t="shared" si="113"/>
        <v>81.881828703699284</v>
      </c>
    </row>
    <row r="7275" spans="1:5" x14ac:dyDescent="0.25">
      <c r="A7275" t="s">
        <v>5</v>
      </c>
      <c r="B7275" t="s">
        <v>8</v>
      </c>
      <c r="C7275" s="1">
        <v>46065.004166666673</v>
      </c>
      <c r="D7275" s="1">
        <v>46099.525000000001</v>
      </c>
      <c r="E7275" s="2">
        <f t="shared" si="113"/>
        <v>34.520833333328483</v>
      </c>
    </row>
    <row r="7276" spans="1:5" x14ac:dyDescent="0.25">
      <c r="A7276" t="s">
        <v>8</v>
      </c>
      <c r="B7276" t="s">
        <v>18</v>
      </c>
      <c r="C7276" s="1">
        <v>46206.283333333333</v>
      </c>
      <c r="D7276" s="1">
        <v>46251.208333333343</v>
      </c>
      <c r="E7276" s="2">
        <f t="shared" si="113"/>
        <v>44.925000000010186</v>
      </c>
    </row>
    <row r="7277" spans="1:5" x14ac:dyDescent="0.25">
      <c r="A7277" t="s">
        <v>19</v>
      </c>
      <c r="B7277" t="s">
        <v>8</v>
      </c>
      <c r="C7277" s="1">
        <v>45855.331944444442</v>
      </c>
      <c r="D7277" s="1">
        <v>45883.720833333333</v>
      </c>
      <c r="E7277" s="2">
        <f t="shared" si="113"/>
        <v>28.388888888890506</v>
      </c>
    </row>
    <row r="7278" spans="1:5" x14ac:dyDescent="0.25">
      <c r="A7278" t="s">
        <v>7</v>
      </c>
      <c r="B7278" t="s">
        <v>8</v>
      </c>
      <c r="C7278" s="1">
        <v>45785.583333333343</v>
      </c>
      <c r="D7278" s="1">
        <v>45818.416666666657</v>
      </c>
      <c r="E7278" s="2">
        <f t="shared" si="113"/>
        <v>32.833333333313931</v>
      </c>
    </row>
    <row r="7279" spans="1:5" x14ac:dyDescent="0.25">
      <c r="A7279" t="s">
        <v>8</v>
      </c>
      <c r="B7279" t="s">
        <v>27</v>
      </c>
      <c r="C7279" s="1">
        <v>45677.588194444441</v>
      </c>
      <c r="D7279" s="1">
        <v>45735.65</v>
      </c>
      <c r="E7279" s="2">
        <f t="shared" si="113"/>
        <v>58.061805555560568</v>
      </c>
    </row>
    <row r="7280" spans="1:5" x14ac:dyDescent="0.25">
      <c r="A7280" t="s">
        <v>18</v>
      </c>
      <c r="B7280" t="s">
        <v>27</v>
      </c>
      <c r="C7280" s="1">
        <v>45911.15347222222</v>
      </c>
      <c r="D7280" s="1">
        <v>45971.75</v>
      </c>
      <c r="E7280" s="2">
        <f t="shared" si="113"/>
        <v>60.596527777779556</v>
      </c>
    </row>
    <row r="7281" spans="1:5" x14ac:dyDescent="0.25">
      <c r="A7281" t="s">
        <v>27</v>
      </c>
      <c r="B7281" t="s">
        <v>20</v>
      </c>
      <c r="C7281" s="1">
        <v>45719.8</v>
      </c>
      <c r="D7281" s="1">
        <v>45794.862500000003</v>
      </c>
      <c r="E7281" s="2">
        <f t="shared" si="113"/>
        <v>75.0625</v>
      </c>
    </row>
    <row r="7282" spans="1:5" x14ac:dyDescent="0.25">
      <c r="A7282" t="s">
        <v>22</v>
      </c>
      <c r="B7282" t="s">
        <v>19</v>
      </c>
      <c r="C7282" s="1">
        <v>45719.043969907398</v>
      </c>
      <c r="D7282" s="1">
        <v>45794</v>
      </c>
      <c r="E7282" s="2">
        <f t="shared" si="113"/>
        <v>74.956030092602305</v>
      </c>
    </row>
    <row r="7283" spans="1:5" x14ac:dyDescent="0.25">
      <c r="A7283" t="s">
        <v>13</v>
      </c>
      <c r="B7283" t="s">
        <v>8</v>
      </c>
      <c r="C7283" s="1">
        <v>45929.5</v>
      </c>
      <c r="D7283" s="1">
        <v>45957.322222222218</v>
      </c>
      <c r="E7283" s="2">
        <f t="shared" si="113"/>
        <v>27.822222222217533</v>
      </c>
    </row>
    <row r="7284" spans="1:5" x14ac:dyDescent="0.25">
      <c r="A7284" t="s">
        <v>15</v>
      </c>
      <c r="B7284" t="s">
        <v>38</v>
      </c>
      <c r="C7284" s="1">
        <v>46232.938194444447</v>
      </c>
      <c r="D7284" s="1">
        <v>46279.838194444441</v>
      </c>
      <c r="E7284" s="2">
        <f t="shared" si="113"/>
        <v>46.899999999994179</v>
      </c>
    </row>
    <row r="7285" spans="1:5" x14ac:dyDescent="0.25">
      <c r="A7285" t="s">
        <v>15</v>
      </c>
      <c r="B7285" t="s">
        <v>18</v>
      </c>
      <c r="C7285" s="1">
        <v>45898.125</v>
      </c>
      <c r="D7285" s="1">
        <v>45964.081944444442</v>
      </c>
      <c r="E7285" s="2">
        <f t="shared" si="113"/>
        <v>65.956944444442343</v>
      </c>
    </row>
    <row r="7286" spans="1:5" x14ac:dyDescent="0.25">
      <c r="A7286" t="s">
        <v>34</v>
      </c>
      <c r="B7286" t="s">
        <v>8</v>
      </c>
      <c r="C7286" s="1">
        <v>45995.366666666669</v>
      </c>
      <c r="D7286" s="1">
        <v>46026.795138888891</v>
      </c>
      <c r="E7286" s="2">
        <f t="shared" si="113"/>
        <v>31.428472222221899</v>
      </c>
    </row>
    <row r="7287" spans="1:5" x14ac:dyDescent="0.25">
      <c r="A7287" t="s">
        <v>15</v>
      </c>
      <c r="B7287" t="s">
        <v>13</v>
      </c>
      <c r="C7287" s="1">
        <v>46185.171527777777</v>
      </c>
      <c r="D7287" s="1">
        <v>46221.126388888893</v>
      </c>
      <c r="E7287" s="2">
        <f t="shared" si="113"/>
        <v>35.95486111111677</v>
      </c>
    </row>
    <row r="7288" spans="1:5" x14ac:dyDescent="0.25">
      <c r="A7288" t="s">
        <v>19</v>
      </c>
      <c r="B7288" t="s">
        <v>11</v>
      </c>
      <c r="C7288" s="1">
        <v>46206.119629629633</v>
      </c>
      <c r="D7288" s="1">
        <v>46245.868750000001</v>
      </c>
      <c r="E7288" s="2">
        <f t="shared" si="113"/>
        <v>39.749120370368473</v>
      </c>
    </row>
    <row r="7289" spans="1:5" x14ac:dyDescent="0.25">
      <c r="A7289" t="s">
        <v>6</v>
      </c>
      <c r="B7289" t="s">
        <v>8</v>
      </c>
      <c r="C7289" s="1">
        <v>45958.20416666667</v>
      </c>
      <c r="D7289" s="1">
        <v>45999.799305555563</v>
      </c>
      <c r="E7289" s="2">
        <f t="shared" si="113"/>
        <v>41.595138888893416</v>
      </c>
    </row>
    <row r="7290" spans="1:5" x14ac:dyDescent="0.25">
      <c r="A7290" t="s">
        <v>13</v>
      </c>
      <c r="B7290" t="s">
        <v>8</v>
      </c>
      <c r="C7290" s="1">
        <v>45759.864583333343</v>
      </c>
      <c r="D7290" s="1">
        <v>45797.28125</v>
      </c>
      <c r="E7290" s="2">
        <f t="shared" si="113"/>
        <v>37.416666666656965</v>
      </c>
    </row>
    <row r="7291" spans="1:5" x14ac:dyDescent="0.25">
      <c r="A7291" t="s">
        <v>12</v>
      </c>
      <c r="B7291" t="s">
        <v>8</v>
      </c>
      <c r="C7291" s="1">
        <v>45826.123611111107</v>
      </c>
      <c r="D7291" s="1">
        <v>45889.556944444441</v>
      </c>
      <c r="E7291" s="2">
        <f t="shared" si="113"/>
        <v>63.433333333334303</v>
      </c>
    </row>
    <row r="7292" spans="1:5" x14ac:dyDescent="0.25">
      <c r="A7292" t="s">
        <v>9</v>
      </c>
      <c r="B7292" t="s">
        <v>8</v>
      </c>
      <c r="C7292" s="1">
        <v>45794.479166666657</v>
      </c>
      <c r="D7292" s="1">
        <v>45839.3125</v>
      </c>
      <c r="E7292" s="2">
        <f t="shared" si="113"/>
        <v>44.833333333343035</v>
      </c>
    </row>
    <row r="7293" spans="1:5" x14ac:dyDescent="0.25">
      <c r="A7293" t="s">
        <v>15</v>
      </c>
      <c r="B7293" t="s">
        <v>38</v>
      </c>
      <c r="C7293" s="1">
        <v>46158.291666666657</v>
      </c>
      <c r="D7293" s="1">
        <v>46202.322222222218</v>
      </c>
      <c r="E7293" s="2">
        <f t="shared" si="113"/>
        <v>44.030555555560568</v>
      </c>
    </row>
    <row r="7294" spans="1:5" x14ac:dyDescent="0.25">
      <c r="A7294" t="s">
        <v>42</v>
      </c>
      <c r="B7294" t="s">
        <v>19</v>
      </c>
      <c r="C7294" s="1">
        <v>45910.741365740738</v>
      </c>
      <c r="D7294" s="1">
        <v>45959.587500000001</v>
      </c>
      <c r="E7294" s="2">
        <f t="shared" si="113"/>
        <v>48.846134259263636</v>
      </c>
    </row>
    <row r="7295" spans="1:5" x14ac:dyDescent="0.25">
      <c r="A7295" t="s">
        <v>35</v>
      </c>
      <c r="B7295" t="s">
        <v>13</v>
      </c>
      <c r="C7295" s="1">
        <v>46181.633333333331</v>
      </c>
      <c r="D7295" s="1">
        <v>46221.333333333343</v>
      </c>
      <c r="E7295" s="2">
        <f t="shared" si="113"/>
        <v>39.700000000011642</v>
      </c>
    </row>
    <row r="7296" spans="1:5" x14ac:dyDescent="0.25">
      <c r="A7296" t="s">
        <v>15</v>
      </c>
      <c r="B7296" t="s">
        <v>18</v>
      </c>
      <c r="C7296" s="1">
        <v>45730.9375</v>
      </c>
      <c r="D7296" s="1">
        <v>45775.086111111108</v>
      </c>
      <c r="E7296" s="2">
        <f t="shared" si="113"/>
        <v>44.148611111108039</v>
      </c>
    </row>
    <row r="7297" spans="1:5" x14ac:dyDescent="0.25">
      <c r="A7297" t="s">
        <v>5</v>
      </c>
      <c r="B7297" t="s">
        <v>8</v>
      </c>
      <c r="C7297" s="1">
        <v>46101.51666666667</v>
      </c>
      <c r="D7297" s="1">
        <v>46146.737500000003</v>
      </c>
      <c r="E7297" s="2">
        <f t="shared" si="113"/>
        <v>45.220833333332848</v>
      </c>
    </row>
    <row r="7298" spans="1:5" x14ac:dyDescent="0.25">
      <c r="A7298" t="s">
        <v>22</v>
      </c>
      <c r="B7298" t="s">
        <v>19</v>
      </c>
      <c r="C7298" s="1">
        <v>46117.894444444442</v>
      </c>
      <c r="D7298" s="1">
        <v>46168.897916666669</v>
      </c>
      <c r="E7298" s="2">
        <f t="shared" ref="E7298:E7361" si="114">D7298-C7298</f>
        <v>51.003472222226264</v>
      </c>
    </row>
    <row r="7299" spans="1:5" x14ac:dyDescent="0.25">
      <c r="A7299" t="s">
        <v>15</v>
      </c>
      <c r="B7299" t="s">
        <v>38</v>
      </c>
      <c r="C7299" s="1">
        <v>46150.083182870367</v>
      </c>
      <c r="D7299" s="1">
        <v>46196.245833333327</v>
      </c>
      <c r="E7299" s="2">
        <f t="shared" si="114"/>
        <v>46.162650462960301</v>
      </c>
    </row>
    <row r="7300" spans="1:5" x14ac:dyDescent="0.25">
      <c r="A7300" t="s">
        <v>19</v>
      </c>
      <c r="B7300" t="s">
        <v>11</v>
      </c>
      <c r="C7300" s="1">
        <v>46185.442291666674</v>
      </c>
      <c r="D7300" s="1">
        <v>46231.698611111111</v>
      </c>
      <c r="E7300" s="2">
        <f t="shared" si="114"/>
        <v>46.256319444437395</v>
      </c>
    </row>
    <row r="7301" spans="1:5" x14ac:dyDescent="0.25">
      <c r="A7301" t="s">
        <v>22</v>
      </c>
      <c r="B7301" t="s">
        <v>19</v>
      </c>
      <c r="C7301" s="1">
        <v>46013.51458333333</v>
      </c>
      <c r="D7301" s="1">
        <v>46069.90625</v>
      </c>
      <c r="E7301" s="2">
        <f t="shared" si="114"/>
        <v>56.391666666670062</v>
      </c>
    </row>
    <row r="7302" spans="1:5" x14ac:dyDescent="0.25">
      <c r="A7302" t="s">
        <v>8</v>
      </c>
      <c r="B7302" t="s">
        <v>18</v>
      </c>
      <c r="C7302" s="1">
        <v>46157.003472222219</v>
      </c>
      <c r="D7302" s="1">
        <v>46195.804166666669</v>
      </c>
      <c r="E7302" s="2">
        <f t="shared" si="114"/>
        <v>38.800694444449618</v>
      </c>
    </row>
    <row r="7303" spans="1:5" x14ac:dyDescent="0.25">
      <c r="A7303" t="s">
        <v>22</v>
      </c>
      <c r="B7303" t="s">
        <v>14</v>
      </c>
      <c r="C7303" s="1">
        <v>45817.683333333327</v>
      </c>
      <c r="D7303" s="1">
        <v>45863.320138888892</v>
      </c>
      <c r="E7303" s="2">
        <f t="shared" si="114"/>
        <v>45.636805555564933</v>
      </c>
    </row>
    <row r="7304" spans="1:5" x14ac:dyDescent="0.25">
      <c r="A7304" t="s">
        <v>8</v>
      </c>
      <c r="B7304" t="s">
        <v>5</v>
      </c>
      <c r="C7304" s="1">
        <v>45761.21875</v>
      </c>
      <c r="D7304" s="1">
        <v>45796.416666666657</v>
      </c>
      <c r="E7304" s="2">
        <f t="shared" si="114"/>
        <v>35.197916666656965</v>
      </c>
    </row>
    <row r="7305" spans="1:5" x14ac:dyDescent="0.25">
      <c r="A7305" t="s">
        <v>13</v>
      </c>
      <c r="B7305" t="s">
        <v>8</v>
      </c>
      <c r="C7305" s="1">
        <v>45912.958333333343</v>
      </c>
      <c r="D7305" s="1">
        <v>45937.5</v>
      </c>
      <c r="E7305" s="2">
        <f t="shared" si="114"/>
        <v>24.541666666656965</v>
      </c>
    </row>
    <row r="7306" spans="1:5" x14ac:dyDescent="0.25">
      <c r="A7306" t="s">
        <v>7</v>
      </c>
      <c r="B7306" t="s">
        <v>8</v>
      </c>
      <c r="C7306" s="1">
        <v>45891.654166666667</v>
      </c>
      <c r="D7306" s="1">
        <v>45938.662499999999</v>
      </c>
      <c r="E7306" s="2">
        <f t="shared" si="114"/>
        <v>47.008333333331393</v>
      </c>
    </row>
    <row r="7307" spans="1:5" x14ac:dyDescent="0.25">
      <c r="A7307" t="s">
        <v>15</v>
      </c>
      <c r="B7307" t="s">
        <v>6</v>
      </c>
      <c r="C7307" s="1">
        <v>46068.98333333333</v>
      </c>
      <c r="D7307" s="1">
        <v>46133.866666666669</v>
      </c>
      <c r="E7307" s="2">
        <f t="shared" si="114"/>
        <v>64.883333333338669</v>
      </c>
    </row>
    <row r="7308" spans="1:5" x14ac:dyDescent="0.25">
      <c r="A7308" t="s">
        <v>27</v>
      </c>
      <c r="B7308" t="s">
        <v>18</v>
      </c>
      <c r="C7308" s="1">
        <v>45773.5</v>
      </c>
      <c r="D7308" s="1">
        <v>45832.666666666657</v>
      </c>
      <c r="E7308" s="2">
        <f t="shared" si="114"/>
        <v>59.166666666656965</v>
      </c>
    </row>
    <row r="7309" spans="1:5" x14ac:dyDescent="0.25">
      <c r="A7309" t="s">
        <v>27</v>
      </c>
      <c r="B7309" t="s">
        <v>59</v>
      </c>
      <c r="C7309" s="1">
        <v>45674</v>
      </c>
      <c r="D7309" s="1">
        <v>45748</v>
      </c>
      <c r="E7309" s="2">
        <f t="shared" si="114"/>
        <v>74</v>
      </c>
    </row>
    <row r="7310" spans="1:5" x14ac:dyDescent="0.25">
      <c r="A7310" t="s">
        <v>12</v>
      </c>
      <c r="B7310" t="s">
        <v>13</v>
      </c>
      <c r="C7310" s="1">
        <v>45698.62777777778</v>
      </c>
      <c r="D7310" s="1">
        <v>45742.387499999997</v>
      </c>
      <c r="E7310" s="2">
        <f t="shared" si="114"/>
        <v>43.759722222217533</v>
      </c>
    </row>
    <row r="7311" spans="1:5" x14ac:dyDescent="0.25">
      <c r="A7311" t="s">
        <v>20</v>
      </c>
      <c r="B7311" t="s">
        <v>8</v>
      </c>
      <c r="C7311" s="1">
        <v>46075.20416666667</v>
      </c>
      <c r="D7311" s="1">
        <v>46113.945138888892</v>
      </c>
      <c r="E7311" s="2">
        <f t="shared" si="114"/>
        <v>38.740972222221899</v>
      </c>
    </row>
    <row r="7312" spans="1:5" x14ac:dyDescent="0.25">
      <c r="A7312" t="s">
        <v>12</v>
      </c>
      <c r="B7312" t="s">
        <v>13</v>
      </c>
      <c r="C7312" s="1">
        <v>46118.375</v>
      </c>
      <c r="D7312" s="1">
        <v>46168.666666666657</v>
      </c>
      <c r="E7312" s="2">
        <f t="shared" si="114"/>
        <v>50.291666666656965</v>
      </c>
    </row>
    <row r="7313" spans="1:5" x14ac:dyDescent="0.25">
      <c r="A7313" t="s">
        <v>6</v>
      </c>
      <c r="B7313" t="s">
        <v>8</v>
      </c>
      <c r="C7313" s="1">
        <v>45715.991666666669</v>
      </c>
      <c r="D7313" s="1">
        <v>45759</v>
      </c>
      <c r="E7313" s="2">
        <f t="shared" si="114"/>
        <v>43.008333333331393</v>
      </c>
    </row>
    <row r="7314" spans="1:5" x14ac:dyDescent="0.25">
      <c r="A7314" t="s">
        <v>20</v>
      </c>
      <c r="B7314" t="s">
        <v>8</v>
      </c>
      <c r="C7314" s="1">
        <v>46013.345833333333</v>
      </c>
      <c r="D7314" s="1">
        <v>46050.554166666669</v>
      </c>
      <c r="E7314" s="2">
        <f t="shared" si="114"/>
        <v>37.208333333335759</v>
      </c>
    </row>
    <row r="7315" spans="1:5" x14ac:dyDescent="0.25">
      <c r="A7315" t="s">
        <v>15</v>
      </c>
      <c r="B7315" t="s">
        <v>13</v>
      </c>
      <c r="C7315" s="1">
        <v>45745.523611111108</v>
      </c>
      <c r="D7315" s="1">
        <v>45785.365972222222</v>
      </c>
      <c r="E7315" s="2">
        <f t="shared" si="114"/>
        <v>39.84236111111386</v>
      </c>
    </row>
    <row r="7316" spans="1:5" x14ac:dyDescent="0.25">
      <c r="A7316" t="s">
        <v>20</v>
      </c>
      <c r="B7316" t="s">
        <v>8</v>
      </c>
      <c r="C7316" s="1">
        <v>46242.979166666657</v>
      </c>
      <c r="D7316" s="1">
        <v>46275.291666666657</v>
      </c>
      <c r="E7316" s="2">
        <f t="shared" si="114"/>
        <v>32.3125</v>
      </c>
    </row>
    <row r="7317" spans="1:5" x14ac:dyDescent="0.25">
      <c r="A7317" t="s">
        <v>10</v>
      </c>
      <c r="B7317" t="s">
        <v>8</v>
      </c>
      <c r="C7317" s="1">
        <v>46146.184027777781</v>
      </c>
      <c r="D7317" s="1">
        <v>46167.287499999999</v>
      </c>
      <c r="E7317" s="2">
        <f t="shared" si="114"/>
        <v>21.103472222217533</v>
      </c>
    </row>
    <row r="7318" spans="1:5" x14ac:dyDescent="0.25">
      <c r="A7318" t="s">
        <v>15</v>
      </c>
      <c r="B7318" t="s">
        <v>6</v>
      </c>
      <c r="C7318" s="1">
        <v>45690</v>
      </c>
      <c r="D7318" s="1">
        <v>45765.916666666657</v>
      </c>
      <c r="E7318" s="2">
        <f t="shared" si="114"/>
        <v>75.916666666656965</v>
      </c>
    </row>
    <row r="7319" spans="1:5" x14ac:dyDescent="0.25">
      <c r="A7319" t="s">
        <v>20</v>
      </c>
      <c r="B7319" t="s">
        <v>8</v>
      </c>
      <c r="C7319" s="1">
        <v>45786.008333333331</v>
      </c>
      <c r="D7319" s="1">
        <v>45819.640972222223</v>
      </c>
      <c r="E7319" s="2">
        <f t="shared" si="114"/>
        <v>33.632638888891961</v>
      </c>
    </row>
    <row r="7320" spans="1:5" x14ac:dyDescent="0.25">
      <c r="A7320" t="s">
        <v>13</v>
      </c>
      <c r="B7320" t="s">
        <v>11</v>
      </c>
      <c r="C7320" s="1">
        <v>45781.224999999999</v>
      </c>
      <c r="D7320" s="1">
        <v>45814.333333333343</v>
      </c>
      <c r="E7320" s="2">
        <f t="shared" si="114"/>
        <v>33.10833333334449</v>
      </c>
    </row>
    <row r="7321" spans="1:5" x14ac:dyDescent="0.25">
      <c r="A7321" t="s">
        <v>10</v>
      </c>
      <c r="B7321" t="s">
        <v>8</v>
      </c>
      <c r="C7321" s="1">
        <v>45929.75</v>
      </c>
      <c r="D7321" s="1">
        <v>45957.322222222218</v>
      </c>
      <c r="E7321" s="2">
        <f t="shared" si="114"/>
        <v>27.572222222217533</v>
      </c>
    </row>
    <row r="7322" spans="1:5" x14ac:dyDescent="0.25">
      <c r="A7322" t="s">
        <v>14</v>
      </c>
      <c r="B7322" t="s">
        <v>22</v>
      </c>
      <c r="C7322" s="1">
        <v>45821.958333333343</v>
      </c>
      <c r="D7322" s="1">
        <v>45888.70416666667</v>
      </c>
      <c r="E7322" s="2">
        <f t="shared" si="114"/>
        <v>66.745833333327028</v>
      </c>
    </row>
    <row r="7323" spans="1:5" x14ac:dyDescent="0.25">
      <c r="A7323" t="s">
        <v>12</v>
      </c>
      <c r="B7323" t="s">
        <v>8</v>
      </c>
      <c r="C7323" s="1">
        <v>45902.512499999997</v>
      </c>
      <c r="D7323" s="1">
        <v>45976.125</v>
      </c>
      <c r="E7323" s="2">
        <f t="shared" si="114"/>
        <v>73.61250000000291</v>
      </c>
    </row>
    <row r="7324" spans="1:5" x14ac:dyDescent="0.25">
      <c r="A7324" t="s">
        <v>26</v>
      </c>
      <c r="B7324" t="s">
        <v>21</v>
      </c>
      <c r="C7324" s="1">
        <v>46160.929166666669</v>
      </c>
      <c r="D7324" s="1">
        <v>46212.279166666667</v>
      </c>
      <c r="E7324" s="2">
        <f t="shared" si="114"/>
        <v>51.349999999998545</v>
      </c>
    </row>
    <row r="7325" spans="1:5" x14ac:dyDescent="0.25">
      <c r="A7325" t="s">
        <v>12</v>
      </c>
      <c r="B7325" t="s">
        <v>13</v>
      </c>
      <c r="C7325" s="1">
        <v>45706.166666666657</v>
      </c>
      <c r="D7325" s="1">
        <v>45749.17083333333</v>
      </c>
      <c r="E7325" s="2">
        <f t="shared" si="114"/>
        <v>43.004166666672972</v>
      </c>
    </row>
    <row r="7326" spans="1:5" x14ac:dyDescent="0.25">
      <c r="A7326" t="s">
        <v>22</v>
      </c>
      <c r="B7326" t="s">
        <v>51</v>
      </c>
      <c r="C7326" s="1">
        <v>46041.21597222222</v>
      </c>
      <c r="D7326" s="1">
        <v>46112.119444444441</v>
      </c>
      <c r="E7326" s="2">
        <f t="shared" si="114"/>
        <v>70.903472222220444</v>
      </c>
    </row>
    <row r="7327" spans="1:5" x14ac:dyDescent="0.25">
      <c r="A7327" t="s">
        <v>20</v>
      </c>
      <c r="B7327" t="s">
        <v>8</v>
      </c>
      <c r="C7327" s="1">
        <v>45786.008333333331</v>
      </c>
      <c r="D7327" s="1">
        <v>45819.640972222223</v>
      </c>
      <c r="E7327" s="2">
        <f t="shared" si="114"/>
        <v>33.632638888891961</v>
      </c>
    </row>
    <row r="7328" spans="1:5" x14ac:dyDescent="0.25">
      <c r="A7328" t="s">
        <v>10</v>
      </c>
      <c r="B7328" t="s">
        <v>8</v>
      </c>
      <c r="C7328" s="1">
        <v>46153.027777777781</v>
      </c>
      <c r="D7328" s="1">
        <v>46185.458333333343</v>
      </c>
      <c r="E7328" s="2">
        <f t="shared" si="114"/>
        <v>32.430555555562023</v>
      </c>
    </row>
    <row r="7329" spans="1:5" x14ac:dyDescent="0.25">
      <c r="A7329" t="s">
        <v>26</v>
      </c>
      <c r="B7329" t="s">
        <v>21</v>
      </c>
      <c r="C7329" s="1">
        <v>46194.208333333343</v>
      </c>
      <c r="D7329" s="1">
        <v>46241.2</v>
      </c>
      <c r="E7329" s="2">
        <f t="shared" si="114"/>
        <v>46.991666666654055</v>
      </c>
    </row>
    <row r="7330" spans="1:5" x14ac:dyDescent="0.25">
      <c r="A7330" t="s">
        <v>7</v>
      </c>
      <c r="B7330" t="s">
        <v>11</v>
      </c>
      <c r="C7330" s="1">
        <v>45717.411805555559</v>
      </c>
      <c r="D7330" s="1">
        <v>45783.9</v>
      </c>
      <c r="E7330" s="2">
        <f t="shared" si="114"/>
        <v>66.488194444442343</v>
      </c>
    </row>
    <row r="7331" spans="1:5" x14ac:dyDescent="0.25">
      <c r="A7331" t="s">
        <v>8</v>
      </c>
      <c r="B7331" t="s">
        <v>18</v>
      </c>
      <c r="C7331" s="1">
        <v>46212.760416666657</v>
      </c>
      <c r="D7331" s="1">
        <v>46269.7</v>
      </c>
      <c r="E7331" s="2">
        <f t="shared" si="114"/>
        <v>56.939583333340124</v>
      </c>
    </row>
    <row r="7332" spans="1:5" x14ac:dyDescent="0.25">
      <c r="A7332" t="s">
        <v>12</v>
      </c>
      <c r="B7332" t="s">
        <v>13</v>
      </c>
      <c r="C7332" s="1">
        <v>45871.95</v>
      </c>
      <c r="D7332" s="1">
        <v>45921.675000000003</v>
      </c>
      <c r="E7332" s="2">
        <f t="shared" si="114"/>
        <v>49.725000000005821</v>
      </c>
    </row>
    <row r="7333" spans="1:5" x14ac:dyDescent="0.25">
      <c r="A7333" t="s">
        <v>13</v>
      </c>
      <c r="B7333" t="s">
        <v>8</v>
      </c>
      <c r="C7333" s="1">
        <v>45945.3125</v>
      </c>
      <c r="D7333" s="1">
        <v>45971.695833333331</v>
      </c>
      <c r="E7333" s="2">
        <f t="shared" si="114"/>
        <v>26.383333333331393</v>
      </c>
    </row>
    <row r="7334" spans="1:5" x14ac:dyDescent="0.25">
      <c r="A7334" t="s">
        <v>34</v>
      </c>
      <c r="B7334" t="s">
        <v>21</v>
      </c>
      <c r="C7334" s="1">
        <v>46007.292361111111</v>
      </c>
      <c r="D7334" s="1">
        <v>46018.6875</v>
      </c>
      <c r="E7334" s="2">
        <f t="shared" si="114"/>
        <v>11.395138888889051</v>
      </c>
    </row>
    <row r="7335" spans="1:5" x14ac:dyDescent="0.25">
      <c r="A7335" t="s">
        <v>8</v>
      </c>
      <c r="B7335" t="s">
        <v>18</v>
      </c>
      <c r="C7335" s="1">
        <v>46192.1875</v>
      </c>
      <c r="D7335" s="1">
        <v>46227.5</v>
      </c>
      <c r="E7335" s="2">
        <f t="shared" si="114"/>
        <v>35.3125</v>
      </c>
    </row>
    <row r="7336" spans="1:5" x14ac:dyDescent="0.25">
      <c r="A7336" t="s">
        <v>12</v>
      </c>
      <c r="B7336" t="s">
        <v>13</v>
      </c>
      <c r="C7336" s="1">
        <v>46019.85</v>
      </c>
      <c r="D7336" s="1">
        <v>46071.101388888892</v>
      </c>
      <c r="E7336" s="2">
        <f t="shared" si="114"/>
        <v>51.251388888893416</v>
      </c>
    </row>
    <row r="7337" spans="1:5" x14ac:dyDescent="0.25">
      <c r="A7337" t="s">
        <v>7</v>
      </c>
      <c r="B7337" t="s">
        <v>13</v>
      </c>
      <c r="C7337" s="1">
        <v>46086.833333333343</v>
      </c>
      <c r="D7337" s="1">
        <v>46134.854166666657</v>
      </c>
      <c r="E7337" s="2">
        <f t="shared" si="114"/>
        <v>48.020833333313931</v>
      </c>
    </row>
    <row r="7338" spans="1:5" x14ac:dyDescent="0.25">
      <c r="A7338" t="s">
        <v>8</v>
      </c>
      <c r="B7338" t="s">
        <v>18</v>
      </c>
      <c r="C7338" s="1">
        <v>46162.799305555563</v>
      </c>
      <c r="D7338" s="1">
        <v>46210.020833333343</v>
      </c>
      <c r="E7338" s="2">
        <f t="shared" si="114"/>
        <v>47.221527777779556</v>
      </c>
    </row>
    <row r="7339" spans="1:5" x14ac:dyDescent="0.25">
      <c r="A7339" t="s">
        <v>7</v>
      </c>
      <c r="B7339" t="s">
        <v>8</v>
      </c>
      <c r="C7339" s="1">
        <v>45875.462500000001</v>
      </c>
      <c r="D7339" s="1">
        <v>45920.2</v>
      </c>
      <c r="E7339" s="2">
        <f t="shared" si="114"/>
        <v>44.737499999995634</v>
      </c>
    </row>
    <row r="7340" spans="1:5" x14ac:dyDescent="0.25">
      <c r="A7340" t="s">
        <v>28</v>
      </c>
      <c r="B7340" t="s">
        <v>18</v>
      </c>
      <c r="C7340" s="1">
        <v>45890.753472222219</v>
      </c>
      <c r="D7340" s="1">
        <v>45970</v>
      </c>
      <c r="E7340" s="2">
        <f t="shared" si="114"/>
        <v>79.246527777781012</v>
      </c>
    </row>
    <row r="7341" spans="1:5" x14ac:dyDescent="0.25">
      <c r="A7341" t="s">
        <v>12</v>
      </c>
      <c r="B7341" t="s">
        <v>13</v>
      </c>
      <c r="C7341" s="1">
        <v>45838.333333333343</v>
      </c>
      <c r="D7341" s="1">
        <v>45884.808333333327</v>
      </c>
      <c r="E7341" s="2">
        <f t="shared" si="114"/>
        <v>46.474999999983993</v>
      </c>
    </row>
    <row r="7342" spans="1:5" x14ac:dyDescent="0.25">
      <c r="A7342" t="s">
        <v>22</v>
      </c>
      <c r="B7342" t="s">
        <v>19</v>
      </c>
      <c r="C7342" s="1">
        <v>46138.895833333343</v>
      </c>
      <c r="D7342" s="1">
        <v>46198.275694444441</v>
      </c>
      <c r="E7342" s="2">
        <f t="shared" si="114"/>
        <v>59.379861111097853</v>
      </c>
    </row>
    <row r="7343" spans="1:5" x14ac:dyDescent="0.25">
      <c r="A7343" t="s">
        <v>8</v>
      </c>
      <c r="B7343" t="s">
        <v>18</v>
      </c>
      <c r="C7343" s="1">
        <v>46165.598611111112</v>
      </c>
      <c r="D7343" s="1">
        <v>46202.029166666667</v>
      </c>
      <c r="E7343" s="2">
        <f t="shared" si="114"/>
        <v>36.430555555554747</v>
      </c>
    </row>
    <row r="7344" spans="1:5" x14ac:dyDescent="0.25">
      <c r="A7344" t="s">
        <v>7</v>
      </c>
      <c r="B7344" t="s">
        <v>8</v>
      </c>
      <c r="C7344" s="1">
        <v>45903.083333333343</v>
      </c>
      <c r="D7344" s="1">
        <v>45938.662499999999</v>
      </c>
      <c r="E7344" s="2">
        <f t="shared" si="114"/>
        <v>35.57916666665551</v>
      </c>
    </row>
    <row r="7345" spans="1:5" x14ac:dyDescent="0.25">
      <c r="A7345" t="s">
        <v>8</v>
      </c>
      <c r="B7345" t="s">
        <v>7</v>
      </c>
      <c r="C7345" s="1">
        <v>45959.195833333331</v>
      </c>
      <c r="D7345" s="1">
        <v>46016.57916666667</v>
      </c>
      <c r="E7345" s="2">
        <f t="shared" si="114"/>
        <v>57.383333333338669</v>
      </c>
    </row>
    <row r="7346" spans="1:5" x14ac:dyDescent="0.25">
      <c r="A7346" t="s">
        <v>22</v>
      </c>
      <c r="B7346" t="s">
        <v>19</v>
      </c>
      <c r="C7346" s="1">
        <v>46077.848611111112</v>
      </c>
      <c r="D7346" s="1">
        <v>46133.517361111109</v>
      </c>
      <c r="E7346" s="2">
        <f t="shared" si="114"/>
        <v>55.66874999999709</v>
      </c>
    </row>
    <row r="7347" spans="1:5" x14ac:dyDescent="0.25">
      <c r="A7347" t="s">
        <v>22</v>
      </c>
      <c r="B7347" t="s">
        <v>19</v>
      </c>
      <c r="C7347" s="1">
        <v>46034.720833333333</v>
      </c>
      <c r="D7347" s="1">
        <v>46088.423611111109</v>
      </c>
      <c r="E7347" s="2">
        <f t="shared" si="114"/>
        <v>53.702777777776646</v>
      </c>
    </row>
    <row r="7348" spans="1:5" x14ac:dyDescent="0.25">
      <c r="A7348" t="s">
        <v>22</v>
      </c>
      <c r="B7348" t="s">
        <v>52</v>
      </c>
      <c r="C7348" s="1">
        <v>46189.991666666669</v>
      </c>
      <c r="D7348" s="1">
        <v>46238.279166666667</v>
      </c>
      <c r="E7348" s="2">
        <f t="shared" si="114"/>
        <v>48.287499999998545</v>
      </c>
    </row>
    <row r="7349" spans="1:5" x14ac:dyDescent="0.25">
      <c r="A7349" t="s">
        <v>22</v>
      </c>
      <c r="B7349" t="s">
        <v>19</v>
      </c>
      <c r="C7349" s="1">
        <v>45998.75</v>
      </c>
      <c r="D7349" s="1">
        <v>46059.65</v>
      </c>
      <c r="E7349" s="2">
        <f t="shared" si="114"/>
        <v>60.900000000001455</v>
      </c>
    </row>
    <row r="7350" spans="1:5" x14ac:dyDescent="0.25">
      <c r="A7350" t="s">
        <v>22</v>
      </c>
      <c r="B7350" t="s">
        <v>51</v>
      </c>
      <c r="C7350" s="1">
        <v>46181.931250000001</v>
      </c>
      <c r="D7350" s="1">
        <v>46236.302777777782</v>
      </c>
      <c r="E7350" s="2">
        <f t="shared" si="114"/>
        <v>54.371527777781012</v>
      </c>
    </row>
    <row r="7351" spans="1:5" x14ac:dyDescent="0.25">
      <c r="A7351" t="s">
        <v>22</v>
      </c>
      <c r="B7351" t="s">
        <v>51</v>
      </c>
      <c r="C7351" s="1">
        <v>46020.635416666657</v>
      </c>
      <c r="D7351" s="1">
        <v>46093.324999999997</v>
      </c>
      <c r="E7351" s="2">
        <f t="shared" si="114"/>
        <v>72.689583333340124</v>
      </c>
    </row>
    <row r="7352" spans="1:5" x14ac:dyDescent="0.25">
      <c r="A7352" t="s">
        <v>22</v>
      </c>
      <c r="B7352" t="s">
        <v>51</v>
      </c>
      <c r="C7352" s="1">
        <v>46084.957638888889</v>
      </c>
      <c r="D7352" s="1">
        <v>46148.975694444453</v>
      </c>
      <c r="E7352" s="2">
        <f t="shared" si="114"/>
        <v>64.018055555563478</v>
      </c>
    </row>
    <row r="7353" spans="1:5" x14ac:dyDescent="0.25">
      <c r="A7353" t="s">
        <v>45</v>
      </c>
      <c r="B7353" t="s">
        <v>19</v>
      </c>
      <c r="C7353" s="1">
        <v>46069.445833333331</v>
      </c>
      <c r="D7353" s="1">
        <v>46109.896527777782</v>
      </c>
      <c r="E7353" s="2">
        <f t="shared" si="114"/>
        <v>40.450694444451074</v>
      </c>
    </row>
    <row r="7354" spans="1:5" x14ac:dyDescent="0.25">
      <c r="A7354" t="s">
        <v>35</v>
      </c>
      <c r="B7354" t="s">
        <v>13</v>
      </c>
      <c r="C7354" s="1">
        <v>46150.67083333333</v>
      </c>
      <c r="D7354" s="1">
        <v>46192.345833333333</v>
      </c>
      <c r="E7354" s="2">
        <f t="shared" si="114"/>
        <v>41.67500000000291</v>
      </c>
    </row>
    <row r="7355" spans="1:5" x14ac:dyDescent="0.25">
      <c r="A7355" t="s">
        <v>15</v>
      </c>
      <c r="B7355" t="s">
        <v>18</v>
      </c>
      <c r="C7355" s="1">
        <v>45919.62222222222</v>
      </c>
      <c r="D7355" s="1">
        <v>45963.897916666669</v>
      </c>
      <c r="E7355" s="2">
        <f t="shared" si="114"/>
        <v>44.275694444448163</v>
      </c>
    </row>
    <row r="7356" spans="1:5" x14ac:dyDescent="0.25">
      <c r="A7356" t="s">
        <v>35</v>
      </c>
      <c r="B7356" t="s">
        <v>13</v>
      </c>
      <c r="C7356" s="1">
        <v>46150.67083333333</v>
      </c>
      <c r="D7356" s="1">
        <v>46192.345833333333</v>
      </c>
      <c r="E7356" s="2">
        <f t="shared" si="114"/>
        <v>41.67500000000291</v>
      </c>
    </row>
    <row r="7357" spans="1:5" x14ac:dyDescent="0.25">
      <c r="A7357" t="s">
        <v>35</v>
      </c>
      <c r="B7357" t="s">
        <v>13</v>
      </c>
      <c r="C7357" s="1">
        <v>46150.67083333333</v>
      </c>
      <c r="D7357" s="1">
        <v>46192.345833333333</v>
      </c>
      <c r="E7357" s="2">
        <f t="shared" si="114"/>
        <v>41.67500000000291</v>
      </c>
    </row>
    <row r="7358" spans="1:5" x14ac:dyDescent="0.25">
      <c r="A7358" t="s">
        <v>22</v>
      </c>
      <c r="B7358" t="s">
        <v>51</v>
      </c>
      <c r="C7358" s="1">
        <v>46084.957638888889</v>
      </c>
      <c r="D7358" s="1">
        <v>46148.975694444453</v>
      </c>
      <c r="E7358" s="2">
        <f t="shared" si="114"/>
        <v>64.018055555563478</v>
      </c>
    </row>
    <row r="7359" spans="1:5" x14ac:dyDescent="0.25">
      <c r="A7359" t="s">
        <v>19</v>
      </c>
      <c r="B7359" t="s">
        <v>8</v>
      </c>
      <c r="C7359" s="1">
        <v>46206.100694444453</v>
      </c>
      <c r="D7359" s="1">
        <v>46229.818055555559</v>
      </c>
      <c r="E7359" s="2">
        <f t="shared" si="114"/>
        <v>23.717361111106584</v>
      </c>
    </row>
    <row r="7360" spans="1:5" x14ac:dyDescent="0.25">
      <c r="A7360" t="s">
        <v>22</v>
      </c>
      <c r="B7360" t="s">
        <v>51</v>
      </c>
      <c r="C7360" s="1">
        <v>46152.673611111109</v>
      </c>
      <c r="D7360" s="1">
        <v>46209.481944444437</v>
      </c>
      <c r="E7360" s="2">
        <f t="shared" si="114"/>
        <v>56.808333333327028</v>
      </c>
    </row>
    <row r="7361" spans="1:5" x14ac:dyDescent="0.25">
      <c r="A7361" t="s">
        <v>8</v>
      </c>
      <c r="B7361" t="s">
        <v>18</v>
      </c>
      <c r="C7361" s="1">
        <v>46114.920138888891</v>
      </c>
      <c r="D7361" s="1">
        <v>46149.688888888893</v>
      </c>
      <c r="E7361" s="2">
        <f t="shared" si="114"/>
        <v>34.76875000000291</v>
      </c>
    </row>
    <row r="7362" spans="1:5" x14ac:dyDescent="0.25">
      <c r="A7362" t="s">
        <v>22</v>
      </c>
      <c r="B7362" t="s">
        <v>19</v>
      </c>
      <c r="C7362" s="1">
        <v>46069.547222222223</v>
      </c>
      <c r="D7362" s="1">
        <v>46133.517361111109</v>
      </c>
      <c r="E7362" s="2">
        <f t="shared" ref="E7362:E7425" si="115">D7362-C7362</f>
        <v>63.97013888888614</v>
      </c>
    </row>
    <row r="7363" spans="1:5" x14ac:dyDescent="0.25">
      <c r="A7363" t="s">
        <v>22</v>
      </c>
      <c r="B7363" t="s">
        <v>19</v>
      </c>
      <c r="C7363" s="1">
        <v>46069.547222222223</v>
      </c>
      <c r="D7363" s="1">
        <v>46133.517361111109</v>
      </c>
      <c r="E7363" s="2">
        <f t="shared" si="115"/>
        <v>63.97013888888614</v>
      </c>
    </row>
    <row r="7364" spans="1:5" x14ac:dyDescent="0.25">
      <c r="A7364" t="s">
        <v>22</v>
      </c>
      <c r="B7364" t="s">
        <v>19</v>
      </c>
      <c r="C7364" s="1">
        <v>46020.635416666657</v>
      </c>
      <c r="D7364" s="1">
        <v>46082.257638888892</v>
      </c>
      <c r="E7364" s="2">
        <f t="shared" si="115"/>
        <v>61.622222222234996</v>
      </c>
    </row>
    <row r="7365" spans="1:5" x14ac:dyDescent="0.25">
      <c r="A7365" t="s">
        <v>22</v>
      </c>
      <c r="B7365" t="s">
        <v>51</v>
      </c>
      <c r="C7365" s="1">
        <v>46212.097222222219</v>
      </c>
      <c r="D7365" s="1">
        <v>46271.464583333327</v>
      </c>
      <c r="E7365" s="2">
        <f t="shared" si="115"/>
        <v>59.367361111108039</v>
      </c>
    </row>
    <row r="7366" spans="1:5" x14ac:dyDescent="0.25">
      <c r="A7366" t="s">
        <v>35</v>
      </c>
      <c r="B7366" t="s">
        <v>13</v>
      </c>
      <c r="C7366" s="1">
        <v>46229.237500000003</v>
      </c>
      <c r="D7366" s="1">
        <v>46276.3</v>
      </c>
      <c r="E7366" s="2">
        <f t="shared" si="115"/>
        <v>47.0625</v>
      </c>
    </row>
    <row r="7367" spans="1:5" x14ac:dyDescent="0.25">
      <c r="A7367" t="s">
        <v>15</v>
      </c>
      <c r="B7367" t="s">
        <v>13</v>
      </c>
      <c r="C7367" s="1">
        <v>46220.508333333331</v>
      </c>
      <c r="D7367" s="1">
        <v>46254.336805555547</v>
      </c>
      <c r="E7367" s="2">
        <f t="shared" si="115"/>
        <v>33.828472222216078</v>
      </c>
    </row>
    <row r="7368" spans="1:5" x14ac:dyDescent="0.25">
      <c r="A7368" t="s">
        <v>15</v>
      </c>
      <c r="B7368" t="s">
        <v>13</v>
      </c>
      <c r="C7368" s="1">
        <v>46220.508333333331</v>
      </c>
      <c r="D7368" s="1">
        <v>46254.336805555547</v>
      </c>
      <c r="E7368" s="2">
        <f t="shared" si="115"/>
        <v>33.828472222216078</v>
      </c>
    </row>
    <row r="7369" spans="1:5" x14ac:dyDescent="0.25">
      <c r="A7369" t="s">
        <v>15</v>
      </c>
      <c r="B7369" t="s">
        <v>16</v>
      </c>
      <c r="C7369" s="1">
        <v>46029.136805555558</v>
      </c>
      <c r="D7369" s="1">
        <v>46051.433333333327</v>
      </c>
      <c r="E7369" s="2">
        <f t="shared" si="115"/>
        <v>22.29652777776937</v>
      </c>
    </row>
    <row r="7370" spans="1:5" x14ac:dyDescent="0.25">
      <c r="A7370" t="s">
        <v>15</v>
      </c>
      <c r="B7370" t="s">
        <v>16</v>
      </c>
      <c r="C7370" s="1">
        <v>46043.041666666657</v>
      </c>
      <c r="D7370" s="1">
        <v>46056.083333333343</v>
      </c>
      <c r="E7370" s="2">
        <f t="shared" si="115"/>
        <v>13.041666666686069</v>
      </c>
    </row>
    <row r="7371" spans="1:5" x14ac:dyDescent="0.25">
      <c r="A7371" t="s">
        <v>15</v>
      </c>
      <c r="B7371" t="s">
        <v>16</v>
      </c>
      <c r="C7371" s="1">
        <v>46043.041666666657</v>
      </c>
      <c r="D7371" s="1">
        <v>46056.083333333343</v>
      </c>
      <c r="E7371" s="2">
        <f t="shared" si="115"/>
        <v>13.041666666686069</v>
      </c>
    </row>
    <row r="7372" spans="1:5" x14ac:dyDescent="0.25">
      <c r="A7372" t="s">
        <v>15</v>
      </c>
      <c r="B7372" t="s">
        <v>38</v>
      </c>
      <c r="C7372" s="1">
        <v>46158.303865740738</v>
      </c>
      <c r="D7372" s="1">
        <v>46202.322222222218</v>
      </c>
      <c r="E7372" s="2">
        <f t="shared" si="115"/>
        <v>44.018356481479714</v>
      </c>
    </row>
    <row r="7373" spans="1:5" x14ac:dyDescent="0.25">
      <c r="A7373" t="s">
        <v>42</v>
      </c>
      <c r="B7373" t="s">
        <v>19</v>
      </c>
      <c r="C7373" s="1">
        <v>45800.056238425917</v>
      </c>
      <c r="D7373" s="1">
        <v>45847.837500000001</v>
      </c>
      <c r="E7373" s="2">
        <f t="shared" si="115"/>
        <v>47.781261574084056</v>
      </c>
    </row>
    <row r="7374" spans="1:5" x14ac:dyDescent="0.25">
      <c r="A7374" t="s">
        <v>15</v>
      </c>
      <c r="B7374" t="s">
        <v>6</v>
      </c>
      <c r="C7374" s="1">
        <v>45690</v>
      </c>
      <c r="D7374" s="1">
        <v>45765.916666666657</v>
      </c>
      <c r="E7374" s="2">
        <f t="shared" si="115"/>
        <v>75.916666666656965</v>
      </c>
    </row>
    <row r="7375" spans="1:5" x14ac:dyDescent="0.25">
      <c r="A7375" t="s">
        <v>5</v>
      </c>
      <c r="B7375" t="s">
        <v>8</v>
      </c>
      <c r="C7375" s="1">
        <v>45995.0625</v>
      </c>
      <c r="D7375" s="1">
        <v>46028.791666666657</v>
      </c>
      <c r="E7375" s="2">
        <f t="shared" si="115"/>
        <v>33.729166666656965</v>
      </c>
    </row>
    <row r="7376" spans="1:5" x14ac:dyDescent="0.25">
      <c r="A7376" t="s">
        <v>5</v>
      </c>
      <c r="B7376" t="s">
        <v>6</v>
      </c>
      <c r="C7376" s="1">
        <v>45909.529166666667</v>
      </c>
      <c r="D7376" s="1">
        <v>45967.804166666669</v>
      </c>
      <c r="E7376" s="2">
        <f t="shared" si="115"/>
        <v>58.275000000001455</v>
      </c>
    </row>
    <row r="7377" spans="1:5" x14ac:dyDescent="0.25">
      <c r="A7377" t="s">
        <v>7</v>
      </c>
      <c r="B7377" t="s">
        <v>8</v>
      </c>
      <c r="C7377" s="1">
        <v>45911.604166666657</v>
      </c>
      <c r="D7377" s="1">
        <v>45948.104166666657</v>
      </c>
      <c r="E7377" s="2">
        <f t="shared" si="115"/>
        <v>36.5</v>
      </c>
    </row>
    <row r="7378" spans="1:5" x14ac:dyDescent="0.25">
      <c r="A7378" t="s">
        <v>7</v>
      </c>
      <c r="B7378" t="s">
        <v>8</v>
      </c>
      <c r="C7378" s="1">
        <v>45891.654166666667</v>
      </c>
      <c r="D7378" s="1">
        <v>45938.662499999999</v>
      </c>
      <c r="E7378" s="2">
        <f t="shared" si="115"/>
        <v>47.008333333331393</v>
      </c>
    </row>
    <row r="7379" spans="1:5" x14ac:dyDescent="0.25">
      <c r="A7379" t="s">
        <v>5</v>
      </c>
      <c r="B7379" t="s">
        <v>8</v>
      </c>
      <c r="C7379" s="1">
        <v>46018.725694444453</v>
      </c>
      <c r="D7379" s="1">
        <v>46071.058333333327</v>
      </c>
      <c r="E7379" s="2">
        <f t="shared" si="115"/>
        <v>52.332638888874499</v>
      </c>
    </row>
    <row r="7380" spans="1:5" x14ac:dyDescent="0.25">
      <c r="A7380" t="s">
        <v>15</v>
      </c>
      <c r="B7380" t="s">
        <v>38</v>
      </c>
      <c r="C7380" s="1">
        <v>46205.645833333343</v>
      </c>
      <c r="D7380" s="1">
        <v>46266.483865740738</v>
      </c>
      <c r="E7380" s="2">
        <f t="shared" si="115"/>
        <v>60.838032407395076</v>
      </c>
    </row>
    <row r="7381" spans="1:5" x14ac:dyDescent="0.25">
      <c r="A7381" t="s">
        <v>15</v>
      </c>
      <c r="B7381" t="s">
        <v>38</v>
      </c>
      <c r="C7381" s="1">
        <v>46205.645833333343</v>
      </c>
      <c r="D7381" s="1">
        <v>46266.483865740738</v>
      </c>
      <c r="E7381" s="2">
        <f t="shared" si="115"/>
        <v>60.838032407395076</v>
      </c>
    </row>
    <row r="7382" spans="1:5" x14ac:dyDescent="0.25">
      <c r="A7382" t="s">
        <v>15</v>
      </c>
      <c r="B7382" t="s">
        <v>38</v>
      </c>
      <c r="C7382" s="1">
        <v>46205.645833333343</v>
      </c>
      <c r="D7382" s="1">
        <v>46266.483865740738</v>
      </c>
      <c r="E7382" s="2">
        <f t="shared" si="115"/>
        <v>60.838032407395076</v>
      </c>
    </row>
    <row r="7383" spans="1:5" x14ac:dyDescent="0.25">
      <c r="A7383" t="s">
        <v>15</v>
      </c>
      <c r="B7383" t="s">
        <v>38</v>
      </c>
      <c r="C7383" s="1">
        <v>46205.640636574077</v>
      </c>
      <c r="D7383" s="1">
        <v>46266.483865740738</v>
      </c>
      <c r="E7383" s="2">
        <f t="shared" si="115"/>
        <v>60.843229166661331</v>
      </c>
    </row>
  </sheetData>
  <pageMargins left="0.75" right="0.75" top="1" bottom="1" header="0.5" footer="0.5"/>
  <headerFooter>
    <oddFooter>&amp;C_x000D_&amp;1#&amp;"Aptos"&amp;12&amp;K0000FF Internal Use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34"/>
  <sheetViews>
    <sheetView workbookViewId="0"/>
  </sheetViews>
  <sheetFormatPr baseColWidth="10" defaultColWidth="9.140625" defaultRowHeight="15" x14ac:dyDescent="0.25"/>
  <sheetData>
    <row r="1" spans="1:19" x14ac:dyDescent="0.25">
      <c r="A1" t="s">
        <v>0</v>
      </c>
      <c r="B1" t="s">
        <v>1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25">
      <c r="A2" t="s">
        <v>5</v>
      </c>
      <c r="B2" t="s">
        <v>8</v>
      </c>
      <c r="C2" t="s">
        <v>84</v>
      </c>
      <c r="D2" t="s">
        <v>85</v>
      </c>
      <c r="E2" t="s">
        <v>86</v>
      </c>
      <c r="F2" t="s">
        <v>87</v>
      </c>
      <c r="G2">
        <f>COUNTIFS('Raw Data'!$A$2:$A$7383,A2,'Raw Data'!$B$2:$B$7383,B2)</f>
        <v>908</v>
      </c>
      <c r="H2" t="str">
        <f t="shared" ref="H2:H33" si="0">IF(G2&gt;=15,"High",IF(G2&gt;=5,"Medium","Low"))</f>
        <v>High</v>
      </c>
      <c r="I2" s="3">
        <f>IFERROR(AVERAGEIFS('Raw Data'!$E$2:$E$7383,'Raw Data'!$A$2:$A$7383,A2,'Raw Data'!$B$2:$B$7383,B2),0)</f>
        <v>34.723793797926717</v>
      </c>
      <c r="J2" s="3">
        <f t="array" ref="J2">IFERROR(MEDIAN(IF(('Raw Data'!$A$2:$A$7383=A2)*('Raw Data'!$B$2:$B$7383=B2),'Raw Data'!$E$2:$E$7383)),0)</f>
        <v>31.997222222220444</v>
      </c>
      <c r="K2" s="3">
        <f t="array" ref="K2">IFERROR(STDEV(IF(('Raw Data'!$A$2:$A$7383=A2)*('Raw Data'!$B$2:$B$7383=B2),'Raw Data'!$E$2:$E$7383)),0)</f>
        <v>9.9297738670410656</v>
      </c>
      <c r="L2" s="2">
        <f t="shared" ref="L2:L33" si="1">IF(I2=0,0,K2/I2)</f>
        <v>0.28596454422079742</v>
      </c>
      <c r="M2" s="3">
        <f t="array" ref="M2">IFERROR(PERCENTILE(IF(('Raw Data'!$A$2:$A$7383=A2)*('Raw Data'!$B$2:$B$7383=B2),'Raw Data'!$E$2:$E$7383),0.75),0)</f>
        <v>41.358333333329938</v>
      </c>
      <c r="N2" s="3">
        <f t="array" ref="N2">IFERROR(PERCENTILE(IF(('Raw Data'!$A$2:$A$7383=A2)*('Raw Data'!$B$2:$B$7383=B2),'Raw Data'!$E$2:$E$7383),0.9),0)</f>
        <v>47.6875</v>
      </c>
      <c r="O2" s="3">
        <f t="array" ref="O2">IFERROR(PERCENTILE(IF(('Raw Data'!$A$2:$A$7383=A2)*('Raw Data'!$B$2:$B$7383=B2),'Raw Data'!$E$2:$E$7383),0.95),0)</f>
        <v>52.332638888874499</v>
      </c>
      <c r="P2" s="3">
        <f t="shared" ref="P2:P33" si="2">I2+1.2816*K2</f>
        <v>47.449791985926545</v>
      </c>
      <c r="Q2" s="3">
        <f t="shared" ref="Q2:Q33" si="3">N2-P2</f>
        <v>0.23770801407345488</v>
      </c>
      <c r="R2" s="3">
        <f t="shared" ref="R2:R33" si="4">IF(G2&lt;5,J2+K2,N2)</f>
        <v>47.6875</v>
      </c>
      <c r="S2" t="str">
        <f t="shared" ref="S2:S33" si="5">IF(G2&lt;5,"Median + 1 Std Dev (fallback, n&lt;5)","P90 empirical percentile")</f>
        <v>P90 empirical percentile</v>
      </c>
    </row>
    <row r="3" spans="1:19" x14ac:dyDescent="0.25">
      <c r="A3" t="s">
        <v>22</v>
      </c>
      <c r="B3" t="s">
        <v>19</v>
      </c>
      <c r="C3" t="s">
        <v>88</v>
      </c>
      <c r="D3" t="s">
        <v>89</v>
      </c>
      <c r="E3" t="s">
        <v>90</v>
      </c>
      <c r="F3" t="s">
        <v>91</v>
      </c>
      <c r="G3">
        <f>COUNTIFS('Raw Data'!$A$2:$A$7383,A3,'Raw Data'!$B$2:$B$7383,B3)</f>
        <v>504</v>
      </c>
      <c r="H3" t="str">
        <f t="shared" si="0"/>
        <v>High</v>
      </c>
      <c r="I3" s="3">
        <f>IFERROR(AVERAGEIFS('Raw Data'!$E$2:$E$7383,'Raw Data'!$A$2:$A$7383,A3,'Raw Data'!$B$2:$B$7383,B3),0)</f>
        <v>57.489081124154474</v>
      </c>
      <c r="J3" s="3">
        <f t="array" ref="J3">IFERROR(MEDIAN(IF(('Raw Data'!$A$2:$A$7383=A3)*('Raw Data'!$B$2:$B$7383=B3),'Raw Data'!$E$2:$E$7383)),0)</f>
        <v>54.87326388888323</v>
      </c>
      <c r="K3" s="3">
        <f t="array" ref="K3">IFERROR(STDEV(IF(('Raw Data'!$A$2:$A$7383=A3)*('Raw Data'!$B$2:$B$7383=B3),'Raw Data'!$E$2:$E$7383)),0)</f>
        <v>9.0140609035619654</v>
      </c>
      <c r="L3" s="2">
        <f t="shared" si="1"/>
        <v>0.15679605113351933</v>
      </c>
      <c r="M3" s="3">
        <f t="array" ref="M3">IFERROR(PERCENTILE(IF(('Raw Data'!$A$2:$A$7383=A3)*('Raw Data'!$B$2:$B$7383=B3),'Raw Data'!$E$2:$E$7383),0.75),0)</f>
        <v>63.563888888887959</v>
      </c>
      <c r="N3" s="3">
        <f t="array" ref="N3">IFERROR(PERCENTILE(IF(('Raw Data'!$A$2:$A$7383=A3)*('Raw Data'!$B$2:$B$7383=B3),'Raw Data'!$E$2:$E$7383),0.9),0)</f>
        <v>68.641666666670062</v>
      </c>
      <c r="O3" s="3">
        <f t="array" ref="O3">IFERROR(PERCENTILE(IF(('Raw Data'!$A$2:$A$7383=A3)*('Raw Data'!$B$2:$B$7383=B3),'Raw Data'!$E$2:$E$7383),0.95),0)</f>
        <v>74.970833333332848</v>
      </c>
      <c r="P3" s="3">
        <f t="shared" si="2"/>
        <v>69.041501578159483</v>
      </c>
      <c r="Q3" s="3">
        <f t="shared" si="3"/>
        <v>-0.39983491148942107</v>
      </c>
      <c r="R3" s="3">
        <f t="shared" si="4"/>
        <v>68.641666666670062</v>
      </c>
      <c r="S3" t="str">
        <f t="shared" si="5"/>
        <v>P90 empirical percentile</v>
      </c>
    </row>
    <row r="4" spans="1:19" x14ac:dyDescent="0.25">
      <c r="A4" t="s">
        <v>7</v>
      </c>
      <c r="B4" t="s">
        <v>8</v>
      </c>
      <c r="C4" t="s">
        <v>92</v>
      </c>
      <c r="D4" t="s">
        <v>85</v>
      </c>
      <c r="E4" t="s">
        <v>86</v>
      </c>
      <c r="F4" t="s">
        <v>87</v>
      </c>
      <c r="G4">
        <f>COUNTIFS('Raw Data'!$A$2:$A$7383,A4,'Raw Data'!$B$2:$B$7383,B4)</f>
        <v>502</v>
      </c>
      <c r="H4" t="str">
        <f t="shared" si="0"/>
        <v>High</v>
      </c>
      <c r="I4" s="3">
        <f>IFERROR(AVERAGEIFS('Raw Data'!$E$2:$E$7383,'Raw Data'!$A$2:$A$7383,A4,'Raw Data'!$B$2:$B$7383,B4),0)</f>
        <v>46.202622841962921</v>
      </c>
      <c r="J4" s="3">
        <f t="array" ref="J4">IFERROR(MEDIAN(IF(('Raw Data'!$A$2:$A$7383=A4)*('Raw Data'!$B$2:$B$7383=B4),'Raw Data'!$E$2:$E$7383)),0)</f>
        <v>46.458333333343035</v>
      </c>
      <c r="K4" s="3">
        <f t="array" ref="K4">IFERROR(STDEV(IF(('Raw Data'!$A$2:$A$7383=A4)*('Raw Data'!$B$2:$B$7383=B4),'Raw Data'!$E$2:$E$7383)),0)</f>
        <v>8.9159441025504513</v>
      </c>
      <c r="L4" s="2">
        <f t="shared" si="1"/>
        <v>0.19297484761953088</v>
      </c>
      <c r="M4" s="3">
        <f t="array" ref="M4">IFERROR(PERCENTILE(IF(('Raw Data'!$A$2:$A$7383=A4)*('Raw Data'!$B$2:$B$7383=B4),'Raw Data'!$E$2:$E$7383),0.75),0)</f>
        <v>51.245833333334303</v>
      </c>
      <c r="N4" s="3">
        <f t="array" ref="N4">IFERROR(PERCENTILE(IF(('Raw Data'!$A$2:$A$7383=A4)*('Raw Data'!$B$2:$B$7383=B4),'Raw Data'!$E$2:$E$7383),0.9),0)</f>
        <v>56.932500000000445</v>
      </c>
      <c r="O4" s="3">
        <f t="array" ref="O4">IFERROR(PERCENTILE(IF(('Raw Data'!$A$2:$A$7383=A4)*('Raw Data'!$B$2:$B$7383=B4),'Raw Data'!$E$2:$E$7383),0.95),0)</f>
        <v>66.400000000001455</v>
      </c>
      <c r="P4" s="3">
        <f t="shared" si="2"/>
        <v>57.629296803791576</v>
      </c>
      <c r="Q4" s="3">
        <f t="shared" si="3"/>
        <v>-0.69679680379113051</v>
      </c>
      <c r="R4" s="3">
        <f t="shared" si="4"/>
        <v>56.932500000000445</v>
      </c>
      <c r="S4" t="str">
        <f t="shared" si="5"/>
        <v>P90 empirical percentile</v>
      </c>
    </row>
    <row r="5" spans="1:19" x14ac:dyDescent="0.25">
      <c r="A5" t="s">
        <v>12</v>
      </c>
      <c r="B5" t="s">
        <v>13</v>
      </c>
      <c r="C5" t="s">
        <v>93</v>
      </c>
      <c r="D5" t="s">
        <v>94</v>
      </c>
      <c r="E5" t="s">
        <v>95</v>
      </c>
      <c r="F5" t="s">
        <v>96</v>
      </c>
      <c r="G5">
        <f>COUNTIFS('Raw Data'!$A$2:$A$7383,A5,'Raw Data'!$B$2:$B$7383,B5)</f>
        <v>244</v>
      </c>
      <c r="H5" t="str">
        <f t="shared" si="0"/>
        <v>High</v>
      </c>
      <c r="I5" s="3">
        <f>IFERROR(AVERAGEIFS('Raw Data'!$E$2:$E$7383,'Raw Data'!$A$2:$A$7383,A5,'Raw Data'!$B$2:$B$7383,B5),0)</f>
        <v>47.906647503037227</v>
      </c>
      <c r="J5" s="3">
        <f t="array" ref="J5">IFERROR(MEDIAN(IF(('Raw Data'!$A$2:$A$7383=A5)*('Raw Data'!$B$2:$B$7383=B5),'Raw Data'!$E$2:$E$7383)),0)</f>
        <v>47.229861111118225</v>
      </c>
      <c r="K5" s="3">
        <f t="array" ref="K5">IFERROR(STDEV(IF(('Raw Data'!$A$2:$A$7383=A5)*('Raw Data'!$B$2:$B$7383=B5),'Raw Data'!$E$2:$E$7383)),0)</f>
        <v>4.3822472893121667</v>
      </c>
      <c r="L5" s="2">
        <f t="shared" si="1"/>
        <v>9.1474722564010291E-2</v>
      </c>
      <c r="M5" s="3">
        <f t="array" ref="M5">IFERROR(PERCENTILE(IF(('Raw Data'!$A$2:$A$7383=A5)*('Raw Data'!$B$2:$B$7383=B5),'Raw Data'!$E$2:$E$7383),0.75),0)</f>
        <v>50.101041666668607</v>
      </c>
      <c r="N5" s="3">
        <f t="array" ref="N5">IFERROR(PERCENTILE(IF(('Raw Data'!$A$2:$A$7383=A5)*('Raw Data'!$B$2:$B$7383=B5),'Raw Data'!$E$2:$E$7383),0.9),0)</f>
        <v>53.948611111110949</v>
      </c>
      <c r="O5" s="3">
        <f t="array" ref="O5">IFERROR(PERCENTILE(IF(('Raw Data'!$A$2:$A$7383=A5)*('Raw Data'!$B$2:$B$7383=B5),'Raw Data'!$E$2:$E$7383),0.95),0)</f>
        <v>56.125694444446708</v>
      </c>
      <c r="P5" s="3">
        <f t="shared" si="2"/>
        <v>53.522935629019699</v>
      </c>
      <c r="Q5" s="3">
        <f t="shared" si="3"/>
        <v>0.4256754820912505</v>
      </c>
      <c r="R5" s="3">
        <f t="shared" si="4"/>
        <v>53.948611111110949</v>
      </c>
      <c r="S5" t="str">
        <f t="shared" si="5"/>
        <v>P90 empirical percentile</v>
      </c>
    </row>
    <row r="6" spans="1:19" x14ac:dyDescent="0.25">
      <c r="A6" t="s">
        <v>8</v>
      </c>
      <c r="B6" t="s">
        <v>18</v>
      </c>
      <c r="C6" t="s">
        <v>86</v>
      </c>
      <c r="D6" t="s">
        <v>87</v>
      </c>
      <c r="E6" t="s">
        <v>97</v>
      </c>
      <c r="F6" t="s">
        <v>98</v>
      </c>
      <c r="G6">
        <f>COUNTIFS('Raw Data'!$A$2:$A$7383,A6,'Raw Data'!$B$2:$B$7383,B6)</f>
        <v>241</v>
      </c>
      <c r="H6" t="str">
        <f t="shared" si="0"/>
        <v>High</v>
      </c>
      <c r="I6" s="3">
        <f>IFERROR(AVERAGEIFS('Raw Data'!$E$2:$E$7383,'Raw Data'!$A$2:$A$7383,A6,'Raw Data'!$B$2:$B$7383,B6),0)</f>
        <v>42.000924965422215</v>
      </c>
      <c r="J6" s="3">
        <f t="array" ref="J6">IFERROR(MEDIAN(IF(('Raw Data'!$A$2:$A$7383=A6)*('Raw Data'!$B$2:$B$7383=B6),'Raw Data'!$E$2:$E$7383)),0)</f>
        <v>42.099999999983993</v>
      </c>
      <c r="K6" s="3">
        <f t="array" ref="K6">IFERROR(STDEV(IF(('Raw Data'!$A$2:$A$7383=A6)*('Raw Data'!$B$2:$B$7383=B6),'Raw Data'!$E$2:$E$7383)),0)</f>
        <v>7.6362342148393578</v>
      </c>
      <c r="L6" s="2">
        <f t="shared" si="1"/>
        <v>0.18181109633004469</v>
      </c>
      <c r="M6" s="3">
        <f t="array" ref="M6">IFERROR(PERCENTILE(IF(('Raw Data'!$A$2:$A$7383=A6)*('Raw Data'!$B$2:$B$7383=B6),'Raw Data'!$E$2:$E$7383),0.75),0)</f>
        <v>47.221527777779556</v>
      </c>
      <c r="N6" s="3">
        <f t="array" ref="N6">IFERROR(PERCENTILE(IF(('Raw Data'!$A$2:$A$7383=A6)*('Raw Data'!$B$2:$B$7383=B6),'Raw Data'!$E$2:$E$7383),0.9),0)</f>
        <v>50.516666666670062</v>
      </c>
      <c r="O6" s="3">
        <f t="array" ref="O6">IFERROR(PERCENTILE(IF(('Raw Data'!$A$2:$A$7383=A6)*('Raw Data'!$B$2:$B$7383=B6),'Raw Data'!$E$2:$E$7383),0.95),0)</f>
        <v>56.939583333340124</v>
      </c>
      <c r="P6" s="3">
        <f t="shared" si="2"/>
        <v>51.787522735160337</v>
      </c>
      <c r="Q6" s="3">
        <f t="shared" si="3"/>
        <v>-1.270856068490275</v>
      </c>
      <c r="R6" s="3">
        <f t="shared" si="4"/>
        <v>50.516666666670062</v>
      </c>
      <c r="S6" t="str">
        <f t="shared" si="5"/>
        <v>P90 empirical percentile</v>
      </c>
    </row>
    <row r="7" spans="1:19" x14ac:dyDescent="0.25">
      <c r="A7" t="s">
        <v>15</v>
      </c>
      <c r="B7" t="s">
        <v>13</v>
      </c>
      <c r="C7" t="s">
        <v>99</v>
      </c>
      <c r="D7" t="s">
        <v>100</v>
      </c>
      <c r="E7" t="s">
        <v>95</v>
      </c>
      <c r="F7" t="s">
        <v>96</v>
      </c>
      <c r="G7">
        <f>COUNTIFS('Raw Data'!$A$2:$A$7383,A7,'Raw Data'!$B$2:$B$7383,B7)</f>
        <v>220</v>
      </c>
      <c r="H7" t="str">
        <f t="shared" si="0"/>
        <v>High</v>
      </c>
      <c r="I7" s="3">
        <f>IFERROR(AVERAGEIFS('Raw Data'!$E$2:$E$7383,'Raw Data'!$A$2:$A$7383,A7,'Raw Data'!$B$2:$B$7383,B7),0)</f>
        <v>39.940423032407558</v>
      </c>
      <c r="J7" s="3">
        <f t="array" ref="J7">IFERROR(MEDIAN(IF(('Raw Data'!$A$2:$A$7383=A7)*('Raw Data'!$B$2:$B$7383=B7),'Raw Data'!$E$2:$E$7383)),0)</f>
        <v>38.741435185187584</v>
      </c>
      <c r="K7" s="3">
        <f t="array" ref="K7">IFERROR(STDEV(IF(('Raw Data'!$A$2:$A$7383=A7)*('Raw Data'!$B$2:$B$7383=B7),'Raw Data'!$E$2:$E$7383)),0)</f>
        <v>3.9622949843810349</v>
      </c>
      <c r="L7" s="2">
        <f t="shared" si="1"/>
        <v>9.9205133134569926E-2</v>
      </c>
      <c r="M7" s="3">
        <f t="array" ref="M7">IFERROR(PERCENTILE(IF(('Raw Data'!$A$2:$A$7383=A7)*('Raw Data'!$B$2:$B$7383=B7),'Raw Data'!$E$2:$E$7383),0.75),0)</f>
        <v>42.084722222240089</v>
      </c>
      <c r="N7" s="3">
        <f t="array" ref="N7">IFERROR(PERCENTILE(IF(('Raw Data'!$A$2:$A$7383=A7)*('Raw Data'!$B$2:$B$7383=B7),'Raw Data'!$E$2:$E$7383),0.9),0)</f>
        <v>45.637499999989814</v>
      </c>
      <c r="O7" s="3">
        <f t="array" ref="O7">IFERROR(PERCENTILE(IF(('Raw Data'!$A$2:$A$7383=A7)*('Raw Data'!$B$2:$B$7383=B7),'Raw Data'!$E$2:$E$7383),0.95),0)</f>
        <v>48.88749999999709</v>
      </c>
      <c r="P7" s="3">
        <f t="shared" si="2"/>
        <v>45.018500284390292</v>
      </c>
      <c r="Q7" s="3">
        <f t="shared" si="3"/>
        <v>0.61899971559952149</v>
      </c>
      <c r="R7" s="3">
        <f t="shared" si="4"/>
        <v>45.637499999989814</v>
      </c>
      <c r="S7" t="str">
        <f t="shared" si="5"/>
        <v>P90 empirical percentile</v>
      </c>
    </row>
    <row r="8" spans="1:19" x14ac:dyDescent="0.25">
      <c r="A8" t="s">
        <v>15</v>
      </c>
      <c r="B8" t="s">
        <v>8</v>
      </c>
      <c r="C8" t="s">
        <v>99</v>
      </c>
      <c r="D8" t="s">
        <v>100</v>
      </c>
      <c r="E8" t="s">
        <v>86</v>
      </c>
      <c r="F8" t="s">
        <v>87</v>
      </c>
      <c r="G8">
        <f>COUNTIFS('Raw Data'!$A$2:$A$7383,A8,'Raw Data'!$B$2:$B$7383,B8)</f>
        <v>207</v>
      </c>
      <c r="H8" t="str">
        <f t="shared" si="0"/>
        <v>High</v>
      </c>
      <c r="I8" s="3">
        <f>IFERROR(AVERAGEIFS('Raw Data'!$E$2:$E$7383,'Raw Data'!$A$2:$A$7383,A8,'Raw Data'!$B$2:$B$7383,B8),0)</f>
        <v>43.052744229737101</v>
      </c>
      <c r="J8" s="3">
        <f t="array" ref="J8">IFERROR(MEDIAN(IF(('Raw Data'!$A$2:$A$7383=A8)*('Raw Data'!$B$2:$B$7383=B8),'Raw Data'!$E$2:$E$7383)),0)</f>
        <v>40.625</v>
      </c>
      <c r="K8" s="3">
        <f t="array" ref="K8">IFERROR(STDEV(IF(('Raw Data'!$A$2:$A$7383=A8)*('Raw Data'!$B$2:$B$7383=B8),'Raw Data'!$E$2:$E$7383)),0)</f>
        <v>7.674211064337725</v>
      </c>
      <c r="L8" s="2">
        <f t="shared" si="1"/>
        <v>0.17825137982811898</v>
      </c>
      <c r="M8" s="3">
        <f t="array" ref="M8">IFERROR(PERCENTILE(IF(('Raw Data'!$A$2:$A$7383=A8)*('Raw Data'!$B$2:$B$7383=B8),'Raw Data'!$E$2:$E$7383),0.75),0)</f>
        <v>47.156944444439432</v>
      </c>
      <c r="N8" s="3">
        <f t="array" ref="N8">IFERROR(PERCENTILE(IF(('Raw Data'!$A$2:$A$7383=A8)*('Raw Data'!$B$2:$B$7383=B8),'Raw Data'!$E$2:$E$7383),0.9),0)</f>
        <v>50.808194444449327</v>
      </c>
      <c r="O8" s="3">
        <f t="array" ref="O8">IFERROR(PERCENTILE(IF(('Raw Data'!$A$2:$A$7383=A8)*('Raw Data'!$B$2:$B$7383=B8),'Raw Data'!$E$2:$E$7383),0.95),0)</f>
        <v>54.803472222221899</v>
      </c>
      <c r="P8" s="3">
        <f t="shared" si="2"/>
        <v>52.888013129792327</v>
      </c>
      <c r="Q8" s="3">
        <f t="shared" si="3"/>
        <v>-2.0798186853429996</v>
      </c>
      <c r="R8" s="3">
        <f t="shared" si="4"/>
        <v>50.808194444449327</v>
      </c>
      <c r="S8" t="str">
        <f t="shared" si="5"/>
        <v>P90 empirical percentile</v>
      </c>
    </row>
    <row r="9" spans="1:19" x14ac:dyDescent="0.25">
      <c r="A9" t="s">
        <v>22</v>
      </c>
      <c r="B9" t="s">
        <v>14</v>
      </c>
      <c r="C9" t="s">
        <v>88</v>
      </c>
      <c r="D9" t="s">
        <v>89</v>
      </c>
      <c r="E9" t="s">
        <v>101</v>
      </c>
      <c r="F9" t="s">
        <v>96</v>
      </c>
      <c r="G9">
        <f>COUNTIFS('Raw Data'!$A$2:$A$7383,A9,'Raw Data'!$B$2:$B$7383,B9)</f>
        <v>203</v>
      </c>
      <c r="H9" t="str">
        <f t="shared" si="0"/>
        <v>High</v>
      </c>
      <c r="I9" s="3">
        <f>IFERROR(AVERAGEIFS('Raw Data'!$E$2:$E$7383,'Raw Data'!$A$2:$A$7383,A9,'Raw Data'!$B$2:$B$7383,B9),0)</f>
        <v>52.064274425286527</v>
      </c>
      <c r="J9" s="3">
        <f t="array" ref="J9">IFERROR(MEDIAN(IF(('Raw Data'!$A$2:$A$7383=A9)*('Raw Data'!$B$2:$B$7383=B9),'Raw Data'!$E$2:$E$7383)),0)</f>
        <v>46.688935185193259</v>
      </c>
      <c r="K9" s="3">
        <f t="array" ref="K9">IFERROR(STDEV(IF(('Raw Data'!$A$2:$A$7383=A9)*('Raw Data'!$B$2:$B$7383=B9),'Raw Data'!$E$2:$E$7383)),0)</f>
        <v>12.77242157189268</v>
      </c>
      <c r="L9" s="2">
        <f t="shared" si="1"/>
        <v>0.24532026447850358</v>
      </c>
      <c r="M9" s="3">
        <f t="array" ref="M9">IFERROR(PERCENTILE(IF(('Raw Data'!$A$2:$A$7383=A9)*('Raw Data'!$B$2:$B$7383=B9),'Raw Data'!$E$2:$E$7383),0.75),0)</f>
        <v>55.636817129630799</v>
      </c>
      <c r="N9" s="3">
        <f t="array" ref="N9">IFERROR(PERCENTILE(IF(('Raw Data'!$A$2:$A$7383=A9)*('Raw Data'!$B$2:$B$7383=B9),'Raw Data'!$E$2:$E$7383),0.9),0)</f>
        <v>62.933046296297128</v>
      </c>
      <c r="O9" s="3">
        <f t="array" ref="O9">IFERROR(PERCENTILE(IF(('Raw Data'!$A$2:$A$7383=A9)*('Raw Data'!$B$2:$B$7383=B9),'Raw Data'!$E$2:$E$7383),0.95),0)</f>
        <v>77.349583333326848</v>
      </c>
      <c r="P9" s="3">
        <f t="shared" si="2"/>
        <v>68.433409911824185</v>
      </c>
      <c r="Q9" s="3">
        <f t="shared" si="3"/>
        <v>-5.500363615527057</v>
      </c>
      <c r="R9" s="3">
        <f t="shared" si="4"/>
        <v>62.933046296297128</v>
      </c>
      <c r="S9" t="str">
        <f t="shared" si="5"/>
        <v>P90 empirical percentile</v>
      </c>
    </row>
    <row r="10" spans="1:19" x14ac:dyDescent="0.25">
      <c r="A10" t="s">
        <v>13</v>
      </c>
      <c r="B10" t="s">
        <v>8</v>
      </c>
      <c r="C10" t="s">
        <v>95</v>
      </c>
      <c r="D10" t="s">
        <v>96</v>
      </c>
      <c r="E10" t="s">
        <v>86</v>
      </c>
      <c r="F10" t="s">
        <v>87</v>
      </c>
      <c r="G10">
        <f>COUNTIFS('Raw Data'!$A$2:$A$7383,A10,'Raw Data'!$B$2:$B$7383,B10)</f>
        <v>200</v>
      </c>
      <c r="H10" t="str">
        <f t="shared" si="0"/>
        <v>High</v>
      </c>
      <c r="I10" s="3">
        <f>IFERROR(AVERAGEIFS('Raw Data'!$E$2:$E$7383,'Raw Data'!$A$2:$A$7383,A10,'Raw Data'!$B$2:$B$7383,B10),0)</f>
        <v>26.423155844906834</v>
      </c>
      <c r="J10" s="3">
        <f t="array" ref="J10">IFERROR(MEDIAN(IF(('Raw Data'!$A$2:$A$7383=A10)*('Raw Data'!$B$2:$B$7383=B10),'Raw Data'!$E$2:$E$7383)),0)</f>
        <v>24.884027777778101</v>
      </c>
      <c r="K10" s="3">
        <f t="array" ref="K10">IFERROR(STDEV(IF(('Raw Data'!$A$2:$A$7383=A10)*('Raw Data'!$B$2:$B$7383=B10),'Raw Data'!$E$2:$E$7383)),0)</f>
        <v>5.2688442117056429</v>
      </c>
      <c r="L10" s="2">
        <f t="shared" si="1"/>
        <v>0.19940253324135895</v>
      </c>
      <c r="M10" s="3">
        <f t="array" ref="M10">IFERROR(PERCENTILE(IF(('Raw Data'!$A$2:$A$7383=A10)*('Raw Data'!$B$2:$B$7383=B10),'Raw Data'!$E$2:$E$7383),0.75),0)</f>
        <v>27.822222222217533</v>
      </c>
      <c r="N10" s="3">
        <f t="array" ref="N10">IFERROR(PERCENTILE(IF(('Raw Data'!$A$2:$A$7383=A10)*('Raw Data'!$B$2:$B$7383=B10),'Raw Data'!$E$2:$E$7383),0.9),0)</f>
        <v>35.420833333329938</v>
      </c>
      <c r="O10" s="3">
        <f t="array" ref="O10">IFERROR(PERCENTILE(IF(('Raw Data'!$A$2:$A$7383=A10)*('Raw Data'!$B$2:$B$7383=B10),'Raw Data'!$E$2:$E$7383),0.95),0)</f>
        <v>37.416666666656965</v>
      </c>
      <c r="P10" s="3">
        <f t="shared" si="2"/>
        <v>33.175706586628785</v>
      </c>
      <c r="Q10" s="3">
        <f t="shared" si="3"/>
        <v>2.2451267467011533</v>
      </c>
      <c r="R10" s="3">
        <f t="shared" si="4"/>
        <v>35.420833333329938</v>
      </c>
      <c r="S10" t="str">
        <f t="shared" si="5"/>
        <v>P90 empirical percentile</v>
      </c>
    </row>
    <row r="11" spans="1:19" x14ac:dyDescent="0.25">
      <c r="A11" t="s">
        <v>15</v>
      </c>
      <c r="B11" t="s">
        <v>38</v>
      </c>
      <c r="C11" t="s">
        <v>99</v>
      </c>
      <c r="D11" t="s">
        <v>100</v>
      </c>
      <c r="E11" t="s">
        <v>102</v>
      </c>
      <c r="F11" t="s">
        <v>103</v>
      </c>
      <c r="G11">
        <f>COUNTIFS('Raw Data'!$A$2:$A$7383,A11,'Raw Data'!$B$2:$B$7383,B11)</f>
        <v>190</v>
      </c>
      <c r="H11" t="str">
        <f t="shared" si="0"/>
        <v>High</v>
      </c>
      <c r="I11" s="3">
        <f>IFERROR(AVERAGEIFS('Raw Data'!$E$2:$E$7383,'Raw Data'!$A$2:$A$7383,A11,'Raw Data'!$B$2:$B$7383,B11),0)</f>
        <v>47.625417519492551</v>
      </c>
      <c r="J11" s="3">
        <f t="array" ref="J11">IFERROR(MEDIAN(IF(('Raw Data'!$A$2:$A$7383=A11)*('Raw Data'!$B$2:$B$7383=B11),'Raw Data'!$E$2:$E$7383)),0)</f>
        <v>45.788194444437977</v>
      </c>
      <c r="K11" s="3">
        <f t="array" ref="K11">IFERROR(STDEV(IF(('Raw Data'!$A$2:$A$7383=A11)*('Raw Data'!$B$2:$B$7383=B11),'Raw Data'!$E$2:$E$7383)),0)</f>
        <v>4.897805503358188</v>
      </c>
      <c r="L11" s="2">
        <f t="shared" si="1"/>
        <v>0.10284015885747502</v>
      </c>
      <c r="M11" s="3">
        <f t="array" ref="M11">IFERROR(PERCENTILE(IF(('Raw Data'!$A$2:$A$7383=A11)*('Raw Data'!$B$2:$B$7383=B11),'Raw Data'!$E$2:$E$7383),0.75),0)</f>
        <v>47.078298611117134</v>
      </c>
      <c r="N11" s="3">
        <f t="array" ref="N11">IFERROR(PERCENTILE(IF(('Raw Data'!$A$2:$A$7383=A11)*('Raw Data'!$B$2:$B$7383=B11),'Raw Data'!$E$2:$E$7383),0.9),0)</f>
        <v>56.12397106481076</v>
      </c>
      <c r="O11" s="3">
        <f t="array" ref="O11">IFERROR(PERCENTILE(IF(('Raw Data'!$A$2:$A$7383=A11)*('Raw Data'!$B$2:$B$7383=B11),'Raw Data'!$E$2:$E$7383),0.95),0)</f>
        <v>59.448105324066219</v>
      </c>
      <c r="P11" s="3">
        <f t="shared" si="2"/>
        <v>53.902445052596406</v>
      </c>
      <c r="Q11" s="3">
        <f t="shared" si="3"/>
        <v>2.2215260122143548</v>
      </c>
      <c r="R11" s="3">
        <f t="shared" si="4"/>
        <v>56.12397106481076</v>
      </c>
      <c r="S11" t="str">
        <f t="shared" si="5"/>
        <v>P90 empirical percentile</v>
      </c>
    </row>
    <row r="12" spans="1:19" x14ac:dyDescent="0.25">
      <c r="A12" t="s">
        <v>15</v>
      </c>
      <c r="B12" t="s">
        <v>18</v>
      </c>
      <c r="C12" t="s">
        <v>99</v>
      </c>
      <c r="D12" t="s">
        <v>100</v>
      </c>
      <c r="E12" t="s">
        <v>97</v>
      </c>
      <c r="F12" t="s">
        <v>98</v>
      </c>
      <c r="G12">
        <f>COUNTIFS('Raw Data'!$A$2:$A$7383,A12,'Raw Data'!$B$2:$B$7383,B12)</f>
        <v>190</v>
      </c>
      <c r="H12" t="str">
        <f t="shared" si="0"/>
        <v>High</v>
      </c>
      <c r="I12" s="3">
        <f>IFERROR(AVERAGEIFS('Raw Data'!$E$2:$E$7383,'Raw Data'!$A$2:$A$7383,A12,'Raw Data'!$B$2:$B$7383,B12),0)</f>
        <v>50.665181712963076</v>
      </c>
      <c r="J12" s="3">
        <f t="array" ref="J12">IFERROR(MEDIAN(IF(('Raw Data'!$A$2:$A$7383=A12)*('Raw Data'!$B$2:$B$7383=B12),'Raw Data'!$E$2:$E$7383)),0)</f>
        <v>50.98194444444016</v>
      </c>
      <c r="K12" s="3">
        <f t="array" ref="K12">IFERROR(STDEV(IF(('Raw Data'!$A$2:$A$7383=A12)*('Raw Data'!$B$2:$B$7383=B12),'Raw Data'!$E$2:$E$7383)),0)</f>
        <v>7.4303925728658573</v>
      </c>
      <c r="L12" s="2">
        <f t="shared" si="1"/>
        <v>0.14665678325130205</v>
      </c>
      <c r="M12" s="3">
        <f t="array" ref="M12">IFERROR(PERCENTILE(IF(('Raw Data'!$A$2:$A$7383=A12)*('Raw Data'!$B$2:$B$7383=B12),'Raw Data'!$E$2:$E$7383),0.75),0)</f>
        <v>54.622916666667152</v>
      </c>
      <c r="N12" s="3">
        <f t="array" ref="N12">IFERROR(PERCENTILE(IF(('Raw Data'!$A$2:$A$7383=A12)*('Raw Data'!$B$2:$B$7383=B12),'Raw Data'!$E$2:$E$7383),0.9),0)</f>
        <v>60.585416666673694</v>
      </c>
      <c r="O12" s="3">
        <f t="array" ref="O12">IFERROR(PERCENTILE(IF(('Raw Data'!$A$2:$A$7383=A12)*('Raw Data'!$B$2:$B$7383=B12),'Raw Data'!$E$2:$E$7383),0.95),0)</f>
        <v>62.875</v>
      </c>
      <c r="P12" s="3">
        <f t="shared" si="2"/>
        <v>60.18797283434796</v>
      </c>
      <c r="Q12" s="3">
        <f t="shared" si="3"/>
        <v>0.39744383232573455</v>
      </c>
      <c r="R12" s="3">
        <f t="shared" si="4"/>
        <v>60.585416666673694</v>
      </c>
      <c r="S12" t="str">
        <f t="shared" si="5"/>
        <v>P90 empirical percentile</v>
      </c>
    </row>
    <row r="13" spans="1:19" x14ac:dyDescent="0.25">
      <c r="A13" t="s">
        <v>12</v>
      </c>
      <c r="B13" t="s">
        <v>18</v>
      </c>
      <c r="C13" t="s">
        <v>93</v>
      </c>
      <c r="D13" t="s">
        <v>94</v>
      </c>
      <c r="E13" t="s">
        <v>97</v>
      </c>
      <c r="F13" t="s">
        <v>98</v>
      </c>
      <c r="G13">
        <f>COUNTIFS('Raw Data'!$A$2:$A$7383,A13,'Raw Data'!$B$2:$B$7383,B13)</f>
        <v>165</v>
      </c>
      <c r="H13" t="str">
        <f t="shared" si="0"/>
        <v>High</v>
      </c>
      <c r="I13" s="3">
        <f>IFERROR(AVERAGEIFS('Raw Data'!$E$2:$E$7383,'Raw Data'!$A$2:$A$7383,A13,'Raw Data'!$B$2:$B$7383,B13),0)</f>
        <v>62.362439043209122</v>
      </c>
      <c r="J13" s="3">
        <f t="array" ref="J13">IFERROR(MEDIAN(IF(('Raw Data'!$A$2:$A$7383=A13)*('Raw Data'!$B$2:$B$7383=B13),'Raw Data'!$E$2:$E$7383)),0)</f>
        <v>62.81597222223354</v>
      </c>
      <c r="K13" s="3">
        <f t="array" ref="K13">IFERROR(STDEV(IF(('Raw Data'!$A$2:$A$7383=A13)*('Raw Data'!$B$2:$B$7383=B13),'Raw Data'!$E$2:$E$7383)),0)</f>
        <v>7.8047241036811545</v>
      </c>
      <c r="L13" s="2">
        <f t="shared" si="1"/>
        <v>0.12515104000780802</v>
      </c>
      <c r="M13" s="3">
        <f t="array" ref="M13">IFERROR(PERCENTILE(IF(('Raw Data'!$A$2:$A$7383=A13)*('Raw Data'!$B$2:$B$7383=B13),'Raw Data'!$E$2:$E$7383),0.75),0)</f>
        <v>67.384027777778101</v>
      </c>
      <c r="N13" s="3">
        <f t="array" ref="N13">IFERROR(PERCENTILE(IF(('Raw Data'!$A$2:$A$7383=A13)*('Raw Data'!$B$2:$B$7383=B13),'Raw Data'!$E$2:$E$7383),0.9),0)</f>
        <v>70.566944444437098</v>
      </c>
      <c r="O13" s="3">
        <f t="array" ref="O13">IFERROR(PERCENTILE(IF(('Raw Data'!$A$2:$A$7383=A13)*('Raw Data'!$B$2:$B$7383=B13),'Raw Data'!$E$2:$E$7383),0.95),0)</f>
        <v>74.297222222223354</v>
      </c>
      <c r="P13" s="3">
        <f t="shared" si="2"/>
        <v>72.364973454486886</v>
      </c>
      <c r="Q13" s="3">
        <f t="shared" si="3"/>
        <v>-1.7980290100497882</v>
      </c>
      <c r="R13" s="3">
        <f t="shared" si="4"/>
        <v>70.566944444437098</v>
      </c>
      <c r="S13" t="str">
        <f t="shared" si="5"/>
        <v>P90 empirical percentile</v>
      </c>
    </row>
    <row r="14" spans="1:19" x14ac:dyDescent="0.25">
      <c r="A14" t="s">
        <v>34</v>
      </c>
      <c r="B14" t="s">
        <v>13</v>
      </c>
      <c r="C14" t="s">
        <v>104</v>
      </c>
      <c r="D14" t="s">
        <v>105</v>
      </c>
      <c r="E14" t="s">
        <v>95</v>
      </c>
      <c r="F14" t="s">
        <v>96</v>
      </c>
      <c r="G14">
        <f>COUNTIFS('Raw Data'!$A$2:$A$7383,A14,'Raw Data'!$B$2:$B$7383,B14)</f>
        <v>147</v>
      </c>
      <c r="H14" t="str">
        <f t="shared" si="0"/>
        <v>High</v>
      </c>
      <c r="I14" s="3">
        <f>IFERROR(AVERAGEIFS('Raw Data'!$E$2:$E$7383,'Raw Data'!$A$2:$A$7383,A14,'Raw Data'!$B$2:$B$7383,B14),0)</f>
        <v>27.288720080625378</v>
      </c>
      <c r="J14" s="3">
        <f t="array" ref="J14">IFERROR(MEDIAN(IF(('Raw Data'!$A$2:$A$7383=A14)*('Raw Data'!$B$2:$B$7383=B14),'Raw Data'!$E$2:$E$7383)),0)</f>
        <v>25.429166666661331</v>
      </c>
      <c r="K14" s="3">
        <f t="array" ref="K14">IFERROR(STDEV(IF(('Raw Data'!$A$2:$A$7383=A14)*('Raw Data'!$B$2:$B$7383=B14),'Raw Data'!$E$2:$E$7383)),0)</f>
        <v>5.2013347753874095</v>
      </c>
      <c r="L14" s="2">
        <f t="shared" si="1"/>
        <v>0.19060383777692405</v>
      </c>
      <c r="M14" s="3">
        <f t="array" ref="M14">IFERROR(PERCENTILE(IF(('Raw Data'!$A$2:$A$7383=A14)*('Raw Data'!$B$2:$B$7383=B14),'Raw Data'!$E$2:$E$7383),0.75),0)</f>
        <v>29.162934027779556</v>
      </c>
      <c r="N14" s="3">
        <f t="array" ref="N14">IFERROR(PERCENTILE(IF(('Raw Data'!$A$2:$A$7383=A14)*('Raw Data'!$B$2:$B$7383=B14),'Raw Data'!$E$2:$E$7383),0.9),0)</f>
        <v>36.085416666668607</v>
      </c>
      <c r="O14" s="3">
        <f t="array" ref="O14">IFERROR(PERCENTILE(IF(('Raw Data'!$A$2:$A$7383=A14)*('Raw Data'!$B$2:$B$7383=B14),'Raw Data'!$E$2:$E$7383),0.95),0)</f>
        <v>39.748986111114206</v>
      </c>
      <c r="P14" s="3">
        <f t="shared" si="2"/>
        <v>33.95475072876188</v>
      </c>
      <c r="Q14" s="3">
        <f t="shared" si="3"/>
        <v>2.130665937906727</v>
      </c>
      <c r="R14" s="3">
        <f t="shared" si="4"/>
        <v>36.085416666668607</v>
      </c>
      <c r="S14" t="str">
        <f t="shared" si="5"/>
        <v>P90 empirical percentile</v>
      </c>
    </row>
    <row r="15" spans="1:19" x14ac:dyDescent="0.25">
      <c r="A15" t="s">
        <v>11</v>
      </c>
      <c r="B15" t="s">
        <v>37</v>
      </c>
      <c r="C15" t="s">
        <v>106</v>
      </c>
      <c r="D15" t="s">
        <v>107</v>
      </c>
      <c r="E15" t="s">
        <v>108</v>
      </c>
      <c r="F15" t="s">
        <v>105</v>
      </c>
      <c r="G15">
        <f>COUNTIFS('Raw Data'!$A$2:$A$7383,A15,'Raw Data'!$B$2:$B$7383,B15)</f>
        <v>142</v>
      </c>
      <c r="H15" t="str">
        <f t="shared" si="0"/>
        <v>High</v>
      </c>
      <c r="I15" s="3">
        <f>IFERROR(AVERAGEIFS('Raw Data'!$E$2:$E$7383,'Raw Data'!$A$2:$A$7383,A15,'Raw Data'!$B$2:$B$7383,B15),0)</f>
        <v>15.907385563380929</v>
      </c>
      <c r="J15" s="3">
        <f t="array" ref="J15">IFERROR(MEDIAN(IF(('Raw Data'!$A$2:$A$7383=A15)*('Raw Data'!$B$2:$B$7383=B15),'Raw Data'!$E$2:$E$7383)),0)</f>
        <v>16.304039351853135</v>
      </c>
      <c r="K15" s="3">
        <f t="array" ref="K15">IFERROR(STDEV(IF(('Raw Data'!$A$2:$A$7383=A15)*('Raw Data'!$B$2:$B$7383=B15),'Raw Data'!$E$2:$E$7383)),0)</f>
        <v>2.5575786210777522</v>
      </c>
      <c r="L15" s="2">
        <f t="shared" si="1"/>
        <v>0.16077931919657129</v>
      </c>
      <c r="M15" s="3">
        <f t="array" ref="M15">IFERROR(PERCENTILE(IF(('Raw Data'!$A$2:$A$7383=A15)*('Raw Data'!$B$2:$B$7383=B15),'Raw Data'!$E$2:$E$7383),0.75),0)</f>
        <v>17.020428240750334</v>
      </c>
      <c r="N15" s="3">
        <f t="array" ref="N15">IFERROR(PERCENTILE(IF(('Raw Data'!$A$2:$A$7383=A15)*('Raw Data'!$B$2:$B$7383=B15),'Raw Data'!$E$2:$E$7383),0.9),0)</f>
        <v>18.950000000004366</v>
      </c>
      <c r="O15" s="3">
        <f t="array" ref="O15">IFERROR(PERCENTILE(IF(('Raw Data'!$A$2:$A$7383=A15)*('Raw Data'!$B$2:$B$7383=B15),'Raw Data'!$E$2:$E$7383),0.95),0)</f>
        <v>20.081271412042401</v>
      </c>
      <c r="P15" s="3">
        <f t="shared" si="2"/>
        <v>19.185178324154176</v>
      </c>
      <c r="Q15" s="3">
        <f t="shared" si="3"/>
        <v>-0.23517832414981044</v>
      </c>
      <c r="R15" s="3">
        <f t="shared" si="4"/>
        <v>18.950000000004366</v>
      </c>
      <c r="S15" t="str">
        <f t="shared" si="5"/>
        <v>P90 empirical percentile</v>
      </c>
    </row>
    <row r="16" spans="1:19" x14ac:dyDescent="0.25">
      <c r="A16" t="s">
        <v>22</v>
      </c>
      <c r="B16" t="s">
        <v>51</v>
      </c>
      <c r="C16" t="s">
        <v>88</v>
      </c>
      <c r="D16" t="s">
        <v>89</v>
      </c>
      <c r="E16" t="s">
        <v>109</v>
      </c>
      <c r="F16" t="s">
        <v>110</v>
      </c>
      <c r="G16">
        <f>COUNTIFS('Raw Data'!$A$2:$A$7383,A16,'Raw Data'!$B$2:$B$7383,B16)</f>
        <v>140</v>
      </c>
      <c r="H16" t="str">
        <f t="shared" si="0"/>
        <v>High</v>
      </c>
      <c r="I16" s="3">
        <f>IFERROR(AVERAGEIFS('Raw Data'!$E$2:$E$7383,'Raw Data'!$A$2:$A$7383,A16,'Raw Data'!$B$2:$B$7383,B16),0)</f>
        <v>59.898488425926551</v>
      </c>
      <c r="J16" s="3">
        <f t="array" ref="J16">IFERROR(MEDIAN(IF(('Raw Data'!$A$2:$A$7383=A16)*('Raw Data'!$B$2:$B$7383=B16),'Raw Data'!$E$2:$E$7383)),0)</f>
        <v>56.84375</v>
      </c>
      <c r="K16" s="3">
        <f t="array" ref="K16">IFERROR(STDEV(IF(('Raw Data'!$A$2:$A$7383=A16)*('Raw Data'!$B$2:$B$7383=B16),'Raw Data'!$E$2:$E$7383)),0)</f>
        <v>8.8874439430721921</v>
      </c>
      <c r="L16" s="2">
        <f t="shared" si="1"/>
        <v>0.14837509554290085</v>
      </c>
      <c r="M16" s="3">
        <f t="array" ref="M16">IFERROR(PERCENTILE(IF(('Raw Data'!$A$2:$A$7383=A16)*('Raw Data'!$B$2:$B$7383=B16),'Raw Data'!$E$2:$E$7383),0.75),0)</f>
        <v>63.653472222220444</v>
      </c>
      <c r="N16" s="3">
        <f t="array" ref="N16">IFERROR(PERCENTILE(IF(('Raw Data'!$A$2:$A$7383=A16)*('Raw Data'!$B$2:$B$7383=B16),'Raw Data'!$E$2:$E$7383),0.9),0)</f>
        <v>72.689583333340124</v>
      </c>
      <c r="O16" s="3">
        <f t="array" ref="O16">IFERROR(PERCENTILE(IF(('Raw Data'!$A$2:$A$7383=A16)*('Raw Data'!$B$2:$B$7383=B16),'Raw Data'!$E$2:$E$7383),0.95),0)</f>
        <v>77.177083333334934</v>
      </c>
      <c r="P16" s="3">
        <f t="shared" si="2"/>
        <v>71.288636583367875</v>
      </c>
      <c r="Q16" s="3">
        <f t="shared" si="3"/>
        <v>1.400946749972249</v>
      </c>
      <c r="R16" s="3">
        <f t="shared" si="4"/>
        <v>72.689583333340124</v>
      </c>
      <c r="S16" t="str">
        <f t="shared" si="5"/>
        <v>P90 empirical percentile</v>
      </c>
    </row>
    <row r="17" spans="1:19" x14ac:dyDescent="0.25">
      <c r="A17" t="s">
        <v>14</v>
      </c>
      <c r="B17" t="s">
        <v>22</v>
      </c>
      <c r="C17" t="s">
        <v>101</v>
      </c>
      <c r="D17" t="s">
        <v>96</v>
      </c>
      <c r="E17" t="s">
        <v>88</v>
      </c>
      <c r="F17" t="s">
        <v>89</v>
      </c>
      <c r="G17">
        <f>COUNTIFS('Raw Data'!$A$2:$A$7383,A17,'Raw Data'!$B$2:$B$7383,B17)</f>
        <v>124</v>
      </c>
      <c r="H17" t="str">
        <f t="shared" si="0"/>
        <v>High</v>
      </c>
      <c r="I17" s="3">
        <f>IFERROR(AVERAGEIFS('Raw Data'!$E$2:$E$7383,'Raw Data'!$A$2:$A$7383,A17,'Raw Data'!$B$2:$B$7383,B17),0)</f>
        <v>61.795069444444501</v>
      </c>
      <c r="J17" s="3">
        <f t="array" ref="J17">IFERROR(MEDIAN(IF(('Raw Data'!$A$2:$A$7383=A17)*('Raw Data'!$B$2:$B$7383=B17),'Raw Data'!$E$2:$E$7383)),0)</f>
        <v>56.38000578703577</v>
      </c>
      <c r="K17" s="3">
        <f t="array" ref="K17">IFERROR(STDEV(IF(('Raw Data'!$A$2:$A$7383=A17)*('Raw Data'!$B$2:$B$7383=B17),'Raw Data'!$E$2:$E$7383)),0)</f>
        <v>14.316832514398223</v>
      </c>
      <c r="L17" s="2">
        <f t="shared" si="1"/>
        <v>0.23168244073695002</v>
      </c>
      <c r="M17" s="3">
        <f t="array" ref="M17">IFERROR(PERCENTILE(IF(('Raw Data'!$A$2:$A$7383=A17)*('Raw Data'!$B$2:$B$7383=B17),'Raw Data'!$E$2:$E$7383),0.75),0)</f>
        <v>65.334201388895963</v>
      </c>
      <c r="N17" s="3">
        <f t="array" ref="N17">IFERROR(PERCENTILE(IF(('Raw Data'!$A$2:$A$7383=A17)*('Raw Data'!$B$2:$B$7383=B17),'Raw Data'!$E$2:$E$7383),0.9),0)</f>
        <v>82.541458333342604</v>
      </c>
      <c r="O17" s="3">
        <f t="array" ref="O17">IFERROR(PERCENTILE(IF(('Raw Data'!$A$2:$A$7383=A17)*('Raw Data'!$B$2:$B$7383=B17),'Raw Data'!$E$2:$E$7383),0.95),0)</f>
        <v>88.4375</v>
      </c>
      <c r="P17" s="3">
        <f t="shared" si="2"/>
        <v>80.14352199489727</v>
      </c>
      <c r="Q17" s="3">
        <f t="shared" si="3"/>
        <v>2.3979363384453336</v>
      </c>
      <c r="R17" s="3">
        <f t="shared" si="4"/>
        <v>82.541458333342604</v>
      </c>
      <c r="S17" t="str">
        <f t="shared" si="5"/>
        <v>P90 empirical percentile</v>
      </c>
    </row>
    <row r="18" spans="1:19" x14ac:dyDescent="0.25">
      <c r="A18" t="s">
        <v>10</v>
      </c>
      <c r="B18" t="s">
        <v>11</v>
      </c>
      <c r="C18" t="s">
        <v>111</v>
      </c>
      <c r="D18" t="s">
        <v>112</v>
      </c>
      <c r="E18" t="s">
        <v>106</v>
      </c>
      <c r="F18" t="s">
        <v>107</v>
      </c>
      <c r="G18">
        <f>COUNTIFS('Raw Data'!$A$2:$A$7383,A18,'Raw Data'!$B$2:$B$7383,B18)</f>
        <v>116</v>
      </c>
      <c r="H18" t="str">
        <f t="shared" si="0"/>
        <v>High</v>
      </c>
      <c r="I18" s="3">
        <f>IFERROR(AVERAGEIFS('Raw Data'!$E$2:$E$7383,'Raw Data'!$A$2:$A$7383,A18,'Raw Data'!$B$2:$B$7383,B18),0)</f>
        <v>30.107710727969696</v>
      </c>
      <c r="J18" s="3">
        <f t="array" ref="J18">IFERROR(MEDIAN(IF(('Raw Data'!$A$2:$A$7383=A18)*('Raw Data'!$B$2:$B$7383=B18),'Raw Data'!$E$2:$E$7383)),0)</f>
        <v>30.263194444447436</v>
      </c>
      <c r="K18" s="3">
        <f t="array" ref="K18">IFERROR(STDEV(IF(('Raw Data'!$A$2:$A$7383=A18)*('Raw Data'!$B$2:$B$7383=B18),'Raw Data'!$E$2:$E$7383)),0)</f>
        <v>2.8428571000326963</v>
      </c>
      <c r="L18" s="2">
        <f t="shared" si="1"/>
        <v>9.4422891388806815E-2</v>
      </c>
      <c r="M18" s="3">
        <f t="array" ref="M18">IFERROR(PERCENTILE(IF(('Raw Data'!$A$2:$A$7383=A18)*('Raw Data'!$B$2:$B$7383=B18),'Raw Data'!$E$2:$E$7383),0.75),0)</f>
        <v>32.209375000005821</v>
      </c>
      <c r="N18" s="3">
        <f t="array" ref="N18">IFERROR(PERCENTILE(IF(('Raw Data'!$A$2:$A$7383=A18)*('Raw Data'!$B$2:$B$7383=B18),'Raw Data'!$E$2:$E$7383),0.9),0)</f>
        <v>33.741603009260871</v>
      </c>
      <c r="O18" s="3">
        <f t="array" ref="O18">IFERROR(PERCENTILE(IF(('Raw Data'!$A$2:$A$7383=A18)*('Raw Data'!$B$2:$B$7383=B18),'Raw Data'!$E$2:$E$7383),0.95),0)</f>
        <v>34.033333333332848</v>
      </c>
      <c r="P18" s="3">
        <f t="shared" si="2"/>
        <v>33.751116387371603</v>
      </c>
      <c r="Q18" s="3">
        <f t="shared" si="3"/>
        <v>-9.5133781107321624E-3</v>
      </c>
      <c r="R18" s="3">
        <f t="shared" si="4"/>
        <v>33.741603009260871</v>
      </c>
      <c r="S18" t="str">
        <f t="shared" si="5"/>
        <v>P90 empirical percentile</v>
      </c>
    </row>
    <row r="19" spans="1:19" x14ac:dyDescent="0.25">
      <c r="A19" t="s">
        <v>7</v>
      </c>
      <c r="B19" t="s">
        <v>11</v>
      </c>
      <c r="C19" t="s">
        <v>92</v>
      </c>
      <c r="D19" t="s">
        <v>85</v>
      </c>
      <c r="E19" t="s">
        <v>106</v>
      </c>
      <c r="F19" t="s">
        <v>107</v>
      </c>
      <c r="G19">
        <f>COUNTIFS('Raw Data'!$A$2:$A$7383,A19,'Raw Data'!$B$2:$B$7383,B19)</f>
        <v>113</v>
      </c>
      <c r="H19" t="str">
        <f t="shared" si="0"/>
        <v>High</v>
      </c>
      <c r="I19" s="3">
        <f>IFERROR(AVERAGEIFS('Raw Data'!$E$2:$E$7383,'Raw Data'!$A$2:$A$7383,A19,'Raw Data'!$B$2:$B$7383,B19),0)</f>
        <v>76.784009341198498</v>
      </c>
      <c r="J19" s="3">
        <f t="array" ref="J19">IFERROR(MEDIAN(IF(('Raw Data'!$A$2:$A$7383=A19)*('Raw Data'!$B$2:$B$7383=B19),'Raw Data'!$E$2:$E$7383)),0)</f>
        <v>75.887500000011642</v>
      </c>
      <c r="K19" s="3">
        <f t="array" ref="K19">IFERROR(STDEV(IF(('Raw Data'!$A$2:$A$7383=A19)*('Raw Data'!$B$2:$B$7383=B19),'Raw Data'!$E$2:$E$7383)),0)</f>
        <v>6.9228622644602709</v>
      </c>
      <c r="L19" s="2">
        <f t="shared" si="1"/>
        <v>9.0160208145653647E-2</v>
      </c>
      <c r="M19" s="3">
        <f t="array" ref="M19">IFERROR(PERCENTILE(IF(('Raw Data'!$A$2:$A$7383=A19)*('Raw Data'!$B$2:$B$7383=B19),'Raw Data'!$E$2:$E$7383),0.75),0)</f>
        <v>81.283333333325572</v>
      </c>
      <c r="N19" s="3">
        <f t="array" ref="N19">IFERROR(PERCENTILE(IF(('Raw Data'!$A$2:$A$7383=A19)*('Raw Data'!$B$2:$B$7383=B19),'Raw Data'!$E$2:$E$7383),0.9),0)</f>
        <v>87.154166666667152</v>
      </c>
      <c r="O19" s="3">
        <f t="array" ref="O19">IFERROR(PERCENTILE(IF(('Raw Data'!$A$2:$A$7383=A19)*('Raw Data'!$B$2:$B$7383=B19),'Raw Data'!$E$2:$E$7383),0.95),0)</f>
        <v>88.833749999992136</v>
      </c>
      <c r="P19" s="3">
        <f t="shared" si="2"/>
        <v>85.656349619330783</v>
      </c>
      <c r="Q19" s="3">
        <f t="shared" si="3"/>
        <v>1.497817047336369</v>
      </c>
      <c r="R19" s="3">
        <f t="shared" si="4"/>
        <v>87.154166666667152</v>
      </c>
      <c r="S19" t="str">
        <f t="shared" si="5"/>
        <v>P90 empirical percentile</v>
      </c>
    </row>
    <row r="20" spans="1:19" x14ac:dyDescent="0.25">
      <c r="A20" t="s">
        <v>41</v>
      </c>
      <c r="B20" t="s">
        <v>8</v>
      </c>
      <c r="C20" t="s">
        <v>113</v>
      </c>
      <c r="D20" t="s">
        <v>85</v>
      </c>
      <c r="E20" t="s">
        <v>86</v>
      </c>
      <c r="F20" t="s">
        <v>87</v>
      </c>
      <c r="G20">
        <f>COUNTIFS('Raw Data'!$A$2:$A$7383,A20,'Raw Data'!$B$2:$B$7383,B20)</f>
        <v>112</v>
      </c>
      <c r="H20" t="str">
        <f t="shared" si="0"/>
        <v>High</v>
      </c>
      <c r="I20" s="3">
        <f>IFERROR(AVERAGEIFS('Raw Data'!$E$2:$E$7383,'Raw Data'!$A$2:$A$7383,A20,'Raw Data'!$B$2:$B$7383,B20),0)</f>
        <v>39.65967881944497</v>
      </c>
      <c r="J20" s="3">
        <f t="array" ref="J20">IFERROR(MEDIAN(IF(('Raw Data'!$A$2:$A$7383=A20)*('Raw Data'!$B$2:$B$7383=B20),'Raw Data'!$E$2:$E$7383)),0)</f>
        <v>38.209722222229175</v>
      </c>
      <c r="K20" s="3">
        <f t="array" ref="K20">IFERROR(STDEV(IF(('Raw Data'!$A$2:$A$7383=A20)*('Raw Data'!$B$2:$B$7383=B20),'Raw Data'!$E$2:$E$7383)),0)</f>
        <v>3.7918480276248379</v>
      </c>
      <c r="L20" s="2">
        <f t="shared" si="1"/>
        <v>9.5609650418190251E-2</v>
      </c>
      <c r="M20" s="3">
        <f t="array" ref="M20">IFERROR(PERCENTILE(IF(('Raw Data'!$A$2:$A$7383=A20)*('Raw Data'!$B$2:$B$7383=B20),'Raw Data'!$E$2:$E$7383),0.75),0)</f>
        <v>40.711111111122591</v>
      </c>
      <c r="N20" s="3">
        <f t="array" ref="N20">IFERROR(PERCENTILE(IF(('Raw Data'!$A$2:$A$7383=A20)*('Raw Data'!$B$2:$B$7383=B20),'Raw Data'!$E$2:$E$7383),0.9),0)</f>
        <v>41.847777777774176</v>
      </c>
      <c r="O20" s="3">
        <f t="array" ref="O20">IFERROR(PERCENTILE(IF(('Raw Data'!$A$2:$A$7383=A20)*('Raw Data'!$B$2:$B$7383=B20),'Raw Data'!$E$2:$E$7383),0.95),0)</f>
        <v>50.06388888888614</v>
      </c>
      <c r="P20" s="3">
        <f t="shared" si="2"/>
        <v>44.519311251648965</v>
      </c>
      <c r="Q20" s="3">
        <f t="shared" si="3"/>
        <v>-2.6715334738747885</v>
      </c>
      <c r="R20" s="3">
        <f t="shared" si="4"/>
        <v>41.847777777774176</v>
      </c>
      <c r="S20" t="str">
        <f t="shared" si="5"/>
        <v>P90 empirical percentile</v>
      </c>
    </row>
    <row r="21" spans="1:19" x14ac:dyDescent="0.25">
      <c r="A21" t="s">
        <v>6</v>
      </c>
      <c r="B21" t="s">
        <v>8</v>
      </c>
      <c r="C21" t="s">
        <v>114</v>
      </c>
      <c r="D21" t="s">
        <v>115</v>
      </c>
      <c r="E21" t="s">
        <v>86</v>
      </c>
      <c r="F21" t="s">
        <v>87</v>
      </c>
      <c r="G21">
        <f>COUNTIFS('Raw Data'!$A$2:$A$7383,A21,'Raw Data'!$B$2:$B$7383,B21)</f>
        <v>111</v>
      </c>
      <c r="H21" t="str">
        <f t="shared" si="0"/>
        <v>High</v>
      </c>
      <c r="I21" s="3">
        <f>IFERROR(AVERAGEIFS('Raw Data'!$E$2:$E$7383,'Raw Data'!$A$2:$A$7383,A21,'Raw Data'!$B$2:$B$7383,B21),0)</f>
        <v>44.267073323322407</v>
      </c>
      <c r="J21" s="3">
        <f t="array" ref="J21">IFERROR(MEDIAN(IF(('Raw Data'!$A$2:$A$7383=A21)*('Raw Data'!$B$2:$B$7383=B21),'Raw Data'!$E$2:$E$7383)),0)</f>
        <v>43.008333333331393</v>
      </c>
      <c r="K21" s="3">
        <f t="array" ref="K21">IFERROR(STDEV(IF(('Raw Data'!$A$2:$A$7383=A21)*('Raw Data'!$B$2:$B$7383=B21),'Raw Data'!$E$2:$E$7383)),0)</f>
        <v>6.6929069945341597</v>
      </c>
      <c r="L21" s="2">
        <f t="shared" si="1"/>
        <v>0.15119379918455003</v>
      </c>
      <c r="M21" s="3">
        <f t="array" ref="M21">IFERROR(PERCENTILE(IF(('Raw Data'!$A$2:$A$7383=A21)*('Raw Data'!$B$2:$B$7383=B21),'Raw Data'!$E$2:$E$7383),0.75),0)</f>
        <v>48.835763888891961</v>
      </c>
      <c r="N21" s="3">
        <f t="array" ref="N21">IFERROR(PERCENTILE(IF(('Raw Data'!$A$2:$A$7383=A21)*('Raw Data'!$B$2:$B$7383=B21),'Raw Data'!$E$2:$E$7383),0.9),0)</f>
        <v>56.670138888890506</v>
      </c>
      <c r="O21" s="3">
        <f t="array" ref="O21">IFERROR(PERCENTILE(IF(('Raw Data'!$A$2:$A$7383=A21)*('Raw Data'!$B$2:$B$7383=B21),'Raw Data'!$E$2:$E$7383),0.95),0)</f>
        <v>57.735416666662786</v>
      </c>
      <c r="P21" s="3">
        <f t="shared" si="2"/>
        <v>52.844702927517389</v>
      </c>
      <c r="Q21" s="3">
        <f t="shared" si="3"/>
        <v>3.8254359613731168</v>
      </c>
      <c r="R21" s="3">
        <f t="shared" si="4"/>
        <v>56.670138888890506</v>
      </c>
      <c r="S21" t="str">
        <f t="shared" si="5"/>
        <v>P90 empirical percentile</v>
      </c>
    </row>
    <row r="22" spans="1:19" x14ac:dyDescent="0.25">
      <c r="A22" t="s">
        <v>11</v>
      </c>
      <c r="B22" t="s">
        <v>21</v>
      </c>
      <c r="C22" t="s">
        <v>106</v>
      </c>
      <c r="D22" t="s">
        <v>107</v>
      </c>
      <c r="E22" t="s">
        <v>116</v>
      </c>
      <c r="F22" t="s">
        <v>117</v>
      </c>
      <c r="G22">
        <f>COUNTIFS('Raw Data'!$A$2:$A$7383,A22,'Raw Data'!$B$2:$B$7383,B22)</f>
        <v>88</v>
      </c>
      <c r="H22" t="str">
        <f t="shared" si="0"/>
        <v>High</v>
      </c>
      <c r="I22" s="3">
        <f>IFERROR(AVERAGEIFS('Raw Data'!$E$2:$E$7383,'Raw Data'!$A$2:$A$7383,A22,'Raw Data'!$B$2:$B$7383,B22),0)</f>
        <v>11.47171177925115</v>
      </c>
      <c r="J22" s="3">
        <f t="array" ref="J22">IFERROR(MEDIAN(IF(('Raw Data'!$A$2:$A$7383=A22)*('Raw Data'!$B$2:$B$7383=B22),'Raw Data'!$E$2:$E$7383)),0)</f>
        <v>11.348582175924093</v>
      </c>
      <c r="K22" s="3">
        <f t="array" ref="K22">IFERROR(STDEV(IF(('Raw Data'!$A$2:$A$7383=A22)*('Raw Data'!$B$2:$B$7383=B22),'Raw Data'!$E$2:$E$7383)),0)</f>
        <v>1.6784647293098327</v>
      </c>
      <c r="L22" s="2">
        <f t="shared" si="1"/>
        <v>0.14631336295823494</v>
      </c>
      <c r="M22" s="3">
        <f t="array" ref="M22">IFERROR(PERCENTILE(IF(('Raw Data'!$A$2:$A$7383=A22)*('Raw Data'!$B$2:$B$7383=B22),'Raw Data'!$E$2:$E$7383),0.75),0)</f>
        <v>11.627777777779556</v>
      </c>
      <c r="N22" s="3">
        <f t="array" ref="N22">IFERROR(PERCENTILE(IF(('Raw Data'!$A$2:$A$7383=A22)*('Raw Data'!$B$2:$B$7383=B22),'Raw Data'!$E$2:$E$7383),0.9),0)</f>
        <v>12.79312615741801</v>
      </c>
      <c r="O22" s="3">
        <f t="array" ref="O22">IFERROR(PERCENTILE(IF(('Raw Data'!$A$2:$A$7383=A22)*('Raw Data'!$B$2:$B$7383=B22),'Raw Data'!$E$2:$E$7383),0.95),0)</f>
        <v>13.008749999995416</v>
      </c>
      <c r="P22" s="3">
        <f t="shared" si="2"/>
        <v>13.622832176334631</v>
      </c>
      <c r="Q22" s="3">
        <f t="shared" si="3"/>
        <v>-0.82970601891662099</v>
      </c>
      <c r="R22" s="3">
        <f t="shared" si="4"/>
        <v>12.79312615741801</v>
      </c>
      <c r="S22" t="str">
        <f t="shared" si="5"/>
        <v>P90 empirical percentile</v>
      </c>
    </row>
    <row r="23" spans="1:19" x14ac:dyDescent="0.25">
      <c r="A23" t="s">
        <v>15</v>
      </c>
      <c r="B23" t="s">
        <v>6</v>
      </c>
      <c r="C23" t="s">
        <v>99</v>
      </c>
      <c r="D23" t="s">
        <v>100</v>
      </c>
      <c r="E23" t="s">
        <v>114</v>
      </c>
      <c r="F23" t="s">
        <v>115</v>
      </c>
      <c r="G23">
        <f>COUNTIFS('Raw Data'!$A$2:$A$7383,A23,'Raw Data'!$B$2:$B$7383,B23)</f>
        <v>84</v>
      </c>
      <c r="H23" t="str">
        <f t="shared" si="0"/>
        <v>High</v>
      </c>
      <c r="I23" s="3">
        <f>IFERROR(AVERAGEIFS('Raw Data'!$E$2:$E$7383,'Raw Data'!$A$2:$A$7383,A23,'Raw Data'!$B$2:$B$7383,B23),0)</f>
        <v>66.558462439373514</v>
      </c>
      <c r="J23" s="3">
        <f t="array" ref="J23">IFERROR(MEDIAN(IF(('Raw Data'!$A$2:$A$7383=A23)*('Raw Data'!$B$2:$B$7383=B23),'Raw Data'!$E$2:$E$7383)),0)</f>
        <v>65.251828703694628</v>
      </c>
      <c r="K23" s="3">
        <f t="array" ref="K23">IFERROR(STDEV(IF(('Raw Data'!$A$2:$A$7383=A23)*('Raw Data'!$B$2:$B$7383=B23),'Raw Data'!$E$2:$E$7383)),0)</f>
        <v>7.8809985810438663</v>
      </c>
      <c r="L23" s="2">
        <f t="shared" si="1"/>
        <v>0.11840716104616264</v>
      </c>
      <c r="M23" s="3">
        <f t="array" ref="M23">IFERROR(PERCENTILE(IF(('Raw Data'!$A$2:$A$7383=A23)*('Raw Data'!$B$2:$B$7383=B23),'Raw Data'!$E$2:$E$7383),0.75),0)</f>
        <v>71.661979166672609</v>
      </c>
      <c r="N23" s="3">
        <f t="array" ref="N23">IFERROR(PERCENTILE(IF(('Raw Data'!$A$2:$A$7383=A23)*('Raw Data'!$B$2:$B$7383=B23),'Raw Data'!$E$2:$E$7383),0.9),0)</f>
        <v>76.244305555552273</v>
      </c>
      <c r="O23" s="3">
        <f t="array" ref="O23">IFERROR(PERCENTILE(IF(('Raw Data'!$A$2:$A$7383=A23)*('Raw Data'!$B$2:$B$7383=B23),'Raw Data'!$E$2:$E$7383),0.95),0)</f>
        <v>77.404166666659876</v>
      </c>
      <c r="P23" s="3">
        <f t="shared" si="2"/>
        <v>76.658750220839337</v>
      </c>
      <c r="Q23" s="3">
        <f t="shared" si="3"/>
        <v>-0.41444466528706414</v>
      </c>
      <c r="R23" s="3">
        <f t="shared" si="4"/>
        <v>76.244305555552273</v>
      </c>
      <c r="S23" t="str">
        <f t="shared" si="5"/>
        <v>P90 empirical percentile</v>
      </c>
    </row>
    <row r="24" spans="1:19" x14ac:dyDescent="0.25">
      <c r="A24" t="s">
        <v>23</v>
      </c>
      <c r="B24" t="s">
        <v>18</v>
      </c>
      <c r="C24" t="s">
        <v>118</v>
      </c>
      <c r="D24" t="s">
        <v>119</v>
      </c>
      <c r="E24" t="s">
        <v>97</v>
      </c>
      <c r="F24" t="s">
        <v>98</v>
      </c>
      <c r="G24">
        <f>COUNTIFS('Raw Data'!$A$2:$A$7383,A24,'Raw Data'!$B$2:$B$7383,B24)</f>
        <v>83</v>
      </c>
      <c r="H24" t="str">
        <f t="shared" si="0"/>
        <v>High</v>
      </c>
      <c r="I24" s="3">
        <f>IFERROR(AVERAGEIFS('Raw Data'!$E$2:$E$7383,'Raw Data'!$A$2:$A$7383,A24,'Raw Data'!$B$2:$B$7383,B24),0)</f>
        <v>51.144678714857925</v>
      </c>
      <c r="J24" s="3">
        <f t="array" ref="J24">IFERROR(MEDIAN(IF(('Raw Data'!$A$2:$A$7383=A24)*('Raw Data'!$B$2:$B$7383=B24),'Raw Data'!$E$2:$E$7383)),0)</f>
        <v>51.095833333332848</v>
      </c>
      <c r="K24" s="3">
        <f t="array" ref="K24">IFERROR(STDEV(IF(('Raw Data'!$A$2:$A$7383=A24)*('Raw Data'!$B$2:$B$7383=B24),'Raw Data'!$E$2:$E$7383)),0)</f>
        <v>4.3844079014069397</v>
      </c>
      <c r="L24" s="2">
        <f t="shared" si="1"/>
        <v>8.5725592800199465E-2</v>
      </c>
      <c r="M24" s="3">
        <f t="array" ref="M24">IFERROR(PERCENTILE(IF(('Raw Data'!$A$2:$A$7383=A24)*('Raw Data'!$B$2:$B$7383=B24),'Raw Data'!$E$2:$E$7383),0.75),0)</f>
        <v>53.95277777776937</v>
      </c>
      <c r="N24" s="3">
        <f t="array" ref="N24">IFERROR(PERCENTILE(IF(('Raw Data'!$A$2:$A$7383=A24)*('Raw Data'!$B$2:$B$7383=B24),'Raw Data'!$E$2:$E$7383),0.9),0)</f>
        <v>58.540277777778101</v>
      </c>
      <c r="O24" s="3">
        <f t="array" ref="O24">IFERROR(PERCENTILE(IF(('Raw Data'!$A$2:$A$7383=A24)*('Raw Data'!$B$2:$B$7383=B24),'Raw Data'!$E$2:$E$7383),0.95),0)</f>
        <v>58.540277777778101</v>
      </c>
      <c r="P24" s="3">
        <f t="shared" si="2"/>
        <v>56.763735881301059</v>
      </c>
      <c r="Q24" s="3">
        <f t="shared" si="3"/>
        <v>1.7765418964770419</v>
      </c>
      <c r="R24" s="3">
        <f t="shared" si="4"/>
        <v>58.540277777778101</v>
      </c>
      <c r="S24" t="str">
        <f t="shared" si="5"/>
        <v>P90 empirical percentile</v>
      </c>
    </row>
    <row r="25" spans="1:19" x14ac:dyDescent="0.25">
      <c r="A25" t="s">
        <v>20</v>
      </c>
      <c r="B25" t="s">
        <v>8</v>
      </c>
      <c r="C25" t="s">
        <v>120</v>
      </c>
      <c r="D25" t="s">
        <v>98</v>
      </c>
      <c r="E25" t="s">
        <v>86</v>
      </c>
      <c r="F25" t="s">
        <v>87</v>
      </c>
      <c r="G25">
        <f>COUNTIFS('Raw Data'!$A$2:$A$7383,A25,'Raw Data'!$B$2:$B$7383,B25)</f>
        <v>81</v>
      </c>
      <c r="H25" t="str">
        <f t="shared" si="0"/>
        <v>High</v>
      </c>
      <c r="I25" s="3">
        <f>IFERROR(AVERAGEIFS('Raw Data'!$E$2:$E$7383,'Raw Data'!$A$2:$A$7383,A25,'Raw Data'!$B$2:$B$7383,B25),0)</f>
        <v>35.185927640605016</v>
      </c>
      <c r="J25" s="3">
        <f t="array" ref="J25">IFERROR(MEDIAN(IF(('Raw Data'!$A$2:$A$7383=A25)*('Raw Data'!$B$2:$B$7383=B25),'Raw Data'!$E$2:$E$7383)),0)</f>
        <v>34.154166666667152</v>
      </c>
      <c r="K25" s="3">
        <f t="array" ref="K25">IFERROR(STDEV(IF(('Raw Data'!$A$2:$A$7383=A25)*('Raw Data'!$B$2:$B$7383=B25),'Raw Data'!$E$2:$E$7383)),0)</f>
        <v>3.9518886421051316</v>
      </c>
      <c r="L25" s="2">
        <f t="shared" si="1"/>
        <v>0.11231446510293509</v>
      </c>
      <c r="M25" s="3">
        <f t="array" ref="M25">IFERROR(PERCENTILE(IF(('Raw Data'!$A$2:$A$7383=A25)*('Raw Data'!$B$2:$B$7383=B25),'Raw Data'!$E$2:$E$7383),0.75),0)</f>
        <v>38.38749999999709</v>
      </c>
      <c r="N25" s="3">
        <f t="array" ref="N25">IFERROR(PERCENTILE(IF(('Raw Data'!$A$2:$A$7383=A25)*('Raw Data'!$B$2:$B$7383=B25),'Raw Data'!$E$2:$E$7383),0.9),0)</f>
        <v>39.256249999983993</v>
      </c>
      <c r="O25" s="3">
        <f t="array" ref="O25">IFERROR(PERCENTILE(IF(('Raw Data'!$A$2:$A$7383=A25)*('Raw Data'!$B$2:$B$7383=B25),'Raw Data'!$E$2:$E$7383),0.95),0)</f>
        <v>41.500694444446708</v>
      </c>
      <c r="P25" s="3">
        <f t="shared" si="2"/>
        <v>40.25066812432695</v>
      </c>
      <c r="Q25" s="3">
        <f t="shared" si="3"/>
        <v>-0.99441812434295684</v>
      </c>
      <c r="R25" s="3">
        <f t="shared" si="4"/>
        <v>39.256249999983993</v>
      </c>
      <c r="S25" t="str">
        <f t="shared" si="5"/>
        <v>P90 empirical percentile</v>
      </c>
    </row>
    <row r="26" spans="1:19" x14ac:dyDescent="0.25">
      <c r="A26" t="s">
        <v>8</v>
      </c>
      <c r="B26" t="s">
        <v>13</v>
      </c>
      <c r="C26" t="s">
        <v>86</v>
      </c>
      <c r="D26" t="s">
        <v>87</v>
      </c>
      <c r="E26" t="s">
        <v>95</v>
      </c>
      <c r="F26" t="s">
        <v>96</v>
      </c>
      <c r="G26">
        <f>COUNTIFS('Raw Data'!$A$2:$A$7383,A26,'Raw Data'!$B$2:$B$7383,B26)</f>
        <v>81</v>
      </c>
      <c r="H26" t="str">
        <f t="shared" si="0"/>
        <v>High</v>
      </c>
      <c r="I26" s="3">
        <f>IFERROR(AVERAGEIFS('Raw Data'!$E$2:$E$7383,'Raw Data'!$A$2:$A$7383,A26,'Raw Data'!$B$2:$B$7383,B26),0)</f>
        <v>31.487925811613859</v>
      </c>
      <c r="J26" s="3">
        <f t="array" ref="J26">IFERROR(MEDIAN(IF(('Raw Data'!$A$2:$A$7383=A26)*('Raw Data'!$B$2:$B$7383=B26),'Raw Data'!$E$2:$E$7383)),0)</f>
        <v>31.994444444433611</v>
      </c>
      <c r="K26" s="3">
        <f t="array" ref="K26">IFERROR(STDEV(IF(('Raw Data'!$A$2:$A$7383=A26)*('Raw Data'!$B$2:$B$7383=B26),'Raw Data'!$E$2:$E$7383)),0)</f>
        <v>7.9172187369811331</v>
      </c>
      <c r="L26" s="2">
        <f t="shared" si="1"/>
        <v>0.25143665493714368</v>
      </c>
      <c r="M26" s="3">
        <f t="array" ref="M26">IFERROR(PERCENTILE(IF(('Raw Data'!$A$2:$A$7383=A26)*('Raw Data'!$B$2:$B$7383=B26),'Raw Data'!$E$2:$E$7383),0.75),0)</f>
        <v>38</v>
      </c>
      <c r="N26" s="3">
        <f t="array" ref="N26">IFERROR(PERCENTILE(IF(('Raw Data'!$A$2:$A$7383=A26)*('Raw Data'!$B$2:$B$7383=B26),'Raw Data'!$E$2:$E$7383),0.9),0)</f>
        <v>40.774999999986903</v>
      </c>
      <c r="O26" s="3">
        <f t="array" ref="O26">IFERROR(PERCENTILE(IF(('Raw Data'!$A$2:$A$7383=A26)*('Raw Data'!$B$2:$B$7383=B26),'Raw Data'!$E$2:$E$7383),0.95),0)</f>
        <v>43.750844907401188</v>
      </c>
      <c r="P26" s="3">
        <f t="shared" si="2"/>
        <v>41.634633344928879</v>
      </c>
      <c r="Q26" s="3">
        <f t="shared" si="3"/>
        <v>-0.85963334494197596</v>
      </c>
      <c r="R26" s="3">
        <f t="shared" si="4"/>
        <v>40.774999999986903</v>
      </c>
      <c r="S26" t="str">
        <f t="shared" si="5"/>
        <v>P90 empirical percentile</v>
      </c>
    </row>
    <row r="27" spans="1:19" x14ac:dyDescent="0.25">
      <c r="A27" t="s">
        <v>27</v>
      </c>
      <c r="B27" t="s">
        <v>8</v>
      </c>
      <c r="C27" t="s">
        <v>121</v>
      </c>
      <c r="D27" t="s">
        <v>89</v>
      </c>
      <c r="E27" t="s">
        <v>86</v>
      </c>
      <c r="F27" t="s">
        <v>87</v>
      </c>
      <c r="G27">
        <f>COUNTIFS('Raw Data'!$A$2:$A$7383,A27,'Raw Data'!$B$2:$B$7383,B27)</f>
        <v>80</v>
      </c>
      <c r="H27" t="str">
        <f t="shared" si="0"/>
        <v>High</v>
      </c>
      <c r="I27" s="3">
        <f>IFERROR(AVERAGEIFS('Raw Data'!$E$2:$E$7383,'Raw Data'!$A$2:$A$7383,A27,'Raw Data'!$B$2:$B$7383,B27),0)</f>
        <v>52.205943431713607</v>
      </c>
      <c r="J27" s="3">
        <f t="array" ref="J27">IFERROR(MEDIAN(IF(('Raw Data'!$A$2:$A$7383=A27)*('Raw Data'!$B$2:$B$7383=B27),'Raw Data'!$E$2:$E$7383)),0)</f>
        <v>50.275000000001455</v>
      </c>
      <c r="K27" s="3">
        <f t="array" ref="K27">IFERROR(STDEV(IF(('Raw Data'!$A$2:$A$7383=A27)*('Raw Data'!$B$2:$B$7383=B27),'Raw Data'!$E$2:$E$7383)),0)</f>
        <v>9.2397414980697317</v>
      </c>
      <c r="L27" s="2">
        <f t="shared" si="1"/>
        <v>0.17698639064258065</v>
      </c>
      <c r="M27" s="3">
        <f t="array" ref="M27">IFERROR(PERCENTILE(IF(('Raw Data'!$A$2:$A$7383=A27)*('Raw Data'!$B$2:$B$7383=B27),'Raw Data'!$E$2:$E$7383),0.75),0)</f>
        <v>57.330208333327391</v>
      </c>
      <c r="N27" s="3">
        <f t="array" ref="N27">IFERROR(PERCENTILE(IF(('Raw Data'!$A$2:$A$7383=A27)*('Raw Data'!$B$2:$B$7383=B27),'Raw Data'!$E$2:$E$7383),0.9),0)</f>
        <v>62.413274305572848</v>
      </c>
      <c r="O27" s="3">
        <f t="array" ref="O27">IFERROR(PERCENTILE(IF(('Raw Data'!$A$2:$A$7383=A27)*('Raw Data'!$B$2:$B$7383=B27),'Raw Data'!$E$2:$E$7383),0.95),0)</f>
        <v>63.658645833330581</v>
      </c>
      <c r="P27" s="3">
        <f t="shared" si="2"/>
        <v>64.047596135639779</v>
      </c>
      <c r="Q27" s="3">
        <f t="shared" si="3"/>
        <v>-1.6343218300669307</v>
      </c>
      <c r="R27" s="3">
        <f t="shared" si="4"/>
        <v>62.413274305572848</v>
      </c>
      <c r="S27" t="str">
        <f t="shared" si="5"/>
        <v>P90 empirical percentile</v>
      </c>
    </row>
    <row r="28" spans="1:19" x14ac:dyDescent="0.25">
      <c r="A28" t="s">
        <v>9</v>
      </c>
      <c r="B28" t="s">
        <v>8</v>
      </c>
      <c r="C28" t="s">
        <v>122</v>
      </c>
      <c r="D28" t="s">
        <v>85</v>
      </c>
      <c r="E28" t="s">
        <v>86</v>
      </c>
      <c r="F28" t="s">
        <v>87</v>
      </c>
      <c r="G28">
        <f>COUNTIFS('Raw Data'!$A$2:$A$7383,A28,'Raw Data'!$B$2:$B$7383,B28)</f>
        <v>76</v>
      </c>
      <c r="H28" t="str">
        <f t="shared" si="0"/>
        <v>High</v>
      </c>
      <c r="I28" s="3">
        <f>IFERROR(AVERAGEIFS('Raw Data'!$E$2:$E$7383,'Raw Data'!$A$2:$A$7383,A28,'Raw Data'!$B$2:$B$7383,B28),0)</f>
        <v>46.157920473928243</v>
      </c>
      <c r="J28" s="3">
        <f t="array" ref="J28">IFERROR(MEDIAN(IF(('Raw Data'!$A$2:$A$7383=A28)*('Raw Data'!$B$2:$B$7383=B28),'Raw Data'!$E$2:$E$7383)),0)</f>
        <v>46.753472222218988</v>
      </c>
      <c r="K28" s="3">
        <f t="array" ref="K28">IFERROR(STDEV(IF(('Raw Data'!$A$2:$A$7383=A28)*('Raw Data'!$B$2:$B$7383=B28),'Raw Data'!$E$2:$E$7383)),0)</f>
        <v>9.6606802334017896</v>
      </c>
      <c r="L28" s="2">
        <f t="shared" si="1"/>
        <v>0.20929626235780077</v>
      </c>
      <c r="M28" s="3">
        <f t="array" ref="M28">IFERROR(PERCENTILE(IF(('Raw Data'!$A$2:$A$7383=A28)*('Raw Data'!$B$2:$B$7383=B28),'Raw Data'!$E$2:$E$7383),0.75),0)</f>
        <v>52.186458333342671</v>
      </c>
      <c r="N28" s="3">
        <f t="array" ref="N28">IFERROR(PERCENTILE(IF(('Raw Data'!$A$2:$A$7383=A28)*('Raw Data'!$B$2:$B$7383=B28),'Raw Data'!$E$2:$E$7383),0.9),0)</f>
        <v>58.424305555556202</v>
      </c>
      <c r="O28" s="3">
        <f t="array" ref="O28">IFERROR(PERCENTILE(IF(('Raw Data'!$A$2:$A$7383=A28)*('Raw Data'!$B$2:$B$7383=B28),'Raw Data'!$E$2:$E$7383),0.95),0)</f>
        <v>65.722916666665697</v>
      </c>
      <c r="P28" s="3">
        <f t="shared" si="2"/>
        <v>58.539048261055981</v>
      </c>
      <c r="Q28" s="3">
        <f t="shared" si="3"/>
        <v>-0.11474270549977916</v>
      </c>
      <c r="R28" s="3">
        <f t="shared" si="4"/>
        <v>58.424305555556202</v>
      </c>
      <c r="S28" t="str">
        <f t="shared" si="5"/>
        <v>P90 empirical percentile</v>
      </c>
    </row>
    <row r="29" spans="1:19" x14ac:dyDescent="0.25">
      <c r="A29" t="s">
        <v>34</v>
      </c>
      <c r="B29" t="s">
        <v>8</v>
      </c>
      <c r="C29" t="s">
        <v>104</v>
      </c>
      <c r="D29" t="s">
        <v>105</v>
      </c>
      <c r="E29" t="s">
        <v>86</v>
      </c>
      <c r="F29" t="s">
        <v>87</v>
      </c>
      <c r="G29">
        <f>COUNTIFS('Raw Data'!$A$2:$A$7383,A29,'Raw Data'!$B$2:$B$7383,B29)</f>
        <v>76</v>
      </c>
      <c r="H29" t="str">
        <f t="shared" si="0"/>
        <v>High</v>
      </c>
      <c r="I29" s="3">
        <f>IFERROR(AVERAGEIFS('Raw Data'!$E$2:$E$7383,'Raw Data'!$A$2:$A$7383,A29,'Raw Data'!$B$2:$B$7383,B29),0)</f>
        <v>31.86102415326614</v>
      </c>
      <c r="J29" s="3">
        <f t="array" ref="J29">IFERROR(MEDIAN(IF(('Raw Data'!$A$2:$A$7383=A29)*('Raw Data'!$B$2:$B$7383=B29),'Raw Data'!$E$2:$E$7383)),0)</f>
        <v>30.659374999999272</v>
      </c>
      <c r="K29" s="3">
        <f t="array" ref="K29">IFERROR(STDEV(IF(('Raw Data'!$A$2:$A$7383=A29)*('Raw Data'!$B$2:$B$7383=B29),'Raw Data'!$E$2:$E$7383)),0)</f>
        <v>5.7655932062157298</v>
      </c>
      <c r="L29" s="2">
        <f t="shared" si="1"/>
        <v>0.18096069914390014</v>
      </c>
      <c r="M29" s="3">
        <f t="array" ref="M29">IFERROR(PERCENTILE(IF(('Raw Data'!$A$2:$A$7383=A29)*('Raw Data'!$B$2:$B$7383=B29),'Raw Data'!$E$2:$E$7383),0.75),0)</f>
        <v>32.781250000014552</v>
      </c>
      <c r="N29" s="3">
        <f t="array" ref="N29">IFERROR(PERCENTILE(IF(('Raw Data'!$A$2:$A$7383=A29)*('Raw Data'!$B$2:$B$7383=B29),'Raw Data'!$E$2:$E$7383),0.9),0)</f>
        <v>36.547916666666424</v>
      </c>
      <c r="O29" s="3">
        <f t="array" ref="O29">IFERROR(PERCENTILE(IF(('Raw Data'!$A$2:$A$7383=A29)*('Raw Data'!$B$2:$B$7383=B29),'Raw Data'!$E$2:$E$7383),0.95),0)</f>
        <v>39.625520833342307</v>
      </c>
      <c r="P29" s="3">
        <f t="shared" si="2"/>
        <v>39.250208406352222</v>
      </c>
      <c r="Q29" s="3">
        <f t="shared" si="3"/>
        <v>-2.7022917396857977</v>
      </c>
      <c r="R29" s="3">
        <f t="shared" si="4"/>
        <v>36.547916666666424</v>
      </c>
      <c r="S29" t="str">
        <f t="shared" si="5"/>
        <v>P90 empirical percentile</v>
      </c>
    </row>
    <row r="30" spans="1:19" x14ac:dyDescent="0.25">
      <c r="A30" t="s">
        <v>15</v>
      </c>
      <c r="B30" t="s">
        <v>16</v>
      </c>
      <c r="C30" t="s">
        <v>99</v>
      </c>
      <c r="D30" t="s">
        <v>100</v>
      </c>
      <c r="E30" t="s">
        <v>123</v>
      </c>
      <c r="F30" t="s">
        <v>85</v>
      </c>
      <c r="G30">
        <f>COUNTIFS('Raw Data'!$A$2:$A$7383,A30,'Raw Data'!$B$2:$B$7383,B30)</f>
        <v>72</v>
      </c>
      <c r="H30" t="str">
        <f t="shared" si="0"/>
        <v>High</v>
      </c>
      <c r="I30" s="3">
        <f>IFERROR(AVERAGEIFS('Raw Data'!$E$2:$E$7383,'Raw Data'!$A$2:$A$7383,A30,'Raw Data'!$B$2:$B$7383,B30),0)</f>
        <v>18.822106481483289</v>
      </c>
      <c r="J30" s="3">
        <f t="array" ref="J30">IFERROR(MEDIAN(IF(('Raw Data'!$A$2:$A$7383=A30)*('Raw Data'!$B$2:$B$7383=B30),'Raw Data'!$E$2:$E$7383)),0)</f>
        <v>17.929166666654055</v>
      </c>
      <c r="K30" s="3">
        <f t="array" ref="K30">IFERROR(STDEV(IF(('Raw Data'!$A$2:$A$7383=A30)*('Raw Data'!$B$2:$B$7383=B30),'Raw Data'!$E$2:$E$7383)),0)</f>
        <v>4.5243444140381524</v>
      </c>
      <c r="L30" s="2">
        <f t="shared" si="1"/>
        <v>0.2403739676262637</v>
      </c>
      <c r="M30" s="3">
        <f t="array" ref="M30">IFERROR(PERCENTILE(IF(('Raw Data'!$A$2:$A$7383=A30)*('Raw Data'!$B$2:$B$7383=B30),'Raw Data'!$E$2:$E$7383),0.75),0)</f>
        <v>20.46875</v>
      </c>
      <c r="N30" s="3">
        <f t="array" ref="N30">IFERROR(PERCENTILE(IF(('Raw Data'!$A$2:$A$7383=A30)*('Raw Data'!$B$2:$B$7383=B30),'Raw Data'!$E$2:$E$7383),0.9),0)</f>
        <v>26.765972222223354</v>
      </c>
      <c r="O30" s="3">
        <f t="array" ref="O30">IFERROR(PERCENTILE(IF(('Raw Data'!$A$2:$A$7383=A30)*('Raw Data'!$B$2:$B$7383=B30),'Raw Data'!$E$2:$E$7383),0.95),0)</f>
        <v>26.765972222223354</v>
      </c>
      <c r="P30" s="3">
        <f t="shared" si="2"/>
        <v>24.620506282514583</v>
      </c>
      <c r="Q30" s="3">
        <f t="shared" si="3"/>
        <v>2.145465939708771</v>
      </c>
      <c r="R30" s="3">
        <f t="shared" si="4"/>
        <v>26.765972222223354</v>
      </c>
      <c r="S30" t="str">
        <f t="shared" si="5"/>
        <v>P90 empirical percentile</v>
      </c>
    </row>
    <row r="31" spans="1:19" x14ac:dyDescent="0.25">
      <c r="A31" t="s">
        <v>7</v>
      </c>
      <c r="B31" t="s">
        <v>13</v>
      </c>
      <c r="C31" t="s">
        <v>92</v>
      </c>
      <c r="D31" t="s">
        <v>85</v>
      </c>
      <c r="E31" t="s">
        <v>95</v>
      </c>
      <c r="F31" t="s">
        <v>96</v>
      </c>
      <c r="G31">
        <f>COUNTIFS('Raw Data'!$A$2:$A$7383,A31,'Raw Data'!$B$2:$B$7383,B31)</f>
        <v>72</v>
      </c>
      <c r="H31" t="str">
        <f t="shared" si="0"/>
        <v>High</v>
      </c>
      <c r="I31" s="3">
        <f>IFERROR(AVERAGEIFS('Raw Data'!$E$2:$E$7383,'Raw Data'!$A$2:$A$7383,A31,'Raw Data'!$B$2:$B$7383,B31),0)</f>
        <v>45.056319605194503</v>
      </c>
      <c r="J31" s="3">
        <f t="array" ref="J31">IFERROR(MEDIAN(IF(('Raw Data'!$A$2:$A$7383=A31)*('Raw Data'!$B$2:$B$7383=B31),'Raw Data'!$E$2:$E$7383)),0)</f>
        <v>47.381944444445253</v>
      </c>
      <c r="K31" s="3">
        <f t="array" ref="K31">IFERROR(STDEV(IF(('Raw Data'!$A$2:$A$7383=A31)*('Raw Data'!$B$2:$B$7383=B31),'Raw Data'!$E$2:$E$7383)),0)</f>
        <v>10.159882269372231</v>
      </c>
      <c r="L31" s="2">
        <f t="shared" si="1"/>
        <v>0.22549294656993926</v>
      </c>
      <c r="M31" s="3">
        <f t="array" ref="M31">IFERROR(PERCENTILE(IF(('Raw Data'!$A$2:$A$7383=A31)*('Raw Data'!$B$2:$B$7383=B31),'Raw Data'!$E$2:$E$7383),0.75),0)</f>
        <v>49.020833333343035</v>
      </c>
      <c r="N31" s="3">
        <f t="array" ref="N31">IFERROR(PERCENTILE(IF(('Raw Data'!$A$2:$A$7383=A31)*('Raw Data'!$B$2:$B$7383=B31),'Raw Data'!$E$2:$E$7383),0.9),0)</f>
        <v>55.334270833343908</v>
      </c>
      <c r="O31" s="3">
        <f t="array" ref="O31">IFERROR(PERCENTILE(IF(('Raw Data'!$A$2:$A$7383=A31)*('Raw Data'!$B$2:$B$7383=B31),'Raw Data'!$E$2:$E$7383),0.95),0)</f>
        <v>62.093055555553292</v>
      </c>
      <c r="P31" s="3">
        <f t="shared" si="2"/>
        <v>58.077224721621953</v>
      </c>
      <c r="Q31" s="3">
        <f t="shared" si="3"/>
        <v>-2.7429538882780449</v>
      </c>
      <c r="R31" s="3">
        <f t="shared" si="4"/>
        <v>55.334270833343908</v>
      </c>
      <c r="S31" t="str">
        <f t="shared" si="5"/>
        <v>P90 empirical percentile</v>
      </c>
    </row>
    <row r="32" spans="1:19" x14ac:dyDescent="0.25">
      <c r="A32" t="s">
        <v>26</v>
      </c>
      <c r="B32" t="s">
        <v>21</v>
      </c>
      <c r="C32" t="s">
        <v>124</v>
      </c>
      <c r="D32" t="s">
        <v>125</v>
      </c>
      <c r="E32" t="s">
        <v>116</v>
      </c>
      <c r="F32" t="s">
        <v>117</v>
      </c>
      <c r="G32">
        <f>COUNTIFS('Raw Data'!$A$2:$A$7383,A32,'Raw Data'!$B$2:$B$7383,B32)</f>
        <v>62</v>
      </c>
      <c r="H32" t="str">
        <f t="shared" si="0"/>
        <v>High</v>
      </c>
      <c r="I32" s="3">
        <f>IFERROR(AVERAGEIFS('Raw Data'!$E$2:$E$7383,'Raw Data'!$A$2:$A$7383,A32,'Raw Data'!$B$2:$B$7383,B32),0)</f>
        <v>44.741901881720906</v>
      </c>
      <c r="J32" s="3">
        <f t="array" ref="J32">IFERROR(MEDIAN(IF(('Raw Data'!$A$2:$A$7383=A32)*('Raw Data'!$B$2:$B$7383=B32),'Raw Data'!$E$2:$E$7383)),0)</f>
        <v>45.717708333333576</v>
      </c>
      <c r="K32" s="3">
        <f t="array" ref="K32">IFERROR(STDEV(IF(('Raw Data'!$A$2:$A$7383=A32)*('Raw Data'!$B$2:$B$7383=B32),'Raw Data'!$E$2:$E$7383)),0)</f>
        <v>4.7816258707455175</v>
      </c>
      <c r="L32" s="2">
        <f t="shared" si="1"/>
        <v>0.10687131457634858</v>
      </c>
      <c r="M32" s="3">
        <f t="array" ref="M32">IFERROR(PERCENTILE(IF(('Raw Data'!$A$2:$A$7383=A32)*('Raw Data'!$B$2:$B$7383=B32),'Raw Data'!$E$2:$E$7383),0.75),0)</f>
        <v>48.22222222223354</v>
      </c>
      <c r="N32" s="3">
        <f t="array" ref="N32">IFERROR(PERCENTILE(IF(('Raw Data'!$A$2:$A$7383=A32)*('Raw Data'!$B$2:$B$7383=B32),'Raw Data'!$E$2:$E$7383),0.9),0)</f>
        <v>49.745833333334303</v>
      </c>
      <c r="O32" s="3">
        <f t="array" ref="O32">IFERROR(PERCENTILE(IF(('Raw Data'!$A$2:$A$7383=A32)*('Raw Data'!$B$2:$B$7383=B32),'Raw Data'!$E$2:$E$7383),0.95),0)</f>
        <v>49.762326388881412</v>
      </c>
      <c r="P32" s="3">
        <f t="shared" si="2"/>
        <v>50.87003359766836</v>
      </c>
      <c r="Q32" s="3">
        <f t="shared" si="3"/>
        <v>-1.124200264334057</v>
      </c>
      <c r="R32" s="3">
        <f t="shared" si="4"/>
        <v>49.745833333334303</v>
      </c>
      <c r="S32" t="str">
        <f t="shared" si="5"/>
        <v>P90 empirical percentile</v>
      </c>
    </row>
    <row r="33" spans="1:19" x14ac:dyDescent="0.25">
      <c r="A33" t="s">
        <v>17</v>
      </c>
      <c r="B33" t="s">
        <v>18</v>
      </c>
      <c r="C33" t="s">
        <v>126</v>
      </c>
      <c r="D33" t="s">
        <v>100</v>
      </c>
      <c r="E33" t="s">
        <v>97</v>
      </c>
      <c r="F33" t="s">
        <v>98</v>
      </c>
      <c r="G33">
        <f>COUNTIFS('Raw Data'!$A$2:$A$7383,A33,'Raw Data'!$B$2:$B$7383,B33)</f>
        <v>61</v>
      </c>
      <c r="H33" t="str">
        <f t="shared" si="0"/>
        <v>High</v>
      </c>
      <c r="I33" s="3">
        <f>IFERROR(AVERAGEIFS('Raw Data'!$E$2:$E$7383,'Raw Data'!$A$2:$A$7383,A33,'Raw Data'!$B$2:$B$7383,B33),0)</f>
        <v>53.650273224042486</v>
      </c>
      <c r="J33" s="3">
        <f t="array" ref="J33">IFERROR(MEDIAN(IF(('Raw Data'!$A$2:$A$7383=A33)*('Raw Data'!$B$2:$B$7383=B33),'Raw Data'!$E$2:$E$7383)),0)</f>
        <v>53.208333333343035</v>
      </c>
      <c r="K33" s="3">
        <f t="array" ref="K33">IFERROR(STDEV(IF(('Raw Data'!$A$2:$A$7383=A33)*('Raw Data'!$B$2:$B$7383=B33),'Raw Data'!$E$2:$E$7383)),0)</f>
        <v>5.239620180451479</v>
      </c>
      <c r="L33" s="2">
        <f t="shared" si="1"/>
        <v>9.7662506928360426E-2</v>
      </c>
      <c r="M33" s="3">
        <f t="array" ref="M33">IFERROR(PERCENTILE(IF(('Raw Data'!$A$2:$A$7383=A33)*('Raw Data'!$B$2:$B$7383=B33),'Raw Data'!$E$2:$E$7383),0.75),0)</f>
        <v>54.916666666656965</v>
      </c>
      <c r="N33" s="3">
        <f t="array" ref="N33">IFERROR(PERCENTILE(IF(('Raw Data'!$A$2:$A$7383=A33)*('Raw Data'!$B$2:$B$7383=B33),'Raw Data'!$E$2:$E$7383),0.9),0)</f>
        <v>65.013194444436522</v>
      </c>
      <c r="O33" s="3">
        <f t="array" ref="O33">IFERROR(PERCENTILE(IF(('Raw Data'!$A$2:$A$7383=A33)*('Raw Data'!$B$2:$B$7383=B33),'Raw Data'!$E$2:$E$7383),0.95),0)</f>
        <v>65.013194444436522</v>
      </c>
      <c r="P33" s="3">
        <f t="shared" si="2"/>
        <v>60.365370447309104</v>
      </c>
      <c r="Q33" s="3">
        <f t="shared" si="3"/>
        <v>4.6478239971274178</v>
      </c>
      <c r="R33" s="3">
        <f t="shared" si="4"/>
        <v>65.013194444436522</v>
      </c>
      <c r="S33" t="str">
        <f t="shared" si="5"/>
        <v>P90 empirical percentile</v>
      </c>
    </row>
    <row r="34" spans="1:19" x14ac:dyDescent="0.25">
      <c r="A34" t="s">
        <v>10</v>
      </c>
      <c r="B34" t="s">
        <v>8</v>
      </c>
      <c r="C34" t="s">
        <v>111</v>
      </c>
      <c r="D34" t="s">
        <v>112</v>
      </c>
      <c r="E34" t="s">
        <v>86</v>
      </c>
      <c r="F34" t="s">
        <v>87</v>
      </c>
      <c r="G34">
        <f>COUNTIFS('Raw Data'!$A$2:$A$7383,A34,'Raw Data'!$B$2:$B$7383,B34)</f>
        <v>59</v>
      </c>
      <c r="H34" t="str">
        <f t="shared" ref="H34:H65" si="6">IF(G34&gt;=15,"High",IF(G34&gt;=5,"Medium","Low"))</f>
        <v>High</v>
      </c>
      <c r="I34" s="3">
        <f>IFERROR(AVERAGEIFS('Raw Data'!$E$2:$E$7383,'Raw Data'!$A$2:$A$7383,A34,'Raw Data'!$B$2:$B$7383,B34),0)</f>
        <v>20.619575878845723</v>
      </c>
      <c r="J34" s="3">
        <f t="array" ref="J34">IFERROR(MEDIAN(IF(('Raw Data'!$A$2:$A$7383=A34)*('Raw Data'!$B$2:$B$7383=B34),'Raw Data'!$E$2:$E$7383)),0)</f>
        <v>19.678831018522033</v>
      </c>
      <c r="K34" s="3">
        <f t="array" ref="K34">IFERROR(STDEV(IF(('Raw Data'!$A$2:$A$7383=A34)*('Raw Data'!$B$2:$B$7383=B34),'Raw Data'!$E$2:$E$7383)),0)</f>
        <v>3.9613406387600545</v>
      </c>
      <c r="L34" s="2">
        <f t="shared" ref="L34:L65" si="7">IF(I34=0,0,K34/I34)</f>
        <v>0.19211552468565174</v>
      </c>
      <c r="M34" s="3">
        <f t="array" ref="M34">IFERROR(PERCENTILE(IF(('Raw Data'!$A$2:$A$7383=A34)*('Raw Data'!$B$2:$B$7383=B34),'Raw Data'!$E$2:$E$7383),0.75),0)</f>
        <v>21.016319444446708</v>
      </c>
      <c r="N34" s="3">
        <f t="array" ref="N34">IFERROR(PERCENTILE(IF(('Raw Data'!$A$2:$A$7383=A34)*('Raw Data'!$B$2:$B$7383=B34),'Raw Data'!$E$2:$E$7383),0.9),0)</f>
        <v>26.067361111112405</v>
      </c>
      <c r="O34" s="3">
        <f t="array" ref="O34">IFERROR(PERCENTILE(IF(('Raw Data'!$A$2:$A$7383=A34)*('Raw Data'!$B$2:$B$7383=B34),'Raw Data'!$E$2:$E$7383),0.95),0)</f>
        <v>28.058055555551956</v>
      </c>
      <c r="P34" s="3">
        <f t="shared" ref="P34:P65" si="8">I34+1.2816*K34</f>
        <v>25.69643004148061</v>
      </c>
      <c r="Q34" s="3">
        <f t="shared" ref="Q34:Q65" si="9">N34-P34</f>
        <v>0.37093106963179423</v>
      </c>
      <c r="R34" s="3">
        <f t="shared" ref="R34:R65" si="10">IF(G34&lt;5,J34+K34,N34)</f>
        <v>26.067361111112405</v>
      </c>
      <c r="S34" t="str">
        <f t="shared" ref="S34:S65" si="11">IF(G34&lt;5,"Median + 1 Std Dev (fallback, n&lt;5)","P90 empirical percentile")</f>
        <v>P90 empirical percentile</v>
      </c>
    </row>
    <row r="35" spans="1:19" x14ac:dyDescent="0.25">
      <c r="A35" t="s">
        <v>15</v>
      </c>
      <c r="B35" t="s">
        <v>19</v>
      </c>
      <c r="C35" t="s">
        <v>99</v>
      </c>
      <c r="D35" t="s">
        <v>100</v>
      </c>
      <c r="E35" t="s">
        <v>90</v>
      </c>
      <c r="F35" t="s">
        <v>91</v>
      </c>
      <c r="G35">
        <f>COUNTIFS('Raw Data'!$A$2:$A$7383,A35,'Raw Data'!$B$2:$B$7383,B35)</f>
        <v>56</v>
      </c>
      <c r="H35" t="str">
        <f t="shared" si="6"/>
        <v>High</v>
      </c>
      <c r="I35" s="3">
        <f>IFERROR(AVERAGEIFS('Raw Data'!$E$2:$E$7383,'Raw Data'!$A$2:$A$7383,A35,'Raw Data'!$B$2:$B$7383,B35),0)</f>
        <v>38.701355613423402</v>
      </c>
      <c r="J35" s="3">
        <f t="array" ref="J35">IFERROR(MEDIAN(IF(('Raw Data'!$A$2:$A$7383=A35)*('Raw Data'!$B$2:$B$7383=B35),'Raw Data'!$E$2:$E$7383)),0)</f>
        <v>38.505410879628471</v>
      </c>
      <c r="K35" s="3">
        <f t="array" ref="K35">IFERROR(STDEV(IF(('Raw Data'!$A$2:$A$7383=A35)*('Raw Data'!$B$2:$B$7383=B35),'Raw Data'!$E$2:$E$7383)),0)</f>
        <v>3.1641164965751378</v>
      </c>
      <c r="L35" s="2">
        <f t="shared" si="7"/>
        <v>8.1757252334532626E-2</v>
      </c>
      <c r="M35" s="3">
        <f t="array" ref="M35">IFERROR(PERCENTILE(IF(('Raw Data'!$A$2:$A$7383=A35)*('Raw Data'!$B$2:$B$7383=B35),'Raw Data'!$E$2:$E$7383),0.75),0)</f>
        <v>40.026851851851461</v>
      </c>
      <c r="N35" s="3">
        <f t="array" ref="N35">IFERROR(PERCENTILE(IF(('Raw Data'!$A$2:$A$7383=A35)*('Raw Data'!$B$2:$B$7383=B35),'Raw Data'!$E$2:$E$7383),0.9),0)</f>
        <v>41.430034722223354</v>
      </c>
      <c r="O35" s="3">
        <f t="array" ref="O35">IFERROR(PERCENTILE(IF(('Raw Data'!$A$2:$A$7383=A35)*('Raw Data'!$B$2:$B$7383=B35),'Raw Data'!$E$2:$E$7383),0.95),0)</f>
        <v>42.02265046296634</v>
      </c>
      <c r="P35" s="3">
        <f t="shared" si="8"/>
        <v>42.7564873154341</v>
      </c>
      <c r="Q35" s="3">
        <f t="shared" si="9"/>
        <v>-1.326452593210746</v>
      </c>
      <c r="R35" s="3">
        <f t="shared" si="10"/>
        <v>41.430034722223354</v>
      </c>
      <c r="S35" t="str">
        <f t="shared" si="11"/>
        <v>P90 empirical percentile</v>
      </c>
    </row>
    <row r="36" spans="1:19" x14ac:dyDescent="0.25">
      <c r="A36" t="s">
        <v>9</v>
      </c>
      <c r="B36" t="s">
        <v>11</v>
      </c>
      <c r="C36" t="s">
        <v>122</v>
      </c>
      <c r="D36" t="s">
        <v>85</v>
      </c>
      <c r="E36" t="s">
        <v>106</v>
      </c>
      <c r="F36" t="s">
        <v>107</v>
      </c>
      <c r="G36">
        <f>COUNTIFS('Raw Data'!$A$2:$A$7383,A36,'Raw Data'!$B$2:$B$7383,B36)</f>
        <v>56</v>
      </c>
      <c r="H36" t="str">
        <f t="shared" si="6"/>
        <v>High</v>
      </c>
      <c r="I36" s="3">
        <f>IFERROR(AVERAGEIFS('Raw Data'!$E$2:$E$7383,'Raw Data'!$A$2:$A$7383,A36,'Raw Data'!$B$2:$B$7383,B36),0)</f>
        <v>73.824836722882665</v>
      </c>
      <c r="J36" s="3">
        <f t="array" ref="J36">IFERROR(MEDIAN(IF(('Raw Data'!$A$2:$A$7383=A36)*('Raw Data'!$B$2:$B$7383=B36),'Raw Data'!$E$2:$E$7383)),0)</f>
        <v>76.027777777781012</v>
      </c>
      <c r="K36" s="3">
        <f t="array" ref="K36">IFERROR(STDEV(IF(('Raw Data'!$A$2:$A$7383=A36)*('Raw Data'!$B$2:$B$7383=B36),'Raw Data'!$E$2:$E$7383)),0)</f>
        <v>12.478805613076023</v>
      </c>
      <c r="L36" s="2">
        <f t="shared" si="7"/>
        <v>0.16903262055177842</v>
      </c>
      <c r="M36" s="3">
        <f t="array" ref="M36">IFERROR(PERCENTILE(IF(('Raw Data'!$A$2:$A$7383=A36)*('Raw Data'!$B$2:$B$7383=B36),'Raw Data'!$E$2:$E$7383),0.75),0)</f>
        <v>82.787152777775191</v>
      </c>
      <c r="N36" s="3">
        <f t="array" ref="N36">IFERROR(PERCENTILE(IF(('Raw Data'!$A$2:$A$7383=A36)*('Raw Data'!$B$2:$B$7383=B36),'Raw Data'!$E$2:$E$7383),0.9),0)</f>
        <v>89.751388888878864</v>
      </c>
      <c r="O36" s="3">
        <f t="array" ref="O36">IFERROR(PERCENTILE(IF(('Raw Data'!$A$2:$A$7383=A36)*('Raw Data'!$B$2:$B$7383=B36),'Raw Data'!$E$2:$E$7383),0.95),0)</f>
        <v>89.786979166659876</v>
      </c>
      <c r="P36" s="3">
        <f t="shared" si="8"/>
        <v>89.817673996600902</v>
      </c>
      <c r="Q36" s="3">
        <f t="shared" si="9"/>
        <v>-6.6285107722038106E-2</v>
      </c>
      <c r="R36" s="3">
        <f t="shared" si="10"/>
        <v>89.751388888878864</v>
      </c>
      <c r="S36" t="str">
        <f t="shared" si="11"/>
        <v>P90 empirical percentile</v>
      </c>
    </row>
    <row r="37" spans="1:19" x14ac:dyDescent="0.25">
      <c r="A37" t="s">
        <v>27</v>
      </c>
      <c r="B37" t="s">
        <v>18</v>
      </c>
      <c r="C37" t="s">
        <v>121</v>
      </c>
      <c r="D37" t="s">
        <v>89</v>
      </c>
      <c r="E37" t="s">
        <v>97</v>
      </c>
      <c r="F37" t="s">
        <v>98</v>
      </c>
      <c r="G37">
        <f>COUNTIFS('Raw Data'!$A$2:$A$7383,A37,'Raw Data'!$B$2:$B$7383,B37)</f>
        <v>54</v>
      </c>
      <c r="H37" t="str">
        <f t="shared" si="6"/>
        <v>High</v>
      </c>
      <c r="I37" s="3">
        <f>IFERROR(AVERAGEIFS('Raw Data'!$E$2:$E$7383,'Raw Data'!$A$2:$A$7383,A37,'Raw Data'!$B$2:$B$7383,B37),0)</f>
        <v>58.118749999999032</v>
      </c>
      <c r="J37" s="3">
        <f t="array" ref="J37">IFERROR(MEDIAN(IF(('Raw Data'!$A$2:$A$7383=A37)*('Raw Data'!$B$2:$B$7383=B37),'Raw Data'!$E$2:$E$7383)),0)</f>
        <v>58.115277777782467</v>
      </c>
      <c r="K37" s="3">
        <f t="array" ref="K37">IFERROR(STDEV(IF(('Raw Data'!$A$2:$A$7383=A37)*('Raw Data'!$B$2:$B$7383=B37),'Raw Data'!$E$2:$E$7383)),0)</f>
        <v>5.0639063040570536</v>
      </c>
      <c r="L37" s="2">
        <f t="shared" si="7"/>
        <v>8.7130337525448118E-2</v>
      </c>
      <c r="M37" s="3">
        <f t="array" ref="M37">IFERROR(PERCENTILE(IF(('Raw Data'!$A$2:$A$7383=A37)*('Raw Data'!$B$2:$B$7383=B37),'Raw Data'!$E$2:$E$7383),0.75),0)</f>
        <v>59.732291666661695</v>
      </c>
      <c r="N37" s="3">
        <f t="array" ref="N37">IFERROR(PERCENTILE(IF(('Raw Data'!$A$2:$A$7383=A37)*('Raw Data'!$B$2:$B$7383=B37),'Raw Data'!$E$2:$E$7383),0.9),0)</f>
        <v>64.280833333342883</v>
      </c>
      <c r="O37" s="3">
        <f t="array" ref="O37">IFERROR(PERCENTILE(IF(('Raw Data'!$A$2:$A$7383=A37)*('Raw Data'!$B$2:$B$7383=B37),'Raw Data'!$E$2:$E$7383),0.95),0)</f>
        <v>65.055555555553653</v>
      </c>
      <c r="P37" s="3">
        <f t="shared" si="8"/>
        <v>64.608652319278548</v>
      </c>
      <c r="Q37" s="3">
        <f t="shared" si="9"/>
        <v>-0.32781898593566439</v>
      </c>
      <c r="R37" s="3">
        <f t="shared" si="10"/>
        <v>64.280833333342883</v>
      </c>
      <c r="S37" t="str">
        <f t="shared" si="11"/>
        <v>P90 empirical percentile</v>
      </c>
    </row>
    <row r="38" spans="1:19" x14ac:dyDescent="0.25">
      <c r="A38" t="s">
        <v>40</v>
      </c>
      <c r="B38" t="s">
        <v>37</v>
      </c>
      <c r="C38" t="s">
        <v>127</v>
      </c>
      <c r="D38" t="s">
        <v>107</v>
      </c>
      <c r="E38" t="s">
        <v>108</v>
      </c>
      <c r="F38" t="s">
        <v>105</v>
      </c>
      <c r="G38">
        <f>COUNTIFS('Raw Data'!$A$2:$A$7383,A38,'Raw Data'!$B$2:$B$7383,B38)</f>
        <v>53</v>
      </c>
      <c r="H38" t="str">
        <f t="shared" si="6"/>
        <v>High</v>
      </c>
      <c r="I38" s="3">
        <f>IFERROR(AVERAGEIFS('Raw Data'!$E$2:$E$7383,'Raw Data'!$A$2:$A$7383,A38,'Raw Data'!$B$2:$B$7383,B38),0)</f>
        <v>13.029777690425448</v>
      </c>
      <c r="J38" s="3">
        <f t="array" ref="J38">IFERROR(MEDIAN(IF(('Raw Data'!$A$2:$A$7383=A38)*('Raw Data'!$B$2:$B$7383=B38),'Raw Data'!$E$2:$E$7383)),0)</f>
        <v>13.420833333337214</v>
      </c>
      <c r="K38" s="3">
        <f t="array" ref="K38">IFERROR(STDEV(IF(('Raw Data'!$A$2:$A$7383=A38)*('Raw Data'!$B$2:$B$7383=B38),'Raw Data'!$E$2:$E$7383)),0)</f>
        <v>1.8667883105975893</v>
      </c>
      <c r="L38" s="2">
        <f t="shared" si="7"/>
        <v>0.14327092564053065</v>
      </c>
      <c r="M38" s="3">
        <f t="array" ref="M38">IFERROR(PERCENTILE(IF(('Raw Data'!$A$2:$A$7383=A38)*('Raw Data'!$B$2:$B$7383=B38),'Raw Data'!$E$2:$E$7383),0.75),0)</f>
        <v>13.947916666656965</v>
      </c>
      <c r="N38" s="3">
        <f t="array" ref="N38">IFERROR(PERCENTILE(IF(('Raw Data'!$A$2:$A$7383=A38)*('Raw Data'!$B$2:$B$7383=B38),'Raw Data'!$E$2:$E$7383),0.9),0)</f>
        <v>14.066666666672972</v>
      </c>
      <c r="O38" s="3">
        <f t="array" ref="O38">IFERROR(PERCENTILE(IF(('Raw Data'!$A$2:$A$7383=A38)*('Raw Data'!$B$2:$B$7383=B38),'Raw Data'!$E$2:$E$7383),0.95),0)</f>
        <v>17.191030092595611</v>
      </c>
      <c r="P38" s="3">
        <f t="shared" si="8"/>
        <v>15.422253589287319</v>
      </c>
      <c r="Q38" s="3">
        <f t="shared" si="9"/>
        <v>-1.3555869226143464</v>
      </c>
      <c r="R38" s="3">
        <f t="shared" si="10"/>
        <v>14.066666666672972</v>
      </c>
      <c r="S38" t="str">
        <f t="shared" si="11"/>
        <v>P90 empirical percentile</v>
      </c>
    </row>
    <row r="39" spans="1:19" x14ac:dyDescent="0.25">
      <c r="A39" t="s">
        <v>12</v>
      </c>
      <c r="B39" t="s">
        <v>8</v>
      </c>
      <c r="C39" t="s">
        <v>93</v>
      </c>
      <c r="D39" t="s">
        <v>94</v>
      </c>
      <c r="E39" t="s">
        <v>86</v>
      </c>
      <c r="F39" t="s">
        <v>87</v>
      </c>
      <c r="G39">
        <f>COUNTIFS('Raw Data'!$A$2:$A$7383,A39,'Raw Data'!$B$2:$B$7383,B39)</f>
        <v>53</v>
      </c>
      <c r="H39" t="str">
        <f t="shared" si="6"/>
        <v>High</v>
      </c>
      <c r="I39" s="3">
        <f>IFERROR(AVERAGEIFS('Raw Data'!$E$2:$E$7383,'Raw Data'!$A$2:$A$7383,A39,'Raw Data'!$B$2:$B$7383,B39),0)</f>
        <v>54.050093466108351</v>
      </c>
      <c r="J39" s="3">
        <f t="array" ref="J39">IFERROR(MEDIAN(IF(('Raw Data'!$A$2:$A$7383=A39)*('Raw Data'!$B$2:$B$7383=B39),'Raw Data'!$E$2:$E$7383)),0)</f>
        <v>53.197916666656965</v>
      </c>
      <c r="K39" s="3">
        <f t="array" ref="K39">IFERROR(STDEV(IF(('Raw Data'!$A$2:$A$7383=A39)*('Raw Data'!$B$2:$B$7383=B39),'Raw Data'!$E$2:$E$7383)),0)</f>
        <v>10.348558073607306</v>
      </c>
      <c r="L39" s="2">
        <f t="shared" si="7"/>
        <v>0.19146235297624936</v>
      </c>
      <c r="M39" s="3">
        <f t="array" ref="M39">IFERROR(PERCENTILE(IF(('Raw Data'!$A$2:$A$7383=A39)*('Raw Data'!$B$2:$B$7383=B39),'Raw Data'!$E$2:$E$7383),0.75),0)</f>
        <v>57.533333333332848</v>
      </c>
      <c r="N39" s="3">
        <f t="array" ref="N39">IFERROR(PERCENTILE(IF(('Raw Data'!$A$2:$A$7383=A39)*('Raw Data'!$B$2:$B$7383=B39),'Raw Data'!$E$2:$E$7383),0.9),0)</f>
        <v>65.35763888888323</v>
      </c>
      <c r="O39" s="3">
        <f t="array" ref="O39">IFERROR(PERCENTILE(IF(('Raw Data'!$A$2:$A$7383=A39)*('Raw Data'!$B$2:$B$7383=B39),'Raw Data'!$E$2:$E$7383),0.95),0)</f>
        <v>73.61250000000291</v>
      </c>
      <c r="P39" s="3">
        <f t="shared" si="8"/>
        <v>67.312805493243474</v>
      </c>
      <c r="Q39" s="3">
        <f t="shared" si="9"/>
        <v>-1.9551666043602438</v>
      </c>
      <c r="R39" s="3">
        <f t="shared" si="10"/>
        <v>65.35763888888323</v>
      </c>
      <c r="S39" t="str">
        <f t="shared" si="11"/>
        <v>P90 empirical percentile</v>
      </c>
    </row>
    <row r="40" spans="1:19" x14ac:dyDescent="0.25">
      <c r="A40" t="s">
        <v>28</v>
      </c>
      <c r="B40" t="s">
        <v>18</v>
      </c>
      <c r="C40" t="s">
        <v>128</v>
      </c>
      <c r="D40" t="s">
        <v>89</v>
      </c>
      <c r="E40" t="s">
        <v>97</v>
      </c>
      <c r="F40" t="s">
        <v>98</v>
      </c>
      <c r="G40">
        <f>COUNTIFS('Raw Data'!$A$2:$A$7383,A40,'Raw Data'!$B$2:$B$7383,B40)</f>
        <v>53</v>
      </c>
      <c r="H40" t="str">
        <f t="shared" si="6"/>
        <v>High</v>
      </c>
      <c r="I40" s="3">
        <f>IFERROR(AVERAGEIFS('Raw Data'!$E$2:$E$7383,'Raw Data'!$A$2:$A$7383,A40,'Raw Data'!$B$2:$B$7383,B40),0)</f>
        <v>71.275615828095567</v>
      </c>
      <c r="J40" s="3">
        <f t="array" ref="J40">IFERROR(MEDIAN(IF(('Raw Data'!$A$2:$A$7383=A40)*('Raw Data'!$B$2:$B$7383=B40),'Raw Data'!$E$2:$E$7383)),0)</f>
        <v>71.821527777785377</v>
      </c>
      <c r="K40" s="3">
        <f t="array" ref="K40">IFERROR(STDEV(IF(('Raw Data'!$A$2:$A$7383=A40)*('Raw Data'!$B$2:$B$7383=B40),'Raw Data'!$E$2:$E$7383)),0)</f>
        <v>6.3580019012482714</v>
      </c>
      <c r="L40" s="2">
        <f t="shared" si="7"/>
        <v>8.9203044089898431E-2</v>
      </c>
      <c r="M40" s="3">
        <f t="array" ref="M40">IFERROR(PERCENTILE(IF(('Raw Data'!$A$2:$A$7383=A40)*('Raw Data'!$B$2:$B$7383=B40),'Raw Data'!$E$2:$E$7383),0.75),0)</f>
        <v>76.22222222223354</v>
      </c>
      <c r="N40" s="3">
        <f t="array" ref="N40">IFERROR(PERCENTILE(IF(('Raw Data'!$A$2:$A$7383=A40)*('Raw Data'!$B$2:$B$7383=B40),'Raw Data'!$E$2:$E$7383),0.9),0)</f>
        <v>79.246527777781012</v>
      </c>
      <c r="O40" s="3">
        <f t="array" ref="O40">IFERROR(PERCENTILE(IF(('Raw Data'!$A$2:$A$7383=A40)*('Raw Data'!$B$2:$B$7383=B40),'Raw Data'!$E$2:$E$7383),0.95),0)</f>
        <v>83.051944444440593</v>
      </c>
      <c r="P40" s="3">
        <f t="shared" si="8"/>
        <v>79.424031064735345</v>
      </c>
      <c r="Q40" s="3">
        <f t="shared" si="9"/>
        <v>-0.17750328695433382</v>
      </c>
      <c r="R40" s="3">
        <f t="shared" si="10"/>
        <v>79.246527777781012</v>
      </c>
      <c r="S40" t="str">
        <f t="shared" si="11"/>
        <v>P90 empirical percentile</v>
      </c>
    </row>
    <row r="41" spans="1:19" x14ac:dyDescent="0.25">
      <c r="A41" t="s">
        <v>19</v>
      </c>
      <c r="B41" t="s">
        <v>8</v>
      </c>
      <c r="C41" t="s">
        <v>90</v>
      </c>
      <c r="D41" t="s">
        <v>91</v>
      </c>
      <c r="E41" t="s">
        <v>86</v>
      </c>
      <c r="F41" t="s">
        <v>87</v>
      </c>
      <c r="G41">
        <f>COUNTIFS('Raw Data'!$A$2:$A$7383,A41,'Raw Data'!$B$2:$B$7383,B41)</f>
        <v>53</v>
      </c>
      <c r="H41" t="str">
        <f t="shared" si="6"/>
        <v>High</v>
      </c>
      <c r="I41" s="3">
        <f>IFERROR(AVERAGEIFS('Raw Data'!$E$2:$E$7383,'Raw Data'!$A$2:$A$7383,A41,'Raw Data'!$B$2:$B$7383,B41),0)</f>
        <v>29.369383080013922</v>
      </c>
      <c r="J41" s="3">
        <f t="array" ref="J41">IFERROR(MEDIAN(IF(('Raw Data'!$A$2:$A$7383=A41)*('Raw Data'!$B$2:$B$7383=B41),'Raw Data'!$E$2:$E$7383)),0)</f>
        <v>28.377083333340124</v>
      </c>
      <c r="K41" s="3">
        <f t="array" ref="K41">IFERROR(STDEV(IF(('Raw Data'!$A$2:$A$7383=A41)*('Raw Data'!$B$2:$B$7383=B41),'Raw Data'!$E$2:$E$7383)),0)</f>
        <v>6.0269032412428372</v>
      </c>
      <c r="L41" s="2">
        <f t="shared" si="7"/>
        <v>0.20521041333497361</v>
      </c>
      <c r="M41" s="3">
        <f t="array" ref="M41">IFERROR(PERCENTILE(IF(('Raw Data'!$A$2:$A$7383=A41)*('Raw Data'!$B$2:$B$7383=B41),'Raw Data'!$E$2:$E$7383),0.75),0)</f>
        <v>32.173611111109494</v>
      </c>
      <c r="N41" s="3">
        <f t="array" ref="N41">IFERROR(PERCENTILE(IF(('Raw Data'!$A$2:$A$7383=A41)*('Raw Data'!$B$2:$B$7383=B41),'Raw Data'!$E$2:$E$7383),0.9),0)</f>
        <v>38.536111111112405</v>
      </c>
      <c r="O41" s="3">
        <f t="array" ref="O41">IFERROR(PERCENTILE(IF(('Raw Data'!$A$2:$A$7383=A41)*('Raw Data'!$B$2:$B$7383=B41),'Raw Data'!$E$2:$E$7383),0.95),0)</f>
        <v>41.001388888893416</v>
      </c>
      <c r="P41" s="3">
        <f t="shared" si="8"/>
        <v>37.093462273990745</v>
      </c>
      <c r="Q41" s="3">
        <f t="shared" si="9"/>
        <v>1.4426488371216593</v>
      </c>
      <c r="R41" s="3">
        <f t="shared" si="10"/>
        <v>38.536111111112405</v>
      </c>
      <c r="S41" t="str">
        <f t="shared" si="11"/>
        <v>P90 empirical percentile</v>
      </c>
    </row>
    <row r="42" spans="1:19" x14ac:dyDescent="0.25">
      <c r="A42" t="s">
        <v>18</v>
      </c>
      <c r="B42" t="s">
        <v>27</v>
      </c>
      <c r="C42" t="s">
        <v>97</v>
      </c>
      <c r="D42" t="s">
        <v>98</v>
      </c>
      <c r="E42" t="s">
        <v>121</v>
      </c>
      <c r="F42" t="s">
        <v>89</v>
      </c>
      <c r="G42">
        <f>COUNTIFS('Raw Data'!$A$2:$A$7383,A42,'Raw Data'!$B$2:$B$7383,B42)</f>
        <v>53</v>
      </c>
      <c r="H42" t="str">
        <f t="shared" si="6"/>
        <v>High</v>
      </c>
      <c r="I42" s="3">
        <f>IFERROR(AVERAGEIFS('Raw Data'!$E$2:$E$7383,'Raw Data'!$A$2:$A$7383,A42,'Raw Data'!$B$2:$B$7383,B42),0)</f>
        <v>73.68133778825846</v>
      </c>
      <c r="J42" s="3">
        <f t="array" ref="J42">IFERROR(MEDIAN(IF(('Raw Data'!$A$2:$A$7383=A42)*('Raw Data'!$B$2:$B$7383=B42),'Raw Data'!$E$2:$E$7383)),0)</f>
        <v>72.814583333340124</v>
      </c>
      <c r="K42" s="3">
        <f t="array" ref="K42">IFERROR(STDEV(IF(('Raw Data'!$A$2:$A$7383=A42)*('Raw Data'!$B$2:$B$7383=B42),'Raw Data'!$E$2:$E$7383)),0)</f>
        <v>7.5123114690337678</v>
      </c>
      <c r="L42" s="2">
        <f t="shared" si="7"/>
        <v>0.10195677351329115</v>
      </c>
      <c r="M42" s="3">
        <f t="array" ref="M42">IFERROR(PERCENTILE(IF(('Raw Data'!$A$2:$A$7383=A42)*('Raw Data'!$B$2:$B$7383=B42),'Raw Data'!$E$2:$E$7383),0.75),0)</f>
        <v>76.950243055543979</v>
      </c>
      <c r="N42" s="3">
        <f t="array" ref="N42">IFERROR(PERCENTILE(IF(('Raw Data'!$A$2:$A$7383=A42)*('Raw Data'!$B$2:$B$7383=B42),'Raw Data'!$E$2:$E$7383),0.9),0)</f>
        <v>85.645638888893913</v>
      </c>
      <c r="O42" s="3">
        <f t="array" ref="O42">IFERROR(PERCENTILE(IF(('Raw Data'!$A$2:$A$7383=A42)*('Raw Data'!$B$2:$B$7383=B42),'Raw Data'!$E$2:$E$7383),0.95),0)</f>
        <v>88.01611111110978</v>
      </c>
      <c r="P42" s="3">
        <f t="shared" si="8"/>
        <v>83.309116166972132</v>
      </c>
      <c r="Q42" s="3">
        <f t="shared" si="9"/>
        <v>2.3365227219217815</v>
      </c>
      <c r="R42" s="3">
        <f t="shared" si="10"/>
        <v>85.645638888893913</v>
      </c>
      <c r="S42" t="str">
        <f t="shared" si="11"/>
        <v>P90 empirical percentile</v>
      </c>
    </row>
    <row r="43" spans="1:19" x14ac:dyDescent="0.25">
      <c r="A43" t="s">
        <v>22</v>
      </c>
      <c r="B43" t="s">
        <v>6</v>
      </c>
      <c r="C43" t="s">
        <v>88</v>
      </c>
      <c r="D43" t="s">
        <v>89</v>
      </c>
      <c r="E43" t="s">
        <v>114</v>
      </c>
      <c r="F43" t="s">
        <v>115</v>
      </c>
      <c r="G43">
        <f>COUNTIFS('Raw Data'!$A$2:$A$7383,A43,'Raw Data'!$B$2:$B$7383,B43)</f>
        <v>48</v>
      </c>
      <c r="H43" t="str">
        <f t="shared" si="6"/>
        <v>High</v>
      </c>
      <c r="I43" s="3">
        <f>IFERROR(AVERAGEIFS('Raw Data'!$E$2:$E$7383,'Raw Data'!$A$2:$A$7383,A43,'Raw Data'!$B$2:$B$7383,B43),0)</f>
        <v>67.40544825424422</v>
      </c>
      <c r="J43" s="3">
        <f t="array" ref="J43">IFERROR(MEDIAN(IF(('Raw Data'!$A$2:$A$7383=A43)*('Raw Data'!$B$2:$B$7383=B43),'Raw Data'!$E$2:$E$7383)),0)</f>
        <v>64.873084490736801</v>
      </c>
      <c r="K43" s="3">
        <f t="array" ref="K43">IFERROR(STDEV(IF(('Raw Data'!$A$2:$A$7383=A43)*('Raw Data'!$B$2:$B$7383=B43),'Raw Data'!$E$2:$E$7383)),0)</f>
        <v>7.6151066701836267</v>
      </c>
      <c r="L43" s="2">
        <f t="shared" si="7"/>
        <v>0.11297464622533887</v>
      </c>
      <c r="M43" s="3">
        <f t="array" ref="M43">IFERROR(PERCENTILE(IF(('Raw Data'!$A$2:$A$7383=A43)*('Raw Data'!$B$2:$B$7383=B43),'Raw Data'!$E$2:$E$7383),0.75),0)</f>
        <v>72.923593749990687</v>
      </c>
      <c r="N43" s="3">
        <f t="array" ref="N43">IFERROR(PERCENTILE(IF(('Raw Data'!$A$2:$A$7383=A43)*('Raw Data'!$B$2:$B$7383=B43),'Raw Data'!$E$2:$E$7383),0.9),0)</f>
        <v>78.592846064819611</v>
      </c>
      <c r="O43" s="3">
        <f t="array" ref="O43">IFERROR(PERCENTILE(IF(('Raw Data'!$A$2:$A$7383=A43)*('Raw Data'!$B$2:$B$7383=B43),'Raw Data'!$E$2:$E$7383),0.95),0)</f>
        <v>81.627502314826415</v>
      </c>
      <c r="P43" s="3">
        <f t="shared" si="8"/>
        <v>77.164968962751558</v>
      </c>
      <c r="Q43" s="3">
        <f t="shared" si="9"/>
        <v>1.4278771020680523</v>
      </c>
      <c r="R43" s="3">
        <f t="shared" si="10"/>
        <v>78.592846064819611</v>
      </c>
      <c r="S43" t="str">
        <f t="shared" si="11"/>
        <v>P90 empirical percentile</v>
      </c>
    </row>
    <row r="44" spans="1:19" x14ac:dyDescent="0.25">
      <c r="A44" t="s">
        <v>16</v>
      </c>
      <c r="B44" t="s">
        <v>8</v>
      </c>
      <c r="C44" t="s">
        <v>123</v>
      </c>
      <c r="D44" t="s">
        <v>85</v>
      </c>
      <c r="E44" t="s">
        <v>86</v>
      </c>
      <c r="F44" t="s">
        <v>87</v>
      </c>
      <c r="G44">
        <f>COUNTIFS('Raw Data'!$A$2:$A$7383,A44,'Raw Data'!$B$2:$B$7383,B44)</f>
        <v>46</v>
      </c>
      <c r="H44" t="str">
        <f t="shared" si="6"/>
        <v>High</v>
      </c>
      <c r="I44" s="3">
        <f>IFERROR(AVERAGEIFS('Raw Data'!$E$2:$E$7383,'Raw Data'!$A$2:$A$7383,A44,'Raw Data'!$B$2:$B$7383,B44),0)</f>
        <v>51.189960748790327</v>
      </c>
      <c r="J44" s="3">
        <f t="array" ref="J44">IFERROR(MEDIAN(IF(('Raw Data'!$A$2:$A$7383=A44)*('Raw Data'!$B$2:$B$7383=B44),'Raw Data'!$E$2:$E$7383)),0)</f>
        <v>47.147916666661331</v>
      </c>
      <c r="K44" s="3">
        <f t="array" ref="K44">IFERROR(STDEV(IF(('Raw Data'!$A$2:$A$7383=A44)*('Raw Data'!$B$2:$B$7383=B44),'Raw Data'!$E$2:$E$7383)),0)</f>
        <v>8.9827920217321946</v>
      </c>
      <c r="L44" s="2">
        <f t="shared" si="7"/>
        <v>0.17547956455396321</v>
      </c>
      <c r="M44" s="3">
        <f t="array" ref="M44">IFERROR(PERCENTILE(IF(('Raw Data'!$A$2:$A$7383=A44)*('Raw Data'!$B$2:$B$7383=B44),'Raw Data'!$E$2:$E$7383),0.75),0)</f>
        <v>62.870833333327028</v>
      </c>
      <c r="N44" s="3">
        <f t="array" ref="N44">IFERROR(PERCENTILE(IF(('Raw Data'!$A$2:$A$7383=A44)*('Raw Data'!$B$2:$B$7383=B44),'Raw Data'!$E$2:$E$7383),0.9),0)</f>
        <v>62.987499999991996</v>
      </c>
      <c r="O44" s="3">
        <f t="array" ref="O44">IFERROR(PERCENTILE(IF(('Raw Data'!$A$2:$A$7383=A44)*('Raw Data'!$B$2:$B$7383=B44),'Raw Data'!$E$2:$E$7383),0.95),0)</f>
        <v>64.592361111106584</v>
      </c>
      <c r="P44" s="3">
        <f t="shared" si="8"/>
        <v>62.702307003842307</v>
      </c>
      <c r="Q44" s="3">
        <f t="shared" si="9"/>
        <v>0.28519299614968929</v>
      </c>
      <c r="R44" s="3">
        <f t="shared" si="10"/>
        <v>62.987499999991996</v>
      </c>
      <c r="S44" t="str">
        <f t="shared" si="11"/>
        <v>P90 empirical percentile</v>
      </c>
    </row>
    <row r="45" spans="1:19" x14ac:dyDescent="0.25">
      <c r="A45" t="s">
        <v>27</v>
      </c>
      <c r="B45" t="s">
        <v>20</v>
      </c>
      <c r="C45" t="s">
        <v>121</v>
      </c>
      <c r="D45" t="s">
        <v>89</v>
      </c>
      <c r="E45" t="s">
        <v>120</v>
      </c>
      <c r="F45" t="s">
        <v>98</v>
      </c>
      <c r="G45">
        <f>COUNTIFS('Raw Data'!$A$2:$A$7383,A45,'Raw Data'!$B$2:$B$7383,B45)</f>
        <v>43</v>
      </c>
      <c r="H45" t="str">
        <f t="shared" si="6"/>
        <v>High</v>
      </c>
      <c r="I45" s="3">
        <f>IFERROR(AVERAGEIFS('Raw Data'!$E$2:$E$7383,'Raw Data'!$A$2:$A$7383,A45,'Raw Data'!$B$2:$B$7383,B45),0)</f>
        <v>68.814131136951815</v>
      </c>
      <c r="J45" s="3">
        <f t="array" ref="J45">IFERROR(MEDIAN(IF(('Raw Data'!$A$2:$A$7383=A45)*('Raw Data'!$B$2:$B$7383=B45),'Raw Data'!$E$2:$E$7383)),0)</f>
        <v>69.464583333334303</v>
      </c>
      <c r="K45" s="3">
        <f t="array" ref="K45">IFERROR(STDEV(IF(('Raw Data'!$A$2:$A$7383=A45)*('Raw Data'!$B$2:$B$7383=B45),'Raw Data'!$E$2:$E$7383)),0)</f>
        <v>4.6966283518739997</v>
      </c>
      <c r="L45" s="2">
        <f t="shared" si="7"/>
        <v>6.8250928614166637E-2</v>
      </c>
      <c r="M45" s="3">
        <f t="array" ref="M45">IFERROR(PERCENTILE(IF(('Raw Data'!$A$2:$A$7383=A45)*('Raw Data'!$B$2:$B$7383=B45),'Raw Data'!$E$2:$E$7383),0.75),0)</f>
        <v>71.991666666675883</v>
      </c>
      <c r="N45" s="3">
        <f t="array" ref="N45">IFERROR(PERCENTILE(IF(('Raw Data'!$A$2:$A$7383=A45)*('Raw Data'!$B$2:$B$7383=B45),'Raw Data'!$E$2:$E$7383),0.9),0)</f>
        <v>72.90583333333926</v>
      </c>
      <c r="O45" s="3">
        <f t="array" ref="O45">IFERROR(PERCENTILE(IF(('Raw Data'!$A$2:$A$7383=A45)*('Raw Data'!$B$2:$B$7383=B45),'Raw Data'!$E$2:$E$7383),0.95),0)</f>
        <v>74.869375000000574</v>
      </c>
      <c r="P45" s="3">
        <f t="shared" si="8"/>
        <v>74.833330032713533</v>
      </c>
      <c r="Q45" s="3">
        <f t="shared" si="9"/>
        <v>-1.9274966993742737</v>
      </c>
      <c r="R45" s="3">
        <f t="shared" si="10"/>
        <v>72.90583333333926</v>
      </c>
      <c r="S45" t="str">
        <f t="shared" si="11"/>
        <v>P90 empirical percentile</v>
      </c>
    </row>
    <row r="46" spans="1:19" x14ac:dyDescent="0.25">
      <c r="A46" t="s">
        <v>7</v>
      </c>
      <c r="B46" t="s">
        <v>20</v>
      </c>
      <c r="C46" t="s">
        <v>92</v>
      </c>
      <c r="D46" t="s">
        <v>85</v>
      </c>
      <c r="E46" t="s">
        <v>120</v>
      </c>
      <c r="F46" t="s">
        <v>98</v>
      </c>
      <c r="G46">
        <f>COUNTIFS('Raw Data'!$A$2:$A$7383,A46,'Raw Data'!$B$2:$B$7383,B46)</f>
        <v>37</v>
      </c>
      <c r="H46" t="str">
        <f t="shared" si="6"/>
        <v>High</v>
      </c>
      <c r="I46" s="3">
        <f>IFERROR(AVERAGEIFS('Raw Data'!$E$2:$E$7383,'Raw Data'!$A$2:$A$7383,A46,'Raw Data'!$B$2:$B$7383,B46),0)</f>
        <v>56.779502002006545</v>
      </c>
      <c r="J46" s="3">
        <f t="array" ref="J46">IFERROR(MEDIAN(IF(('Raw Data'!$A$2:$A$7383=A46)*('Raw Data'!$B$2:$B$7383=B46),'Raw Data'!$E$2:$E$7383)),0)</f>
        <v>57.413194444452529</v>
      </c>
      <c r="K46" s="3">
        <f t="array" ref="K46">IFERROR(STDEV(IF(('Raw Data'!$A$2:$A$7383=A46)*('Raw Data'!$B$2:$B$7383=B46),'Raw Data'!$E$2:$E$7383)),0)</f>
        <v>8.2618731082841919</v>
      </c>
      <c r="L46" s="2">
        <f t="shared" si="7"/>
        <v>0.14550802344113944</v>
      </c>
      <c r="M46" s="3">
        <f t="array" ref="M46">IFERROR(PERCENTILE(IF(('Raw Data'!$A$2:$A$7383=A46)*('Raw Data'!$B$2:$B$7383=B46),'Raw Data'!$E$2:$E$7383),0.75),0)</f>
        <v>59.886111111110949</v>
      </c>
      <c r="N46" s="3">
        <f t="array" ref="N46">IFERROR(PERCENTILE(IF(('Raw Data'!$A$2:$A$7383=A46)*('Raw Data'!$B$2:$B$7383=B46),'Raw Data'!$E$2:$E$7383),0.9),0)</f>
        <v>66.491868055555102</v>
      </c>
      <c r="O46" s="3">
        <f t="array" ref="O46">IFERROR(PERCENTILE(IF(('Raw Data'!$A$2:$A$7383=A46)*('Raw Data'!$B$2:$B$7383=B46),'Raw Data'!$E$2:$E$7383),0.95),0)</f>
        <v>71.69012268520018</v>
      </c>
      <c r="P46" s="3">
        <f t="shared" si="8"/>
        <v>67.367918577583566</v>
      </c>
      <c r="Q46" s="3">
        <f t="shared" si="9"/>
        <v>-0.87605052202846423</v>
      </c>
      <c r="R46" s="3">
        <f t="shared" si="10"/>
        <v>66.491868055555102</v>
      </c>
      <c r="S46" t="str">
        <f t="shared" si="11"/>
        <v>P90 empirical percentile</v>
      </c>
    </row>
    <row r="47" spans="1:19" x14ac:dyDescent="0.25">
      <c r="A47" t="s">
        <v>19</v>
      </c>
      <c r="B47" t="s">
        <v>11</v>
      </c>
      <c r="C47" t="s">
        <v>90</v>
      </c>
      <c r="D47" t="s">
        <v>91</v>
      </c>
      <c r="E47" t="s">
        <v>106</v>
      </c>
      <c r="F47" t="s">
        <v>107</v>
      </c>
      <c r="G47">
        <f>COUNTIFS('Raw Data'!$A$2:$A$7383,A47,'Raw Data'!$B$2:$B$7383,B47)</f>
        <v>32</v>
      </c>
      <c r="H47" t="str">
        <f t="shared" si="6"/>
        <v>High</v>
      </c>
      <c r="I47" s="3">
        <f>IFERROR(AVERAGEIFS('Raw Data'!$E$2:$E$7383,'Raw Data'!$A$2:$A$7383,A47,'Raw Data'!$B$2:$B$7383,B47),0)</f>
        <v>41.568864293984689</v>
      </c>
      <c r="J47" s="3">
        <f t="array" ref="J47">IFERROR(MEDIAN(IF(('Raw Data'!$A$2:$A$7383=A47)*('Raw Data'!$B$2:$B$7383=B47),'Raw Data'!$E$2:$E$7383)),0)</f>
        <v>40.760717592595029</v>
      </c>
      <c r="K47" s="3">
        <f t="array" ref="K47">IFERROR(STDEV(IF(('Raw Data'!$A$2:$A$7383=A47)*('Raw Data'!$B$2:$B$7383=B47),'Raw Data'!$E$2:$E$7383)),0)</f>
        <v>3.5830229221143148</v>
      </c>
      <c r="L47" s="2">
        <f t="shared" si="7"/>
        <v>8.6194871641773571E-2</v>
      </c>
      <c r="M47" s="3">
        <f t="array" ref="M47">IFERROR(PERCENTILE(IF(('Raw Data'!$A$2:$A$7383=A47)*('Raw Data'!$B$2:$B$7383=B47),'Raw Data'!$E$2:$E$7383),0.75),0)</f>
        <v>41.868541666670353</v>
      </c>
      <c r="N47" s="3">
        <f t="array" ref="N47">IFERROR(PERCENTILE(IF(('Raw Data'!$A$2:$A$7383=A47)*('Raw Data'!$B$2:$B$7383=B47),'Raw Data'!$E$2:$E$7383),0.9),0)</f>
        <v>48.18381944444409</v>
      </c>
      <c r="O47" s="3">
        <f t="array" ref="O47">IFERROR(PERCENTILE(IF(('Raw Data'!$A$2:$A$7383=A47)*('Raw Data'!$B$2:$B$7383=B47),'Raw Data'!$E$2:$E$7383),0.95),0)</f>
        <v>48.620477430559546</v>
      </c>
      <c r="P47" s="3">
        <f t="shared" si="8"/>
        <v>46.160866470966397</v>
      </c>
      <c r="Q47" s="3">
        <f t="shared" si="9"/>
        <v>2.0229529734776932</v>
      </c>
      <c r="R47" s="3">
        <f t="shared" si="10"/>
        <v>48.18381944444409</v>
      </c>
      <c r="S47" t="str">
        <f t="shared" si="11"/>
        <v>P90 empirical percentile</v>
      </c>
    </row>
    <row r="48" spans="1:19" x14ac:dyDescent="0.25">
      <c r="A48" t="s">
        <v>8</v>
      </c>
      <c r="B48" t="s">
        <v>6</v>
      </c>
      <c r="C48" t="s">
        <v>86</v>
      </c>
      <c r="D48" t="s">
        <v>87</v>
      </c>
      <c r="E48" t="s">
        <v>114</v>
      </c>
      <c r="F48" t="s">
        <v>115</v>
      </c>
      <c r="G48">
        <f>COUNTIFS('Raw Data'!$A$2:$A$7383,A48,'Raw Data'!$B$2:$B$7383,B48)</f>
        <v>30</v>
      </c>
      <c r="H48" t="str">
        <f t="shared" si="6"/>
        <v>High</v>
      </c>
      <c r="I48" s="3">
        <f>IFERROR(AVERAGEIFS('Raw Data'!$E$2:$E$7383,'Raw Data'!$A$2:$A$7383,A48,'Raw Data'!$B$2:$B$7383,B48),0)</f>
        <v>55.778634259255099</v>
      </c>
      <c r="J48" s="3">
        <f t="array" ref="J48">IFERROR(MEDIAN(IF(('Raw Data'!$A$2:$A$7383=A48)*('Raw Data'!$B$2:$B$7383=B48),'Raw Data'!$E$2:$E$7383)),0)</f>
        <v>46.326388888890506</v>
      </c>
      <c r="K48" s="3">
        <f t="array" ref="K48">IFERROR(STDEV(IF(('Raw Data'!$A$2:$A$7383=A48)*('Raw Data'!$B$2:$B$7383=B48),'Raw Data'!$E$2:$E$7383)),0)</f>
        <v>13.278899940054034</v>
      </c>
      <c r="L48" s="2">
        <f t="shared" si="7"/>
        <v>0.2380642716767617</v>
      </c>
      <c r="M48" s="3">
        <f t="array" ref="M48">IFERROR(PERCENTILE(IF(('Raw Data'!$A$2:$A$7383=A48)*('Raw Data'!$B$2:$B$7383=B48),'Raw Data'!$E$2:$E$7383),0.75),0)</f>
        <v>67.395833333313931</v>
      </c>
      <c r="N48" s="3">
        <f t="array" ref="N48">IFERROR(PERCENTILE(IF(('Raw Data'!$A$2:$A$7383=A48)*('Raw Data'!$B$2:$B$7383=B48),'Raw Data'!$E$2:$E$7383),0.9),0)</f>
        <v>68.581388888871899</v>
      </c>
      <c r="O48" s="3">
        <f t="array" ref="O48">IFERROR(PERCENTILE(IF(('Raw Data'!$A$2:$A$7383=A48)*('Raw Data'!$B$2:$B$7383=B48),'Raw Data'!$E$2:$E$7383),0.95),0)</f>
        <v>79.251388888893416</v>
      </c>
      <c r="P48" s="3">
        <f t="shared" si="8"/>
        <v>72.796872422428351</v>
      </c>
      <c r="Q48" s="3">
        <f t="shared" si="9"/>
        <v>-4.2154835335564513</v>
      </c>
      <c r="R48" s="3">
        <f t="shared" si="10"/>
        <v>68.581388888871899</v>
      </c>
      <c r="S48" t="str">
        <f t="shared" si="11"/>
        <v>P90 empirical percentile</v>
      </c>
    </row>
    <row r="49" spans="1:19" x14ac:dyDescent="0.25">
      <c r="A49" t="s">
        <v>23</v>
      </c>
      <c r="B49" t="s">
        <v>8</v>
      </c>
      <c r="C49" t="s">
        <v>118</v>
      </c>
      <c r="D49" t="s">
        <v>119</v>
      </c>
      <c r="E49" t="s">
        <v>86</v>
      </c>
      <c r="F49" t="s">
        <v>87</v>
      </c>
      <c r="G49">
        <f>COUNTIFS('Raw Data'!$A$2:$A$7383,A49,'Raw Data'!$B$2:$B$7383,B49)</f>
        <v>29</v>
      </c>
      <c r="H49" t="str">
        <f t="shared" si="6"/>
        <v>High</v>
      </c>
      <c r="I49" s="3">
        <f>IFERROR(AVERAGEIFS('Raw Data'!$E$2:$E$7383,'Raw Data'!$A$2:$A$7383,A49,'Raw Data'!$B$2:$B$7383,B49),0)</f>
        <v>48.003314575348512</v>
      </c>
      <c r="J49" s="3">
        <f t="array" ref="J49">IFERROR(MEDIAN(IF(('Raw Data'!$A$2:$A$7383=A49)*('Raw Data'!$B$2:$B$7383=B49),'Raw Data'!$E$2:$E$7383)),0)</f>
        <v>47.114386574066884</v>
      </c>
      <c r="K49" s="3">
        <f t="array" ref="K49">IFERROR(STDEV(IF(('Raw Data'!$A$2:$A$7383=A49)*('Raw Data'!$B$2:$B$7383=B49),'Raw Data'!$E$2:$E$7383)),0)</f>
        <v>9.1764369835940816</v>
      </c>
      <c r="L49" s="2">
        <f t="shared" si="7"/>
        <v>0.19116257001774881</v>
      </c>
      <c r="M49" s="3">
        <f t="array" ref="M49">IFERROR(PERCENTILE(IF(('Raw Data'!$A$2:$A$7383=A49)*('Raw Data'!$B$2:$B$7383=B49),'Raw Data'!$E$2:$E$7383),0.75),0)</f>
        <v>52.596342592587462</v>
      </c>
      <c r="N49" s="3">
        <f t="array" ref="N49">IFERROR(PERCENTILE(IF(('Raw Data'!$A$2:$A$7383=A49)*('Raw Data'!$B$2:$B$7383=B49),'Raw Data'!$E$2:$E$7383),0.9),0)</f>
        <v>59.391641203704054</v>
      </c>
      <c r="O49" s="3">
        <f t="array" ref="O49">IFERROR(PERCENTILE(IF(('Raw Data'!$A$2:$A$7383=A49)*('Raw Data'!$B$2:$B$7383=B49),'Raw Data'!$E$2:$E$7383),0.95),0)</f>
        <v>60.492046296292393</v>
      </c>
      <c r="P49" s="3">
        <f t="shared" si="8"/>
        <v>59.763836213522687</v>
      </c>
      <c r="Q49" s="3">
        <f t="shared" si="9"/>
        <v>-0.37219500981863263</v>
      </c>
      <c r="R49" s="3">
        <f t="shared" si="10"/>
        <v>59.391641203704054</v>
      </c>
      <c r="S49" t="str">
        <f t="shared" si="11"/>
        <v>P90 empirical percentile</v>
      </c>
    </row>
    <row r="50" spans="1:19" x14ac:dyDescent="0.25">
      <c r="A50" t="s">
        <v>48</v>
      </c>
      <c r="B50" t="s">
        <v>12</v>
      </c>
      <c r="C50" t="s">
        <v>129</v>
      </c>
      <c r="D50" t="s">
        <v>130</v>
      </c>
      <c r="E50" t="s">
        <v>93</v>
      </c>
      <c r="F50" t="s">
        <v>94</v>
      </c>
      <c r="G50">
        <f>COUNTIFS('Raw Data'!$A$2:$A$7383,A50,'Raw Data'!$B$2:$B$7383,B50)</f>
        <v>28</v>
      </c>
      <c r="H50" t="str">
        <f t="shared" si="6"/>
        <v>High</v>
      </c>
      <c r="I50" s="3">
        <f>IFERROR(AVERAGEIFS('Raw Data'!$E$2:$E$7383,'Raw Data'!$A$2:$A$7383,A50,'Raw Data'!$B$2:$B$7383,B50),0)</f>
        <v>62.039930555551109</v>
      </c>
      <c r="J50" s="3">
        <f t="array" ref="J50">IFERROR(MEDIAN(IF(('Raw Data'!$A$2:$A$7383=A50)*('Raw Data'!$B$2:$B$7383=B50),'Raw Data'!$E$2:$E$7383)),0)</f>
        <v>62.701041666656238</v>
      </c>
      <c r="K50" s="3">
        <f t="array" ref="K50">IFERROR(STDEV(IF(('Raw Data'!$A$2:$A$7383=A50)*('Raw Data'!$B$2:$B$7383=B50),'Raw Data'!$E$2:$E$7383)),0)</f>
        <v>8.7890310609497355</v>
      </c>
      <c r="L50" s="2">
        <f t="shared" si="7"/>
        <v>0.14166732590198433</v>
      </c>
      <c r="M50" s="3">
        <f t="array" ref="M50">IFERROR(PERCENTILE(IF(('Raw Data'!$A$2:$A$7383=A50)*('Raw Data'!$B$2:$B$7383=B50),'Raw Data'!$E$2:$E$7383),0.75),0)</f>
        <v>64.697916666656965</v>
      </c>
      <c r="N50" s="3">
        <f t="array" ref="N50">IFERROR(PERCENTILE(IF(('Raw Data'!$A$2:$A$7383=A50)*('Raw Data'!$B$2:$B$7383=B50),'Raw Data'!$E$2:$E$7383),0.9),0)</f>
        <v>70.979583333330822</v>
      </c>
      <c r="O50" s="3">
        <f t="array" ref="O50">IFERROR(PERCENTILE(IF(('Raw Data'!$A$2:$A$7383=A50)*('Raw Data'!$B$2:$B$7383=B50),'Raw Data'!$E$2:$E$7383),0.95),0)</f>
        <v>77.970833333332848</v>
      </c>
      <c r="P50" s="3">
        <f t="shared" si="8"/>
        <v>73.303952763264292</v>
      </c>
      <c r="Q50" s="3">
        <f t="shared" si="9"/>
        <v>-2.3243694299334692</v>
      </c>
      <c r="R50" s="3">
        <f t="shared" si="10"/>
        <v>70.979583333330822</v>
      </c>
      <c r="S50" t="str">
        <f t="shared" si="11"/>
        <v>P90 empirical percentile</v>
      </c>
    </row>
    <row r="51" spans="1:19" x14ac:dyDescent="0.25">
      <c r="A51" t="s">
        <v>15</v>
      </c>
      <c r="B51" t="s">
        <v>20</v>
      </c>
      <c r="C51" t="s">
        <v>99</v>
      </c>
      <c r="D51" t="s">
        <v>100</v>
      </c>
      <c r="E51" t="s">
        <v>120</v>
      </c>
      <c r="F51" t="s">
        <v>98</v>
      </c>
      <c r="G51">
        <f>COUNTIFS('Raw Data'!$A$2:$A$7383,A51,'Raw Data'!$B$2:$B$7383,B51)</f>
        <v>28</v>
      </c>
      <c r="H51" t="str">
        <f t="shared" si="6"/>
        <v>High</v>
      </c>
      <c r="I51" s="3">
        <f>IFERROR(AVERAGEIFS('Raw Data'!$E$2:$E$7383,'Raw Data'!$A$2:$A$7383,A51,'Raw Data'!$B$2:$B$7383,B51),0)</f>
        <v>47.624578373013719</v>
      </c>
      <c r="J51" s="3">
        <f t="array" ref="J51">IFERROR(MEDIAN(IF(('Raw Data'!$A$2:$A$7383=A51)*('Raw Data'!$B$2:$B$7383=B51),'Raw Data'!$E$2:$E$7383)),0)</f>
        <v>44.741666666654055</v>
      </c>
      <c r="K51" s="3">
        <f t="array" ref="K51">IFERROR(STDEV(IF(('Raw Data'!$A$2:$A$7383=A51)*('Raw Data'!$B$2:$B$7383=B51),'Raw Data'!$E$2:$E$7383)),0)</f>
        <v>7.2223560334540773</v>
      </c>
      <c r="L51" s="2">
        <f t="shared" si="7"/>
        <v>0.15165186297054123</v>
      </c>
      <c r="M51" s="3">
        <f t="array" ref="M51">IFERROR(PERCENTILE(IF(('Raw Data'!$A$2:$A$7383=A51)*('Raw Data'!$B$2:$B$7383=B51),'Raw Data'!$E$2:$E$7383),0.75),0)</f>
        <v>51.789756944437613</v>
      </c>
      <c r="N51" s="3">
        <f t="array" ref="N51">IFERROR(PERCENTILE(IF(('Raw Data'!$A$2:$A$7383=A51)*('Raw Data'!$B$2:$B$7383=B51),'Raw Data'!$E$2:$E$7383),0.9),0)</f>
        <v>59.272222222229175</v>
      </c>
      <c r="O51" s="3">
        <f t="array" ref="O51">IFERROR(PERCENTILE(IF(('Raw Data'!$A$2:$A$7383=A51)*('Raw Data'!$B$2:$B$7383=B51),'Raw Data'!$E$2:$E$7383),0.95),0)</f>
        <v>59.272222222229175</v>
      </c>
      <c r="P51" s="3">
        <f t="shared" si="8"/>
        <v>56.880749865488468</v>
      </c>
      <c r="Q51" s="3">
        <f t="shared" si="9"/>
        <v>2.3914723567407066</v>
      </c>
      <c r="R51" s="3">
        <f t="shared" si="10"/>
        <v>59.272222222229175</v>
      </c>
      <c r="S51" t="str">
        <f t="shared" si="11"/>
        <v>P90 empirical percentile</v>
      </c>
    </row>
    <row r="52" spans="1:19" x14ac:dyDescent="0.25">
      <c r="A52" t="s">
        <v>42</v>
      </c>
      <c r="B52" t="s">
        <v>19</v>
      </c>
      <c r="C52" t="s">
        <v>131</v>
      </c>
      <c r="D52" t="s">
        <v>100</v>
      </c>
      <c r="E52" t="s">
        <v>90</v>
      </c>
      <c r="F52" t="s">
        <v>91</v>
      </c>
      <c r="G52">
        <f>COUNTIFS('Raw Data'!$A$2:$A$7383,A52,'Raw Data'!$B$2:$B$7383,B52)</f>
        <v>28</v>
      </c>
      <c r="H52" t="str">
        <f t="shared" si="6"/>
        <v>High</v>
      </c>
      <c r="I52" s="3">
        <f>IFERROR(AVERAGEIFS('Raw Data'!$E$2:$E$7383,'Raw Data'!$A$2:$A$7383,A52,'Raw Data'!$B$2:$B$7383,B52),0)</f>
        <v>45.042771164025126</v>
      </c>
      <c r="J52" s="3">
        <f t="array" ref="J52">IFERROR(MEDIAN(IF(('Raw Data'!$A$2:$A$7383=A52)*('Raw Data'!$B$2:$B$7383=B52),'Raw Data'!$E$2:$E$7383)),0)</f>
        <v>46.440729166686651</v>
      </c>
      <c r="K52" s="3">
        <f t="array" ref="K52">IFERROR(STDEV(IF(('Raw Data'!$A$2:$A$7383=A52)*('Raw Data'!$B$2:$B$7383=B52),'Raw Data'!$E$2:$E$7383)),0)</f>
        <v>5.1927795427290979</v>
      </c>
      <c r="L52" s="2">
        <f t="shared" si="7"/>
        <v>0.11528552548020136</v>
      </c>
      <c r="M52" s="3">
        <f t="array" ref="M52">IFERROR(PERCENTILE(IF(('Raw Data'!$A$2:$A$7383=A52)*('Raw Data'!$B$2:$B$7383=B52),'Raw Data'!$E$2:$E$7383),0.75),0)</f>
        <v>47.828654513898073</v>
      </c>
      <c r="N52" s="3">
        <f t="array" ref="N52">IFERROR(PERCENTILE(IF(('Raw Data'!$A$2:$A$7383=A52)*('Raw Data'!$B$2:$B$7383=B52),'Raw Data'!$E$2:$E$7383),0.9),0)</f>
        <v>50.595686342595585</v>
      </c>
      <c r="O52" s="3">
        <f t="array" ref="O52">IFERROR(PERCENTILE(IF(('Raw Data'!$A$2:$A$7383=A52)*('Raw Data'!$B$2:$B$7383=B52),'Raw Data'!$E$2:$E$7383),0.95),0)</f>
        <v>54.694999421298419</v>
      </c>
      <c r="P52" s="3">
        <f t="shared" si="8"/>
        <v>51.697837425986741</v>
      </c>
      <c r="Q52" s="3">
        <f t="shared" si="9"/>
        <v>-1.1021510833911563</v>
      </c>
      <c r="R52" s="3">
        <f t="shared" si="10"/>
        <v>50.595686342595585</v>
      </c>
      <c r="S52" t="str">
        <f t="shared" si="11"/>
        <v>P90 empirical percentile</v>
      </c>
    </row>
    <row r="53" spans="1:19" x14ac:dyDescent="0.25">
      <c r="A53" t="s">
        <v>11</v>
      </c>
      <c r="B53" t="s">
        <v>7</v>
      </c>
      <c r="C53" t="s">
        <v>106</v>
      </c>
      <c r="D53" t="s">
        <v>107</v>
      </c>
      <c r="E53" t="s">
        <v>92</v>
      </c>
      <c r="F53" t="s">
        <v>85</v>
      </c>
      <c r="G53">
        <f>COUNTIFS('Raw Data'!$A$2:$A$7383,A53,'Raw Data'!$B$2:$B$7383,B53)</f>
        <v>27</v>
      </c>
      <c r="H53" t="str">
        <f t="shared" si="6"/>
        <v>High</v>
      </c>
      <c r="I53" s="3">
        <f>IFERROR(AVERAGEIFS('Raw Data'!$E$2:$E$7383,'Raw Data'!$A$2:$A$7383,A53,'Raw Data'!$B$2:$B$7383,B53),0)</f>
        <v>82.84688786008445</v>
      </c>
      <c r="J53" s="3">
        <f t="array" ref="J53">IFERROR(MEDIAN(IF(('Raw Data'!$A$2:$A$7383=A53)*('Raw Data'!$B$2:$B$7383=B53),'Raw Data'!$E$2:$E$7383)),0)</f>
        <v>77.529166666674428</v>
      </c>
      <c r="K53" s="3">
        <f t="array" ref="K53">IFERROR(STDEV(IF(('Raw Data'!$A$2:$A$7383=A53)*('Raw Data'!$B$2:$B$7383=B53),'Raw Data'!$E$2:$E$7383)),0)</f>
        <v>17.104869638002278</v>
      </c>
      <c r="L53" s="2">
        <f t="shared" si="7"/>
        <v>0.20646363526521058</v>
      </c>
      <c r="M53" s="3">
        <f t="array" ref="M53">IFERROR(PERCENTILE(IF(('Raw Data'!$A$2:$A$7383=A53)*('Raw Data'!$B$2:$B$7383=B53),'Raw Data'!$E$2:$E$7383),0.75),0)</f>
        <v>93.585763888888323</v>
      </c>
      <c r="N53" s="3">
        <f t="array" ref="N53">IFERROR(PERCENTILE(IF(('Raw Data'!$A$2:$A$7383=A53)*('Raw Data'!$B$2:$B$7383=B53),'Raw Data'!$E$2:$E$7383),0.9),0)</f>
        <v>108.56819444444555</v>
      </c>
      <c r="O53" s="3">
        <f t="array" ref="O53">IFERROR(PERCENTILE(IF(('Raw Data'!$A$2:$A$7383=A53)*('Raw Data'!$B$2:$B$7383=B53),'Raw Data'!$E$2:$E$7383),0.95),0)</f>
        <v>114.87555555556173</v>
      </c>
      <c r="P53" s="3">
        <f t="shared" si="8"/>
        <v>104.76848878814818</v>
      </c>
      <c r="Q53" s="3">
        <f t="shared" si="9"/>
        <v>3.7997056562973768</v>
      </c>
      <c r="R53" s="3">
        <f t="shared" si="10"/>
        <v>108.56819444444555</v>
      </c>
      <c r="S53" t="str">
        <f t="shared" si="11"/>
        <v>P90 empirical percentile</v>
      </c>
    </row>
    <row r="54" spans="1:19" x14ac:dyDescent="0.25">
      <c r="A54" t="s">
        <v>5</v>
      </c>
      <c r="B54" t="s">
        <v>6</v>
      </c>
      <c r="C54" t="s">
        <v>84</v>
      </c>
      <c r="D54" t="s">
        <v>85</v>
      </c>
      <c r="E54" t="s">
        <v>114</v>
      </c>
      <c r="F54" t="s">
        <v>115</v>
      </c>
      <c r="G54">
        <f>COUNTIFS('Raw Data'!$A$2:$A$7383,A54,'Raw Data'!$B$2:$B$7383,B54)</f>
        <v>27</v>
      </c>
      <c r="H54" t="str">
        <f t="shared" si="6"/>
        <v>High</v>
      </c>
      <c r="I54" s="3">
        <f>IFERROR(AVERAGEIFS('Raw Data'!$E$2:$E$7383,'Raw Data'!$A$2:$A$7383,A54,'Raw Data'!$B$2:$B$7383,B54),0)</f>
        <v>60.400334362139496</v>
      </c>
      <c r="J54" s="3">
        <f t="array" ref="J54">IFERROR(MEDIAN(IF(('Raw Data'!$A$2:$A$7383=A54)*('Raw Data'!$B$2:$B$7383=B54),'Raw Data'!$E$2:$E$7383)),0)</f>
        <v>58.520833333335759</v>
      </c>
      <c r="K54" s="3">
        <f t="array" ref="K54">IFERROR(STDEV(IF(('Raw Data'!$A$2:$A$7383=A54)*('Raw Data'!$B$2:$B$7383=B54),'Raw Data'!$E$2:$E$7383)),0)</f>
        <v>7.1678086960116065</v>
      </c>
      <c r="L54" s="2">
        <f t="shared" si="7"/>
        <v>0.1186716724618759</v>
      </c>
      <c r="M54" s="3">
        <f t="array" ref="M54">IFERROR(PERCENTILE(IF(('Raw Data'!$A$2:$A$7383=A54)*('Raw Data'!$B$2:$B$7383=B54),'Raw Data'!$E$2:$E$7383),0.75),0)</f>
        <v>64.418750000000728</v>
      </c>
      <c r="N54" s="3">
        <f t="array" ref="N54">IFERROR(PERCENTILE(IF(('Raw Data'!$A$2:$A$7383=A54)*('Raw Data'!$B$2:$B$7383=B54),'Raw Data'!$E$2:$E$7383),0.9),0)</f>
        <v>69.530000000001749</v>
      </c>
      <c r="O54" s="3">
        <f t="array" ref="O54">IFERROR(PERCENTILE(IF(('Raw Data'!$A$2:$A$7383=A54)*('Raw Data'!$B$2:$B$7383=B54),'Raw Data'!$E$2:$E$7383),0.95),0)</f>
        <v>71.509999999996936</v>
      </c>
      <c r="P54" s="3">
        <f t="shared" si="8"/>
        <v>69.586597986947965</v>
      </c>
      <c r="Q54" s="3">
        <f t="shared" si="9"/>
        <v>-5.6597986946215428E-2</v>
      </c>
      <c r="R54" s="3">
        <f t="shared" si="10"/>
        <v>69.530000000001749</v>
      </c>
      <c r="S54" t="str">
        <f t="shared" si="11"/>
        <v>P90 empirical percentile</v>
      </c>
    </row>
    <row r="55" spans="1:19" x14ac:dyDescent="0.25">
      <c r="A55" t="s">
        <v>23</v>
      </c>
      <c r="B55" t="s">
        <v>12</v>
      </c>
      <c r="C55" t="s">
        <v>118</v>
      </c>
      <c r="D55" t="s">
        <v>119</v>
      </c>
      <c r="E55" t="s">
        <v>93</v>
      </c>
      <c r="F55" t="s">
        <v>94</v>
      </c>
      <c r="G55">
        <f>COUNTIFS('Raw Data'!$A$2:$A$7383,A55,'Raw Data'!$B$2:$B$7383,B55)</f>
        <v>27</v>
      </c>
      <c r="H55" t="str">
        <f t="shared" si="6"/>
        <v>High</v>
      </c>
      <c r="I55" s="3">
        <f>IFERROR(AVERAGEIFS('Raw Data'!$E$2:$E$7383,'Raw Data'!$A$2:$A$7383,A55,'Raw Data'!$B$2:$B$7383,B55),0)</f>
        <v>12.325799039780881</v>
      </c>
      <c r="J55" s="3">
        <f t="array" ref="J55">IFERROR(MEDIAN(IF(('Raw Data'!$A$2:$A$7383=A55)*('Raw Data'!$B$2:$B$7383=B55),'Raw Data'!$E$2:$E$7383)),0)</f>
        <v>12.156944444453984</v>
      </c>
      <c r="K55" s="3">
        <f t="array" ref="K55">IFERROR(STDEV(IF(('Raw Data'!$A$2:$A$7383=A55)*('Raw Data'!$B$2:$B$7383=B55),'Raw Data'!$E$2:$E$7383)),0)</f>
        <v>2.1178621882249669</v>
      </c>
      <c r="L55" s="2">
        <f t="shared" si="7"/>
        <v>0.1718235208435312</v>
      </c>
      <c r="M55" s="3">
        <f t="array" ref="M55">IFERROR(PERCENTILE(IF(('Raw Data'!$A$2:$A$7383=A55)*('Raw Data'!$B$2:$B$7383=B55),'Raw Data'!$E$2:$E$7383),0.75),0)</f>
        <v>13.421527777773008</v>
      </c>
      <c r="N55" s="3">
        <f t="array" ref="N55">IFERROR(PERCENTILE(IF(('Raw Data'!$A$2:$A$7383=A55)*('Raw Data'!$B$2:$B$7383=B55),'Raw Data'!$E$2:$E$7383),0.9),0)</f>
        <v>14.395555555548349</v>
      </c>
      <c r="O55" s="3">
        <f t="array" ref="O55">IFERROR(PERCENTILE(IF(('Raw Data'!$A$2:$A$7383=A55)*('Raw Data'!$B$2:$B$7383=B55),'Raw Data'!$E$2:$E$7383),0.95),0)</f>
        <v>16.215138888876389</v>
      </c>
      <c r="P55" s="3">
        <f t="shared" si="8"/>
        <v>15.040051220209998</v>
      </c>
      <c r="Q55" s="3">
        <f t="shared" si="9"/>
        <v>-0.64449566466164931</v>
      </c>
      <c r="R55" s="3">
        <f t="shared" si="10"/>
        <v>14.395555555548349</v>
      </c>
      <c r="S55" t="str">
        <f t="shared" si="11"/>
        <v>P90 empirical percentile</v>
      </c>
    </row>
    <row r="56" spans="1:19" x14ac:dyDescent="0.25">
      <c r="A56" t="s">
        <v>35</v>
      </c>
      <c r="B56" t="s">
        <v>13</v>
      </c>
      <c r="C56" t="s">
        <v>132</v>
      </c>
      <c r="D56" t="s">
        <v>100</v>
      </c>
      <c r="E56" t="s">
        <v>95</v>
      </c>
      <c r="F56" t="s">
        <v>96</v>
      </c>
      <c r="G56">
        <f>COUNTIFS('Raw Data'!$A$2:$A$7383,A56,'Raw Data'!$B$2:$B$7383,B56)</f>
        <v>26</v>
      </c>
      <c r="H56" t="str">
        <f t="shared" si="6"/>
        <v>High</v>
      </c>
      <c r="I56" s="3">
        <f>IFERROR(AVERAGEIFS('Raw Data'!$E$2:$E$7383,'Raw Data'!$A$2:$A$7383,A56,'Raw Data'!$B$2:$B$7383,B56),0)</f>
        <v>42.352083333334193</v>
      </c>
      <c r="J56" s="3">
        <f t="array" ref="J56">IFERROR(MEDIAN(IF(('Raw Data'!$A$2:$A$7383=A56)*('Raw Data'!$B$2:$B$7383=B56),'Raw Data'!$E$2:$E$7383)),0)</f>
        <v>41.67500000000291</v>
      </c>
      <c r="K56" s="3">
        <f t="array" ref="K56">IFERROR(STDEV(IF(('Raw Data'!$A$2:$A$7383=A56)*('Raw Data'!$B$2:$B$7383=B56),'Raw Data'!$E$2:$E$7383)),0)</f>
        <v>2.3546376372536879</v>
      </c>
      <c r="L56" s="2">
        <f t="shared" si="7"/>
        <v>5.55967369709158E-2</v>
      </c>
      <c r="M56" s="3">
        <f t="array" ref="M56">IFERROR(PERCENTILE(IF(('Raw Data'!$A$2:$A$7383=A56)*('Raw Data'!$B$2:$B$7383=B56),'Raw Data'!$E$2:$E$7383),0.75),0)</f>
        <v>42.354166666656965</v>
      </c>
      <c r="N56" s="3">
        <f t="array" ref="N56">IFERROR(PERCENTILE(IF(('Raw Data'!$A$2:$A$7383=A56)*('Raw Data'!$B$2:$B$7383=B56),'Raw Data'!$E$2:$E$7383),0.9),0)</f>
        <v>46.23124999999709</v>
      </c>
      <c r="O56" s="3">
        <f t="array" ref="O56">IFERROR(PERCENTILE(IF(('Raw Data'!$A$2:$A$7383=A56)*('Raw Data'!$B$2:$B$7383=B56),'Raw Data'!$E$2:$E$7383),0.95),0)</f>
        <v>46.493749999997817</v>
      </c>
      <c r="P56" s="3">
        <f t="shared" si="8"/>
        <v>45.369786929238522</v>
      </c>
      <c r="Q56" s="3">
        <f t="shared" si="9"/>
        <v>0.86146307075856754</v>
      </c>
      <c r="R56" s="3">
        <f t="shared" si="10"/>
        <v>46.23124999999709</v>
      </c>
      <c r="S56" t="str">
        <f t="shared" si="11"/>
        <v>P90 empirical percentile</v>
      </c>
    </row>
    <row r="57" spans="1:19" x14ac:dyDescent="0.25">
      <c r="A57" t="s">
        <v>46</v>
      </c>
      <c r="B57" t="s">
        <v>11</v>
      </c>
      <c r="C57" t="s">
        <v>133</v>
      </c>
      <c r="D57" t="s">
        <v>117</v>
      </c>
      <c r="E57" t="s">
        <v>106</v>
      </c>
      <c r="F57" t="s">
        <v>107</v>
      </c>
      <c r="G57">
        <f>COUNTIFS('Raw Data'!$A$2:$A$7383,A57,'Raw Data'!$B$2:$B$7383,B57)</f>
        <v>26</v>
      </c>
      <c r="H57" t="str">
        <f t="shared" si="6"/>
        <v>High</v>
      </c>
      <c r="I57" s="3">
        <f>IFERROR(AVERAGEIFS('Raw Data'!$E$2:$E$7383,'Raw Data'!$A$2:$A$7383,A57,'Raw Data'!$B$2:$B$7383,B57),0)</f>
        <v>9.7707211538447432</v>
      </c>
      <c r="J57" s="3">
        <f t="array" ref="J57">IFERROR(MEDIAN(IF(('Raw Data'!$A$2:$A$7383=A57)*('Raw Data'!$B$2:$B$7383=B57),'Raw Data'!$E$2:$E$7383)),0)</f>
        <v>9.9184027777810115</v>
      </c>
      <c r="K57" s="3">
        <f t="array" ref="K57">IFERROR(STDEV(IF(('Raw Data'!$A$2:$A$7383=A57)*('Raw Data'!$B$2:$B$7383=B57),'Raw Data'!$E$2:$E$7383)),0)</f>
        <v>2.3301398675772971</v>
      </c>
      <c r="L57" s="2">
        <f t="shared" si="7"/>
        <v>0.23848187159249709</v>
      </c>
      <c r="M57" s="3">
        <f t="array" ref="M57">IFERROR(PERCENTILE(IF(('Raw Data'!$A$2:$A$7383=A57)*('Raw Data'!$B$2:$B$7383=B57),'Raw Data'!$E$2:$E$7383),0.75),0)</f>
        <v>10.415798611109494</v>
      </c>
      <c r="N57" s="3">
        <f t="array" ref="N57">IFERROR(PERCENTILE(IF(('Raw Data'!$A$2:$A$7383=A57)*('Raw Data'!$B$2:$B$7383=B57),'Raw Data'!$E$2:$E$7383),0.9),0)</f>
        <v>10.887899305555038</v>
      </c>
      <c r="O57" s="3">
        <f t="array" ref="O57">IFERROR(PERCENTILE(IF(('Raw Data'!$A$2:$A$7383=A57)*('Raw Data'!$B$2:$B$7383=B57),'Raw Data'!$E$2:$E$7383),0.95),0)</f>
        <v>12.089557291667006</v>
      </c>
      <c r="P57" s="3">
        <f t="shared" si="8"/>
        <v>12.757028408131807</v>
      </c>
      <c r="Q57" s="3">
        <f t="shared" si="9"/>
        <v>-1.8691291025767693</v>
      </c>
      <c r="R57" s="3">
        <f t="shared" si="10"/>
        <v>10.887899305555038</v>
      </c>
      <c r="S57" t="str">
        <f t="shared" si="11"/>
        <v>P90 empirical percentile</v>
      </c>
    </row>
    <row r="58" spans="1:19" x14ac:dyDescent="0.25">
      <c r="A58" t="s">
        <v>16</v>
      </c>
      <c r="B58" t="s">
        <v>13</v>
      </c>
      <c r="C58" t="s">
        <v>123</v>
      </c>
      <c r="D58" t="s">
        <v>85</v>
      </c>
      <c r="E58" t="s">
        <v>95</v>
      </c>
      <c r="F58" t="s">
        <v>96</v>
      </c>
      <c r="G58">
        <f>COUNTIFS('Raw Data'!$A$2:$A$7383,A58,'Raw Data'!$B$2:$B$7383,B58)</f>
        <v>25</v>
      </c>
      <c r="H58" t="str">
        <f t="shared" si="6"/>
        <v>High</v>
      </c>
      <c r="I58" s="3">
        <f>IFERROR(AVERAGEIFS('Raw Data'!$E$2:$E$7383,'Raw Data'!$A$2:$A$7383,A58,'Raw Data'!$B$2:$B$7383,B58),0)</f>
        <v>42.636750000001918</v>
      </c>
      <c r="J58" s="3">
        <f t="array" ref="J58">IFERROR(MEDIAN(IF(('Raw Data'!$A$2:$A$7383=A58)*('Raw Data'!$B$2:$B$7383=B58),'Raw Data'!$E$2:$E$7383)),0)</f>
        <v>43.38749999999709</v>
      </c>
      <c r="K58" s="3">
        <f t="array" ref="K58">IFERROR(STDEV(IF(('Raw Data'!$A$2:$A$7383=A58)*('Raw Data'!$B$2:$B$7383=B58),'Raw Data'!$E$2:$E$7383)),0)</f>
        <v>3.0897668957134456</v>
      </c>
      <c r="L58" s="2">
        <f t="shared" si="7"/>
        <v>7.2467223597326408E-2</v>
      </c>
      <c r="M58" s="3">
        <f t="array" ref="M58">IFERROR(PERCENTILE(IF(('Raw Data'!$A$2:$A$7383=A58)*('Raw Data'!$B$2:$B$7383=B58),'Raw Data'!$E$2:$E$7383),0.75),0)</f>
        <v>44.320833333331393</v>
      </c>
      <c r="N58" s="3">
        <f t="array" ref="N58">IFERROR(PERCENTILE(IF(('Raw Data'!$A$2:$A$7383=A58)*('Raw Data'!$B$2:$B$7383=B58),'Raw Data'!$E$2:$E$7383),0.9),0)</f>
        <v>46.056388888890794</v>
      </c>
      <c r="O58" s="3">
        <f t="array" ref="O58">IFERROR(PERCENTILE(IF(('Raw Data'!$A$2:$A$7383=A58)*('Raw Data'!$B$2:$B$7383=B58),'Raw Data'!$E$2:$E$7383),0.95),0)</f>
        <v>48.859722222226253</v>
      </c>
      <c r="P58" s="3">
        <f t="shared" si="8"/>
        <v>46.596595253548273</v>
      </c>
      <c r="Q58" s="3">
        <f t="shared" si="9"/>
        <v>-0.54020636465747884</v>
      </c>
      <c r="R58" s="3">
        <f t="shared" si="10"/>
        <v>46.056388888890794</v>
      </c>
      <c r="S58" t="str">
        <f t="shared" si="11"/>
        <v>P90 empirical percentile</v>
      </c>
    </row>
    <row r="59" spans="1:19" x14ac:dyDescent="0.25">
      <c r="A59" t="s">
        <v>11</v>
      </c>
      <c r="B59" t="s">
        <v>19</v>
      </c>
      <c r="C59" t="s">
        <v>106</v>
      </c>
      <c r="D59" t="s">
        <v>107</v>
      </c>
      <c r="E59" t="s">
        <v>90</v>
      </c>
      <c r="F59" t="s">
        <v>91</v>
      </c>
      <c r="G59">
        <f>COUNTIFS('Raw Data'!$A$2:$A$7383,A59,'Raw Data'!$B$2:$B$7383,B59)</f>
        <v>22</v>
      </c>
      <c r="H59" t="str">
        <f t="shared" si="6"/>
        <v>High</v>
      </c>
      <c r="I59" s="3">
        <f>IFERROR(AVERAGEIFS('Raw Data'!$E$2:$E$7383,'Raw Data'!$A$2:$A$7383,A59,'Raw Data'!$B$2:$B$7383,B59),0)</f>
        <v>59.023581649832934</v>
      </c>
      <c r="J59" s="3">
        <f t="array" ref="J59">IFERROR(MEDIAN(IF(('Raw Data'!$A$2:$A$7383=A59)*('Raw Data'!$B$2:$B$7383=B59),'Raw Data'!$E$2:$E$7383)),0)</f>
        <v>57.333680555559113</v>
      </c>
      <c r="K59" s="3">
        <f t="array" ref="K59">IFERROR(STDEV(IF(('Raw Data'!$A$2:$A$7383=A59)*('Raw Data'!$B$2:$B$7383=B59),'Raw Data'!$E$2:$E$7383)),0)</f>
        <v>15.150285535927713</v>
      </c>
      <c r="L59" s="2">
        <f t="shared" si="7"/>
        <v>0.25668190767902332</v>
      </c>
      <c r="M59" s="3">
        <f t="array" ref="M59">IFERROR(PERCENTILE(IF(('Raw Data'!$A$2:$A$7383=A59)*('Raw Data'!$B$2:$B$7383=B59),'Raw Data'!$E$2:$E$7383),0.75),0)</f>
        <v>62.268749999995634</v>
      </c>
      <c r="N59" s="3">
        <f t="array" ref="N59">IFERROR(PERCENTILE(IF(('Raw Data'!$A$2:$A$7383=A59)*('Raw Data'!$B$2:$B$7383=B59),'Raw Data'!$E$2:$E$7383),0.9),0)</f>
        <v>88.770822916673268</v>
      </c>
      <c r="O59" s="3">
        <f t="array" ref="O59">IFERROR(PERCENTILE(IF(('Raw Data'!$A$2:$A$7383=A59)*('Raw Data'!$B$2:$B$7383=B59),'Raw Data'!$E$2:$E$7383),0.95),0)</f>
        <v>91.601377314822457</v>
      </c>
      <c r="P59" s="3">
        <f t="shared" si="8"/>
        <v>78.440187592677887</v>
      </c>
      <c r="Q59" s="3">
        <f t="shared" si="9"/>
        <v>10.330635323995381</v>
      </c>
      <c r="R59" s="3">
        <f t="shared" si="10"/>
        <v>88.770822916673268</v>
      </c>
      <c r="S59" t="str">
        <f t="shared" si="11"/>
        <v>P90 empirical percentile</v>
      </c>
    </row>
    <row r="60" spans="1:19" x14ac:dyDescent="0.25">
      <c r="A60" t="s">
        <v>8</v>
      </c>
      <c r="B60" t="s">
        <v>7</v>
      </c>
      <c r="C60" t="s">
        <v>86</v>
      </c>
      <c r="D60" t="s">
        <v>87</v>
      </c>
      <c r="E60" t="s">
        <v>92</v>
      </c>
      <c r="F60" t="s">
        <v>85</v>
      </c>
      <c r="G60">
        <f>COUNTIFS('Raw Data'!$A$2:$A$7383,A60,'Raw Data'!$B$2:$B$7383,B60)</f>
        <v>22</v>
      </c>
      <c r="H60" t="str">
        <f t="shared" si="6"/>
        <v>High</v>
      </c>
      <c r="I60" s="3">
        <f>IFERROR(AVERAGEIFS('Raw Data'!$E$2:$E$7383,'Raw Data'!$A$2:$A$7383,A60,'Raw Data'!$B$2:$B$7383,B60),0)</f>
        <v>45.940151515147924</v>
      </c>
      <c r="J60" s="3">
        <f t="array" ref="J60">IFERROR(MEDIAN(IF(('Raw Data'!$A$2:$A$7383=A60)*('Raw Data'!$B$2:$B$7383=B60),'Raw Data'!$E$2:$E$7383)),0)</f>
        <v>46.054166666675883</v>
      </c>
      <c r="K60" s="3">
        <f t="array" ref="K60">IFERROR(STDEV(IF(('Raw Data'!$A$2:$A$7383=A60)*('Raw Data'!$B$2:$B$7383=B60),'Raw Data'!$E$2:$E$7383)),0)</f>
        <v>11.27520832497145</v>
      </c>
      <c r="L60" s="2">
        <f t="shared" si="7"/>
        <v>0.2454325454554423</v>
      </c>
      <c r="M60" s="3">
        <f t="array" ref="M60">IFERROR(PERCENTILE(IF(('Raw Data'!$A$2:$A$7383=A60)*('Raw Data'!$B$2:$B$7383=B60),'Raw Data'!$E$2:$E$7383),0.75),0)</f>
        <v>57.383333333338669</v>
      </c>
      <c r="N60" s="3">
        <f t="array" ref="N60">IFERROR(PERCENTILE(IF(('Raw Data'!$A$2:$A$7383=A60)*('Raw Data'!$B$2:$B$7383=B60),'Raw Data'!$E$2:$E$7383),0.9),0)</f>
        <v>57.383333333338669</v>
      </c>
      <c r="O60" s="3">
        <f t="array" ref="O60">IFERROR(PERCENTILE(IF(('Raw Data'!$A$2:$A$7383=A60)*('Raw Data'!$B$2:$B$7383=B60),'Raw Data'!$E$2:$E$7383),0.95),0)</f>
        <v>57.383333333338669</v>
      </c>
      <c r="P60" s="3">
        <f t="shared" si="8"/>
        <v>60.390458504431336</v>
      </c>
      <c r="Q60" s="3">
        <f t="shared" si="9"/>
        <v>-3.0071251710926674</v>
      </c>
      <c r="R60" s="3">
        <f t="shared" si="10"/>
        <v>57.383333333338669</v>
      </c>
      <c r="S60" t="str">
        <f t="shared" si="11"/>
        <v>P90 empirical percentile</v>
      </c>
    </row>
    <row r="61" spans="1:19" x14ac:dyDescent="0.25">
      <c r="A61" t="s">
        <v>23</v>
      </c>
      <c r="B61" t="s">
        <v>24</v>
      </c>
      <c r="C61" t="s">
        <v>118</v>
      </c>
      <c r="D61" t="s">
        <v>119</v>
      </c>
      <c r="E61" t="s">
        <v>134</v>
      </c>
      <c r="F61" t="s">
        <v>135</v>
      </c>
      <c r="G61">
        <f>COUNTIFS('Raw Data'!$A$2:$A$7383,A61,'Raw Data'!$B$2:$B$7383,B61)</f>
        <v>22</v>
      </c>
      <c r="H61" t="str">
        <f t="shared" si="6"/>
        <v>High</v>
      </c>
      <c r="I61" s="3">
        <f>IFERROR(AVERAGEIFS('Raw Data'!$E$2:$E$7383,'Raw Data'!$A$2:$A$7383,A61,'Raw Data'!$B$2:$B$7383,B61),0)</f>
        <v>62.255111531988156</v>
      </c>
      <c r="J61" s="3">
        <f t="array" ref="J61">IFERROR(MEDIAN(IF(('Raw Data'!$A$2:$A$7383=A61)*('Raw Data'!$B$2:$B$7383=B61),'Raw Data'!$E$2:$E$7383)),0)</f>
        <v>57.245138888891233</v>
      </c>
      <c r="K61" s="3">
        <f t="array" ref="K61">IFERROR(STDEV(IF(('Raw Data'!$A$2:$A$7383=A61)*('Raw Data'!$B$2:$B$7383=B61),'Raw Data'!$E$2:$E$7383)),0)</f>
        <v>14.464443490138171</v>
      </c>
      <c r="L61" s="2">
        <f t="shared" si="7"/>
        <v>0.23234145974834527</v>
      </c>
      <c r="M61" s="3">
        <f t="array" ref="M61">IFERROR(PERCENTILE(IF(('Raw Data'!$A$2:$A$7383=A61)*('Raw Data'!$B$2:$B$7383=B61),'Raw Data'!$E$2:$E$7383),0.75),0)</f>
        <v>75.78958333333685</v>
      </c>
      <c r="N61" s="3">
        <f t="array" ref="N61">IFERROR(PERCENTILE(IF(('Raw Data'!$A$2:$A$7383=A61)*('Raw Data'!$B$2:$B$7383=B61),'Raw Data'!$E$2:$E$7383),0.9),0)</f>
        <v>84.51249999999564</v>
      </c>
      <c r="O61" s="3">
        <f t="array" ref="O61">IFERROR(PERCENTILE(IF(('Raw Data'!$A$2:$A$7383=A61)*('Raw Data'!$B$2:$B$7383=B61),'Raw Data'!$E$2:$E$7383),0.95),0)</f>
        <v>84.895833333328483</v>
      </c>
      <c r="P61" s="3">
        <f t="shared" si="8"/>
        <v>80.792742308949244</v>
      </c>
      <c r="Q61" s="3">
        <f t="shared" si="9"/>
        <v>3.7197576910463965</v>
      </c>
      <c r="R61" s="3">
        <f t="shared" si="10"/>
        <v>84.51249999999564</v>
      </c>
      <c r="S61" t="str">
        <f t="shared" si="11"/>
        <v>P90 empirical percentile</v>
      </c>
    </row>
    <row r="62" spans="1:19" x14ac:dyDescent="0.25">
      <c r="A62" t="s">
        <v>22</v>
      </c>
      <c r="B62" t="s">
        <v>36</v>
      </c>
      <c r="C62" t="s">
        <v>88</v>
      </c>
      <c r="D62" t="s">
        <v>89</v>
      </c>
      <c r="E62" t="s">
        <v>136</v>
      </c>
      <c r="F62" t="s">
        <v>137</v>
      </c>
      <c r="G62">
        <f>COUNTIFS('Raw Data'!$A$2:$A$7383,A62,'Raw Data'!$B$2:$B$7383,B62)</f>
        <v>21</v>
      </c>
      <c r="H62" t="str">
        <f t="shared" si="6"/>
        <v>High</v>
      </c>
      <c r="I62" s="3">
        <f>IFERROR(AVERAGEIFS('Raw Data'!$E$2:$E$7383,'Raw Data'!$A$2:$A$7383,A62,'Raw Data'!$B$2:$B$7383,B62),0)</f>
        <v>55.780489417985898</v>
      </c>
      <c r="J62" s="3">
        <f t="array" ref="J62">IFERROR(MEDIAN(IF(('Raw Data'!$A$2:$A$7383=A62)*('Raw Data'!$B$2:$B$7383=B62),'Raw Data'!$E$2:$E$7383)),0)</f>
        <v>55.932638888880319</v>
      </c>
      <c r="K62" s="3">
        <f t="array" ref="K62">IFERROR(STDEV(IF(('Raw Data'!$A$2:$A$7383=A62)*('Raw Data'!$B$2:$B$7383=B62),'Raw Data'!$E$2:$E$7383)),0)</f>
        <v>5.7495941572778726</v>
      </c>
      <c r="L62" s="2">
        <f t="shared" si="7"/>
        <v>0.10307536232236732</v>
      </c>
      <c r="M62" s="3">
        <f t="array" ref="M62">IFERROR(PERCENTILE(IF(('Raw Data'!$A$2:$A$7383=A62)*('Raw Data'!$B$2:$B$7383=B62),'Raw Data'!$E$2:$E$7383),0.75),0)</f>
        <v>62.338194444440887</v>
      </c>
      <c r="N62" s="3">
        <f t="array" ref="N62">IFERROR(PERCENTILE(IF(('Raw Data'!$A$2:$A$7383=A62)*('Raw Data'!$B$2:$B$7383=B62),'Raw Data'!$E$2:$E$7383),0.9),0)</f>
        <v>62.338194444440887</v>
      </c>
      <c r="O62" s="3">
        <f t="array" ref="O62">IFERROR(PERCENTILE(IF(('Raw Data'!$A$2:$A$7383=A62)*('Raw Data'!$B$2:$B$7383=B62),'Raw Data'!$E$2:$E$7383),0.95),0)</f>
        <v>62.338194444440887</v>
      </c>
      <c r="P62" s="3">
        <f t="shared" si="8"/>
        <v>63.149169289953221</v>
      </c>
      <c r="Q62" s="3">
        <f t="shared" si="9"/>
        <v>-0.81097484551233379</v>
      </c>
      <c r="R62" s="3">
        <f t="shared" si="10"/>
        <v>62.338194444440887</v>
      </c>
      <c r="S62" t="str">
        <f t="shared" si="11"/>
        <v>P90 empirical percentile</v>
      </c>
    </row>
    <row r="63" spans="1:19" x14ac:dyDescent="0.25">
      <c r="A63" t="s">
        <v>14</v>
      </c>
      <c r="B63" t="s">
        <v>34</v>
      </c>
      <c r="C63" t="s">
        <v>101</v>
      </c>
      <c r="D63" t="s">
        <v>96</v>
      </c>
      <c r="E63" t="s">
        <v>104</v>
      </c>
      <c r="F63" t="s">
        <v>105</v>
      </c>
      <c r="G63">
        <f>COUNTIFS('Raw Data'!$A$2:$A$7383,A63,'Raw Data'!$B$2:$B$7383,B63)</f>
        <v>21</v>
      </c>
      <c r="H63" t="str">
        <f t="shared" si="6"/>
        <v>High</v>
      </c>
      <c r="I63" s="3">
        <f>IFERROR(AVERAGEIFS('Raw Data'!$E$2:$E$7383,'Raw Data'!$A$2:$A$7383,A63,'Raw Data'!$B$2:$B$7383,B63),0)</f>
        <v>26.68216765872889</v>
      </c>
      <c r="J63" s="3">
        <f t="array" ref="J63">IFERROR(MEDIAN(IF(('Raw Data'!$A$2:$A$7383=A63)*('Raw Data'!$B$2:$B$7383=B63),'Raw Data'!$E$2:$E$7383)),0)</f>
        <v>27.963194444455439</v>
      </c>
      <c r="K63" s="3">
        <f t="array" ref="K63">IFERROR(STDEV(IF(('Raw Data'!$A$2:$A$7383=A63)*('Raw Data'!$B$2:$B$7383=B63),'Raw Data'!$E$2:$E$7383)),0)</f>
        <v>5.838650176550229</v>
      </c>
      <c r="L63" s="2">
        <f t="shared" si="7"/>
        <v>0.21882218308601903</v>
      </c>
      <c r="M63" s="3">
        <f t="array" ref="M63">IFERROR(PERCENTILE(IF(('Raw Data'!$A$2:$A$7383=A63)*('Raw Data'!$B$2:$B$7383=B63),'Raw Data'!$E$2:$E$7383),0.75),0)</f>
        <v>28.422106481484661</v>
      </c>
      <c r="N63" s="3">
        <f t="array" ref="N63">IFERROR(PERCENTILE(IF(('Raw Data'!$A$2:$A$7383=A63)*('Raw Data'!$B$2:$B$7383=B63),'Raw Data'!$E$2:$E$7383),0.9),0)</f>
        <v>28.744652777764713</v>
      </c>
      <c r="O63" s="3">
        <f t="array" ref="O63">IFERROR(PERCENTILE(IF(('Raw Data'!$A$2:$A$7383=A63)*('Raw Data'!$B$2:$B$7383=B63),'Raw Data'!$E$2:$E$7383),0.95),0)</f>
        <v>29.340127314819256</v>
      </c>
      <c r="P63" s="3">
        <f t="shared" si="8"/>
        <v>34.164981724995663</v>
      </c>
      <c r="Q63" s="3">
        <f t="shared" si="9"/>
        <v>-5.4203289472309493</v>
      </c>
      <c r="R63" s="3">
        <f t="shared" si="10"/>
        <v>28.744652777764713</v>
      </c>
      <c r="S63" t="str">
        <f t="shared" si="11"/>
        <v>P90 empirical percentile</v>
      </c>
    </row>
    <row r="64" spans="1:19" x14ac:dyDescent="0.25">
      <c r="A64" t="s">
        <v>28</v>
      </c>
      <c r="B64" t="s">
        <v>8</v>
      </c>
      <c r="C64" t="s">
        <v>128</v>
      </c>
      <c r="D64" t="s">
        <v>89</v>
      </c>
      <c r="E64" t="s">
        <v>86</v>
      </c>
      <c r="F64" t="s">
        <v>87</v>
      </c>
      <c r="G64">
        <f>COUNTIFS('Raw Data'!$A$2:$A$7383,A64,'Raw Data'!$B$2:$B$7383,B64)</f>
        <v>21</v>
      </c>
      <c r="H64" t="str">
        <f t="shared" si="6"/>
        <v>High</v>
      </c>
      <c r="I64" s="3">
        <f>IFERROR(AVERAGEIFS('Raw Data'!$E$2:$E$7383,'Raw Data'!$A$2:$A$7383,A64,'Raw Data'!$B$2:$B$7383,B64),0)</f>
        <v>66.823346560846574</v>
      </c>
      <c r="J64" s="3">
        <f t="array" ref="J64">IFERROR(MEDIAN(IF(('Raw Data'!$A$2:$A$7383=A64)*('Raw Data'!$B$2:$B$7383=B64),'Raw Data'!$E$2:$E$7383)),0)</f>
        <v>65.352083333345945</v>
      </c>
      <c r="K64" s="3">
        <f t="array" ref="K64">IFERROR(STDEV(IF(('Raw Data'!$A$2:$A$7383=A64)*('Raw Data'!$B$2:$B$7383=B64),'Raw Data'!$E$2:$E$7383)),0)</f>
        <v>11.4280157910603</v>
      </c>
      <c r="L64" s="2">
        <f t="shared" si="7"/>
        <v>0.17101830990542238</v>
      </c>
      <c r="M64" s="3">
        <f t="array" ref="M64">IFERROR(PERCENTILE(IF(('Raw Data'!$A$2:$A$7383=A64)*('Raw Data'!$B$2:$B$7383=B64),'Raw Data'!$E$2:$E$7383),0.75),0)</f>
        <v>72.42291666665551</v>
      </c>
      <c r="N64" s="3">
        <f t="array" ref="N64">IFERROR(PERCENTILE(IF(('Raw Data'!$A$2:$A$7383=A64)*('Raw Data'!$B$2:$B$7383=B64),'Raw Data'!$E$2:$E$7383),0.9),0)</f>
        <v>79.625</v>
      </c>
      <c r="O64" s="3">
        <f t="array" ref="O64">IFERROR(PERCENTILE(IF(('Raw Data'!$A$2:$A$7383=A64)*('Raw Data'!$B$2:$B$7383=B64),'Raw Data'!$E$2:$E$7383),0.95),0)</f>
        <v>80.791666666656965</v>
      </c>
      <c r="P64" s="3">
        <f t="shared" si="8"/>
        <v>81.46949159866945</v>
      </c>
      <c r="Q64" s="3">
        <f t="shared" si="9"/>
        <v>-1.8444915986694497</v>
      </c>
      <c r="R64" s="3">
        <f t="shared" si="10"/>
        <v>79.625</v>
      </c>
      <c r="S64" t="str">
        <f t="shared" si="11"/>
        <v>P90 empirical percentile</v>
      </c>
    </row>
    <row r="65" spans="1:19" x14ac:dyDescent="0.25">
      <c r="A65" t="s">
        <v>23</v>
      </c>
      <c r="B65" t="s">
        <v>19</v>
      </c>
      <c r="C65" t="s">
        <v>118</v>
      </c>
      <c r="D65" t="s">
        <v>119</v>
      </c>
      <c r="E65" t="s">
        <v>90</v>
      </c>
      <c r="F65" t="s">
        <v>91</v>
      </c>
      <c r="G65">
        <f>COUNTIFS('Raw Data'!$A$2:$A$7383,A65,'Raw Data'!$B$2:$B$7383,B65)</f>
        <v>21</v>
      </c>
      <c r="H65" t="str">
        <f t="shared" si="6"/>
        <v>High</v>
      </c>
      <c r="I65" s="3">
        <f>IFERROR(AVERAGEIFS('Raw Data'!$E$2:$E$7383,'Raw Data'!$A$2:$A$7383,A65,'Raw Data'!$B$2:$B$7383,B65),0)</f>
        <v>40.910139440034634</v>
      </c>
      <c r="J65" s="3">
        <f t="array" ref="J65">IFERROR(MEDIAN(IF(('Raw Data'!$A$2:$A$7383=A65)*('Raw Data'!$B$2:$B$7383=B65),'Raw Data'!$E$2:$E$7383)),0)</f>
        <v>39.820833333338669</v>
      </c>
      <c r="K65" s="3">
        <f t="array" ref="K65">IFERROR(STDEV(IF(('Raw Data'!$A$2:$A$7383=A65)*('Raw Data'!$B$2:$B$7383=B65),'Raw Data'!$E$2:$E$7383)),0)</f>
        <v>6.5744067478441721</v>
      </c>
      <c r="L65" s="2">
        <f t="shared" si="7"/>
        <v>0.16070360154799332</v>
      </c>
      <c r="M65" s="3">
        <f t="array" ref="M65">IFERROR(PERCENTILE(IF(('Raw Data'!$A$2:$A$7383=A65)*('Raw Data'!$B$2:$B$7383=B65),'Raw Data'!$E$2:$E$7383),0.75),0)</f>
        <v>45.124305555546016</v>
      </c>
      <c r="N65" s="3">
        <f t="array" ref="N65">IFERROR(PERCENTILE(IF(('Raw Data'!$A$2:$A$7383=A65)*('Raw Data'!$B$2:$B$7383=B65),'Raw Data'!$E$2:$E$7383),0.9),0)</f>
        <v>46.234895833331393</v>
      </c>
      <c r="O65" s="3">
        <f t="array" ref="O65">IFERROR(PERCENTILE(IF(('Raw Data'!$A$2:$A$7383=A65)*('Raw Data'!$B$2:$B$7383=B65),'Raw Data'!$E$2:$E$7383),0.95),0)</f>
        <v>48.472916666658421</v>
      </c>
      <c r="P65" s="3">
        <f t="shared" si="8"/>
        <v>49.335899128071723</v>
      </c>
      <c r="Q65" s="3">
        <f t="shared" si="9"/>
        <v>-3.1010032947403303</v>
      </c>
      <c r="R65" s="3">
        <f t="shared" si="10"/>
        <v>46.234895833331393</v>
      </c>
      <c r="S65" t="str">
        <f t="shared" si="11"/>
        <v>P90 empirical percentile</v>
      </c>
    </row>
    <row r="66" spans="1:19" x14ac:dyDescent="0.25">
      <c r="A66" t="s">
        <v>8</v>
      </c>
      <c r="B66" t="s">
        <v>27</v>
      </c>
      <c r="C66" t="s">
        <v>86</v>
      </c>
      <c r="D66" t="s">
        <v>87</v>
      </c>
      <c r="E66" t="s">
        <v>121</v>
      </c>
      <c r="F66" t="s">
        <v>89</v>
      </c>
      <c r="G66">
        <f>COUNTIFS('Raw Data'!$A$2:$A$7383,A66,'Raw Data'!$B$2:$B$7383,B66)</f>
        <v>20</v>
      </c>
      <c r="H66" t="str">
        <f t="shared" ref="H66:H97" si="12">IF(G66&gt;=15,"High",IF(G66&gt;=5,"Medium","Low"))</f>
        <v>High</v>
      </c>
      <c r="I66" s="3">
        <f>IFERROR(AVERAGEIFS('Raw Data'!$E$2:$E$7383,'Raw Data'!$A$2:$A$7383,A66,'Raw Data'!$B$2:$B$7383,B66),0)</f>
        <v>50.501805555558164</v>
      </c>
      <c r="J66" s="3">
        <f t="array" ref="J66">IFERROR(MEDIAN(IF(('Raw Data'!$A$2:$A$7383=A66)*('Raw Data'!$B$2:$B$7383=B66),'Raw Data'!$E$2:$E$7383)),0)</f>
        <v>51.304861111108039</v>
      </c>
      <c r="K66" s="3">
        <f t="array" ref="K66">IFERROR(STDEV(IF(('Raw Data'!$A$2:$A$7383=A66)*('Raw Data'!$B$2:$B$7383=B66),'Raw Data'!$E$2:$E$7383)),0)</f>
        <v>8.0754013056914093</v>
      </c>
      <c r="L66" s="2">
        <f t="shared" ref="L66:L97" si="13">IF(I66=0,0,K66/I66)</f>
        <v>0.15990321963454315</v>
      </c>
      <c r="M66" s="3">
        <f t="array" ref="M66">IFERROR(PERCENTILE(IF(('Raw Data'!$A$2:$A$7383=A66)*('Raw Data'!$B$2:$B$7383=B66),'Raw Data'!$E$2:$E$7383),0.75),0)</f>
        <v>55.174305555563478</v>
      </c>
      <c r="N66" s="3">
        <f t="array" ref="N66">IFERROR(PERCENTILE(IF(('Raw Data'!$A$2:$A$7383=A66)*('Raw Data'!$B$2:$B$7383=B66),'Raw Data'!$E$2:$E$7383),0.9),0)</f>
        <v>58.95000000000438</v>
      </c>
      <c r="O66" s="3">
        <f t="array" ref="O66">IFERROR(PERCENTILE(IF(('Raw Data'!$A$2:$A$7383=A66)*('Raw Data'!$B$2:$B$7383=B66),'Raw Data'!$E$2:$E$7383),0.95),0)</f>
        <v>66.943749999998545</v>
      </c>
      <c r="P66" s="3">
        <f t="shared" ref="P66:P97" si="14">I66+1.2816*K66</f>
        <v>60.851239868932275</v>
      </c>
      <c r="Q66" s="3">
        <f t="shared" ref="Q66:Q97" si="15">N66-P66</f>
        <v>-1.9012398689278953</v>
      </c>
      <c r="R66" s="3">
        <f t="shared" ref="R66:R97" si="16">IF(G66&lt;5,J66+K66,N66)</f>
        <v>58.95000000000438</v>
      </c>
      <c r="S66" t="str">
        <f t="shared" ref="S66:S97" si="17">IF(G66&lt;5,"Median + 1 Std Dev (fallback, n&lt;5)","P90 empirical percentile")</f>
        <v>P90 empirical percentile</v>
      </c>
    </row>
    <row r="67" spans="1:19" x14ac:dyDescent="0.25">
      <c r="A67" t="s">
        <v>41</v>
      </c>
      <c r="B67" t="s">
        <v>43</v>
      </c>
      <c r="C67" t="s">
        <v>113</v>
      </c>
      <c r="D67" t="s">
        <v>85</v>
      </c>
      <c r="E67" t="s">
        <v>138</v>
      </c>
      <c r="F67" t="s">
        <v>139</v>
      </c>
      <c r="G67">
        <f>COUNTIFS('Raw Data'!$A$2:$A$7383,A67,'Raw Data'!$B$2:$B$7383,B67)</f>
        <v>19</v>
      </c>
      <c r="H67" t="str">
        <f t="shared" si="12"/>
        <v>High</v>
      </c>
      <c r="I67" s="3">
        <f>IFERROR(AVERAGEIFS('Raw Data'!$E$2:$E$7383,'Raw Data'!$A$2:$A$7383,A67,'Raw Data'!$B$2:$B$7383,B67),0)</f>
        <v>45.482309941520633</v>
      </c>
      <c r="J67" s="3">
        <f t="array" ref="J67">IFERROR(MEDIAN(IF(('Raw Data'!$A$2:$A$7383=A67)*('Raw Data'!$B$2:$B$7383=B67),'Raw Data'!$E$2:$E$7383)),0)</f>
        <v>44.308333333341579</v>
      </c>
      <c r="K67" s="3">
        <f t="array" ref="K67">IFERROR(STDEV(IF(('Raw Data'!$A$2:$A$7383=A67)*('Raw Data'!$B$2:$B$7383=B67),'Raw Data'!$E$2:$E$7383)),0)</f>
        <v>5.8729968893506523</v>
      </c>
      <c r="L67" s="2">
        <f t="shared" si="13"/>
        <v>0.12912705834206575</v>
      </c>
      <c r="M67" s="3">
        <f t="array" ref="M67">IFERROR(PERCENTILE(IF(('Raw Data'!$A$2:$A$7383=A67)*('Raw Data'!$B$2:$B$7383=B67),'Raw Data'!$E$2:$E$7383),0.75),0)</f>
        <v>48.496527777777374</v>
      </c>
      <c r="N67" s="3">
        <f t="array" ref="N67">IFERROR(PERCENTILE(IF(('Raw Data'!$A$2:$A$7383=A67)*('Raw Data'!$B$2:$B$7383=B67),'Raw Data'!$E$2:$E$7383),0.9),0)</f>
        <v>52.930833333329062</v>
      </c>
      <c r="O67" s="3">
        <f t="array" ref="O67">IFERROR(PERCENTILE(IF(('Raw Data'!$A$2:$A$7383=A67)*('Raw Data'!$B$2:$B$7383=B67),'Raw Data'!$E$2:$E$7383),0.95),0)</f>
        <v>55.314375000004645</v>
      </c>
      <c r="P67" s="3">
        <f t="shared" si="14"/>
        <v>53.009142754912432</v>
      </c>
      <c r="Q67" s="3">
        <f t="shared" si="15"/>
        <v>-7.8309421583369954E-2</v>
      </c>
      <c r="R67" s="3">
        <f t="shared" si="16"/>
        <v>52.930833333329062</v>
      </c>
      <c r="S67" t="str">
        <f t="shared" si="17"/>
        <v>P90 empirical percentile</v>
      </c>
    </row>
    <row r="68" spans="1:19" x14ac:dyDescent="0.25">
      <c r="A68" t="s">
        <v>16</v>
      </c>
      <c r="B68" t="s">
        <v>20</v>
      </c>
      <c r="C68" t="s">
        <v>123</v>
      </c>
      <c r="D68" t="s">
        <v>85</v>
      </c>
      <c r="E68" t="s">
        <v>120</v>
      </c>
      <c r="F68" t="s">
        <v>98</v>
      </c>
      <c r="G68">
        <f>COUNTIFS('Raw Data'!$A$2:$A$7383,A68,'Raw Data'!$B$2:$B$7383,B68)</f>
        <v>18</v>
      </c>
      <c r="H68" t="str">
        <f t="shared" si="12"/>
        <v>High</v>
      </c>
      <c r="I68" s="3">
        <f>IFERROR(AVERAGEIFS('Raw Data'!$E$2:$E$7383,'Raw Data'!$A$2:$A$7383,A68,'Raw Data'!$B$2:$B$7383,B68),0)</f>
        <v>56.111496913582315</v>
      </c>
      <c r="J68" s="3">
        <f t="array" ref="J68">IFERROR(MEDIAN(IF(('Raw Data'!$A$2:$A$7383=A68)*('Raw Data'!$B$2:$B$7383=B68),'Raw Data'!$E$2:$E$7383)),0)</f>
        <v>53.396527777778829</v>
      </c>
      <c r="K68" s="3">
        <f t="array" ref="K68">IFERROR(STDEV(IF(('Raw Data'!$A$2:$A$7383=A68)*('Raw Data'!$B$2:$B$7383=B68),'Raw Data'!$E$2:$E$7383)),0)</f>
        <v>10.674092507731133</v>
      </c>
      <c r="L68" s="2">
        <f t="shared" si="13"/>
        <v>0.19023004366057769</v>
      </c>
      <c r="M68" s="3">
        <f t="array" ref="M68">IFERROR(PERCENTILE(IF(('Raw Data'!$A$2:$A$7383=A68)*('Raw Data'!$B$2:$B$7383=B68),'Raw Data'!$E$2:$E$7383),0.75),0)</f>
        <v>59.361458333332848</v>
      </c>
      <c r="N68" s="3">
        <f t="array" ref="N68">IFERROR(PERCENTILE(IF(('Raw Data'!$A$2:$A$7383=A68)*('Raw Data'!$B$2:$B$7383=B68),'Raw Data'!$E$2:$E$7383),0.9),0)</f>
        <v>73.86250000000291</v>
      </c>
      <c r="O68" s="3">
        <f t="array" ref="O68">IFERROR(PERCENTILE(IF(('Raw Data'!$A$2:$A$7383=A68)*('Raw Data'!$B$2:$B$7383=B68),'Raw Data'!$E$2:$E$7383),0.95),0)</f>
        <v>74.468750000002544</v>
      </c>
      <c r="P68" s="3">
        <f t="shared" si="14"/>
        <v>69.791413871490533</v>
      </c>
      <c r="Q68" s="3">
        <f t="shared" si="15"/>
        <v>4.0710861285123769</v>
      </c>
      <c r="R68" s="3">
        <f t="shared" si="16"/>
        <v>73.86250000000291</v>
      </c>
      <c r="S68" t="str">
        <f t="shared" si="17"/>
        <v>P90 empirical percentile</v>
      </c>
    </row>
    <row r="69" spans="1:19" x14ac:dyDescent="0.25">
      <c r="A69" t="s">
        <v>22</v>
      </c>
      <c r="B69" t="s">
        <v>52</v>
      </c>
      <c r="C69" t="s">
        <v>88</v>
      </c>
      <c r="D69" t="s">
        <v>89</v>
      </c>
      <c r="E69" t="s">
        <v>140</v>
      </c>
      <c r="F69" t="s">
        <v>96</v>
      </c>
      <c r="G69">
        <f>COUNTIFS('Raw Data'!$A$2:$A$7383,A69,'Raw Data'!$B$2:$B$7383,B69)</f>
        <v>18</v>
      </c>
      <c r="H69" t="str">
        <f t="shared" si="12"/>
        <v>High</v>
      </c>
      <c r="I69" s="3">
        <f>IFERROR(AVERAGEIFS('Raw Data'!$E$2:$E$7383,'Raw Data'!$A$2:$A$7383,A69,'Raw Data'!$B$2:$B$7383,B69),0)</f>
        <v>49.885879629633564</v>
      </c>
      <c r="J69" s="3">
        <f t="array" ref="J69">IFERROR(MEDIAN(IF(('Raw Data'!$A$2:$A$7383=A69)*('Raw Data'!$B$2:$B$7383=B69),'Raw Data'!$E$2:$E$7383)),0)</f>
        <v>49.358333333329938</v>
      </c>
      <c r="K69" s="3">
        <f t="array" ref="K69">IFERROR(STDEV(IF(('Raw Data'!$A$2:$A$7383=A69)*('Raw Data'!$B$2:$B$7383=B69),'Raw Data'!$E$2:$E$7383)),0)</f>
        <v>1.4805535054091663</v>
      </c>
      <c r="L69" s="2">
        <f t="shared" si="13"/>
        <v>2.9678809242238507E-2</v>
      </c>
      <c r="M69" s="3">
        <f t="array" ref="M69">IFERROR(PERCENTILE(IF(('Raw Data'!$A$2:$A$7383=A69)*('Raw Data'!$B$2:$B$7383=B69),'Raw Data'!$E$2:$E$7383),0.75),0)</f>
        <v>51.455208333338305</v>
      </c>
      <c r="N69" s="3">
        <f t="array" ref="N69">IFERROR(PERCENTILE(IF(('Raw Data'!$A$2:$A$7383=A69)*('Raw Data'!$B$2:$B$7383=B69),'Raw Data'!$E$2:$E$7383),0.9),0)</f>
        <v>52.145833333343035</v>
      </c>
      <c r="O69" s="3">
        <f t="array" ref="O69">IFERROR(PERCENTILE(IF(('Raw Data'!$A$2:$A$7383=A69)*('Raw Data'!$B$2:$B$7383=B69),'Raw Data'!$E$2:$E$7383),0.95),0)</f>
        <v>52.145833333343035</v>
      </c>
      <c r="P69" s="3">
        <f t="shared" si="14"/>
        <v>51.78335700216595</v>
      </c>
      <c r="Q69" s="3">
        <f t="shared" si="15"/>
        <v>0.36247633117708489</v>
      </c>
      <c r="R69" s="3">
        <f t="shared" si="16"/>
        <v>52.145833333343035</v>
      </c>
      <c r="S69" t="str">
        <f t="shared" si="17"/>
        <v>P90 empirical percentile</v>
      </c>
    </row>
    <row r="70" spans="1:19" x14ac:dyDescent="0.25">
      <c r="A70" t="s">
        <v>5</v>
      </c>
      <c r="B70" t="s">
        <v>55</v>
      </c>
      <c r="C70" t="s">
        <v>84</v>
      </c>
      <c r="D70" t="s">
        <v>85</v>
      </c>
      <c r="E70" t="s">
        <v>141</v>
      </c>
      <c r="F70" t="s">
        <v>139</v>
      </c>
      <c r="G70">
        <f>COUNTIFS('Raw Data'!$A$2:$A$7383,A70,'Raw Data'!$B$2:$B$7383,B70)</f>
        <v>18</v>
      </c>
      <c r="H70" t="str">
        <f t="shared" si="12"/>
        <v>High</v>
      </c>
      <c r="I70" s="3">
        <f>IFERROR(AVERAGEIFS('Raw Data'!$E$2:$E$7383,'Raw Data'!$A$2:$A$7383,A70,'Raw Data'!$B$2:$B$7383,B70),0)</f>
        <v>38.333507587447656</v>
      </c>
      <c r="J70" s="3">
        <f t="array" ref="J70">IFERROR(MEDIAN(IF(('Raw Data'!$A$2:$A$7383=A70)*('Raw Data'!$B$2:$B$7383=B70),'Raw Data'!$E$2:$E$7383)),0)</f>
        <v>31.748825231476076</v>
      </c>
      <c r="K70" s="3">
        <f t="array" ref="K70">IFERROR(STDEV(IF(('Raw Data'!$A$2:$A$7383=A70)*('Raw Data'!$B$2:$B$7383=B70),'Raw Data'!$E$2:$E$7383)),0)</f>
        <v>14.847863657429867</v>
      </c>
      <c r="L70" s="2">
        <f t="shared" si="13"/>
        <v>0.38733381294572206</v>
      </c>
      <c r="M70" s="3">
        <f t="array" ref="M70">IFERROR(PERCENTILE(IF(('Raw Data'!$A$2:$A$7383=A70)*('Raw Data'!$B$2:$B$7383=B70),'Raw Data'!$E$2:$E$7383),0.75),0)</f>
        <v>40.638368055542742</v>
      </c>
      <c r="N70" s="3">
        <f t="array" ref="N70">IFERROR(PERCENTILE(IF(('Raw Data'!$A$2:$A$7383=A70)*('Raw Data'!$B$2:$B$7383=B70),'Raw Data'!$E$2:$E$7383),0.9),0)</f>
        <v>63.252430555558391</v>
      </c>
      <c r="O70" s="3">
        <f t="array" ref="O70">IFERROR(PERCENTILE(IF(('Raw Data'!$A$2:$A$7383=A70)*('Raw Data'!$B$2:$B$7383=B70),'Raw Data'!$E$2:$E$7383),0.95),0)</f>
        <v>72.627083333340124</v>
      </c>
      <c r="P70" s="3">
        <f t="shared" si="14"/>
        <v>57.362529650809776</v>
      </c>
      <c r="Q70" s="3">
        <f t="shared" si="15"/>
        <v>5.8899009047486146</v>
      </c>
      <c r="R70" s="3">
        <f t="shared" si="16"/>
        <v>63.252430555558391</v>
      </c>
      <c r="S70" t="str">
        <f t="shared" si="17"/>
        <v>P90 empirical percentile</v>
      </c>
    </row>
    <row r="71" spans="1:19" x14ac:dyDescent="0.25">
      <c r="A71" t="s">
        <v>13</v>
      </c>
      <c r="B71" t="s">
        <v>11</v>
      </c>
      <c r="C71" t="s">
        <v>95</v>
      </c>
      <c r="D71" t="s">
        <v>96</v>
      </c>
      <c r="E71" t="s">
        <v>106</v>
      </c>
      <c r="F71" t="s">
        <v>107</v>
      </c>
      <c r="G71">
        <f>COUNTIFS('Raw Data'!$A$2:$A$7383,A71,'Raw Data'!$B$2:$B$7383,B71)</f>
        <v>17</v>
      </c>
      <c r="H71" t="str">
        <f t="shared" si="12"/>
        <v>High</v>
      </c>
      <c r="I71" s="3">
        <f>IFERROR(AVERAGEIFS('Raw Data'!$E$2:$E$7383,'Raw Data'!$A$2:$A$7383,A71,'Raw Data'!$B$2:$B$7383,B71),0)</f>
        <v>42.213316993466456</v>
      </c>
      <c r="J71" s="3">
        <f t="array" ref="J71">IFERROR(MEDIAN(IF(('Raw Data'!$A$2:$A$7383=A71)*('Raw Data'!$B$2:$B$7383=B71),'Raw Data'!$E$2:$E$7383)),0)</f>
        <v>39.666666666656965</v>
      </c>
      <c r="K71" s="3">
        <f t="array" ref="K71">IFERROR(STDEV(IF(('Raw Data'!$A$2:$A$7383=A71)*('Raw Data'!$B$2:$B$7383=B71),'Raw Data'!$E$2:$E$7383)),0)</f>
        <v>7.7009211666487181</v>
      </c>
      <c r="L71" s="2">
        <f t="shared" si="13"/>
        <v>0.18242871480202857</v>
      </c>
      <c r="M71" s="3">
        <f t="array" ref="M71">IFERROR(PERCENTILE(IF(('Raw Data'!$A$2:$A$7383=A71)*('Raw Data'!$B$2:$B$7383=B71),'Raw Data'!$E$2:$E$7383),0.75),0)</f>
        <v>44.291666666671517</v>
      </c>
      <c r="N71" s="3">
        <f t="array" ref="N71">IFERROR(PERCENTILE(IF(('Raw Data'!$A$2:$A$7383=A71)*('Raw Data'!$B$2:$B$7383=B71),'Raw Data'!$E$2:$E$7383),0.9),0)</f>
        <v>53.198333333335178</v>
      </c>
      <c r="O71" s="3">
        <f t="array" ref="O71">IFERROR(PERCENTILE(IF(('Raw Data'!$A$2:$A$7383=A71)*('Raw Data'!$B$2:$B$7383=B71),'Raw Data'!$E$2:$E$7383),0.95),0)</f>
        <v>55.433333333343029</v>
      </c>
      <c r="P71" s="3">
        <f t="shared" si="14"/>
        <v>52.082817560643456</v>
      </c>
      <c r="Q71" s="3">
        <f t="shared" si="15"/>
        <v>1.1155157726917224</v>
      </c>
      <c r="R71" s="3">
        <f t="shared" si="16"/>
        <v>53.198333333335178</v>
      </c>
      <c r="S71" t="str">
        <f t="shared" si="17"/>
        <v>P90 empirical percentile</v>
      </c>
    </row>
    <row r="72" spans="1:19" x14ac:dyDescent="0.25">
      <c r="A72" t="s">
        <v>7</v>
      </c>
      <c r="B72" t="s">
        <v>25</v>
      </c>
      <c r="C72" t="s">
        <v>92</v>
      </c>
      <c r="D72" t="s">
        <v>85</v>
      </c>
      <c r="E72" t="s">
        <v>142</v>
      </c>
      <c r="F72" t="s">
        <v>107</v>
      </c>
      <c r="G72">
        <f>COUNTIFS('Raw Data'!$A$2:$A$7383,A72,'Raw Data'!$B$2:$B$7383,B72)</f>
        <v>17</v>
      </c>
      <c r="H72" t="str">
        <f t="shared" si="12"/>
        <v>High</v>
      </c>
      <c r="I72" s="3">
        <f>IFERROR(AVERAGEIFS('Raw Data'!$E$2:$E$7383,'Raw Data'!$A$2:$A$7383,A72,'Raw Data'!$B$2:$B$7383,B72),0)</f>
        <v>66.919077478213111</v>
      </c>
      <c r="J72" s="3">
        <f t="array" ref="J72">IFERROR(MEDIAN(IF(('Raw Data'!$A$2:$A$7383=A72)*('Raw Data'!$B$2:$B$7383=B72),'Raw Data'!$E$2:$E$7383)),0)</f>
        <v>64.132638888884685</v>
      </c>
      <c r="K72" s="3">
        <f t="array" ref="K72">IFERROR(STDEV(IF(('Raw Data'!$A$2:$A$7383=A72)*('Raw Data'!$B$2:$B$7383=B72),'Raw Data'!$E$2:$E$7383)),0)</f>
        <v>5.3598605313821048</v>
      </c>
      <c r="L72" s="2">
        <f t="shared" si="13"/>
        <v>8.0094656611593582E-2</v>
      </c>
      <c r="M72" s="3">
        <f t="array" ref="M72">IFERROR(PERCENTILE(IF(('Raw Data'!$A$2:$A$7383=A72)*('Raw Data'!$B$2:$B$7383=B72),'Raw Data'!$E$2:$E$7383),0.75),0)</f>
        <v>64.191666666672972</v>
      </c>
      <c r="N72" s="3">
        <f t="array" ref="N72">IFERROR(PERCENTILE(IF(('Raw Data'!$A$2:$A$7383=A72)*('Raw Data'!$B$2:$B$7383=B72),'Raw Data'!$E$2:$E$7383),0.9),0)</f>
        <v>77.562048611122009</v>
      </c>
      <c r="O72" s="3">
        <f t="array" ref="O72">IFERROR(PERCENTILE(IF(('Raw Data'!$A$2:$A$7383=A72)*('Raw Data'!$B$2:$B$7383=B72),'Raw Data'!$E$2:$E$7383),0.95),0)</f>
        <v>77.563530092603472</v>
      </c>
      <c r="P72" s="3">
        <f t="shared" si="14"/>
        <v>73.78827473523242</v>
      </c>
      <c r="Q72" s="3">
        <f t="shared" si="15"/>
        <v>3.7737738758895887</v>
      </c>
      <c r="R72" s="3">
        <f t="shared" si="16"/>
        <v>77.562048611122009</v>
      </c>
      <c r="S72" t="str">
        <f t="shared" si="17"/>
        <v>P90 empirical percentile</v>
      </c>
    </row>
    <row r="73" spans="1:19" x14ac:dyDescent="0.25">
      <c r="A73" t="s">
        <v>28</v>
      </c>
      <c r="B73" t="s">
        <v>30</v>
      </c>
      <c r="C73" t="s">
        <v>128</v>
      </c>
      <c r="D73" t="s">
        <v>89</v>
      </c>
      <c r="E73" t="s">
        <v>143</v>
      </c>
      <c r="F73" t="s">
        <v>135</v>
      </c>
      <c r="G73">
        <f>COUNTIFS('Raw Data'!$A$2:$A$7383,A73,'Raw Data'!$B$2:$B$7383,B73)</f>
        <v>17</v>
      </c>
      <c r="H73" t="str">
        <f t="shared" si="12"/>
        <v>High</v>
      </c>
      <c r="I73" s="3">
        <f>IFERROR(AVERAGEIFS('Raw Data'!$E$2:$E$7383,'Raw Data'!$A$2:$A$7383,A73,'Raw Data'!$B$2:$B$7383,B73),0)</f>
        <v>51.641258169937991</v>
      </c>
      <c r="J73" s="3">
        <f t="array" ref="J73">IFERROR(MEDIAN(IF(('Raw Data'!$A$2:$A$7383=A73)*('Raw Data'!$B$2:$B$7383=B73),'Raw Data'!$E$2:$E$7383)),0)</f>
        <v>51.803472222229175</v>
      </c>
      <c r="K73" s="3">
        <f t="array" ref="K73">IFERROR(STDEV(IF(('Raw Data'!$A$2:$A$7383=A73)*('Raw Data'!$B$2:$B$7383=B73),'Raw Data'!$E$2:$E$7383)),0)</f>
        <v>4.9446117499286499</v>
      </c>
      <c r="L73" s="2">
        <f t="shared" si="13"/>
        <v>9.5749250214958254E-2</v>
      </c>
      <c r="M73" s="3">
        <f t="array" ref="M73">IFERROR(PERCENTILE(IF(('Raw Data'!$A$2:$A$7383=A73)*('Raw Data'!$B$2:$B$7383=B73),'Raw Data'!$E$2:$E$7383),0.75),0)</f>
        <v>55.476388888906513</v>
      </c>
      <c r="N73" s="3">
        <f t="array" ref="N73">IFERROR(PERCENTILE(IF(('Raw Data'!$A$2:$A$7383=A73)*('Raw Data'!$B$2:$B$7383=B73),'Raw Data'!$E$2:$E$7383),0.9),0)</f>
        <v>58.01097222222743</v>
      </c>
      <c r="O73" s="3">
        <f t="array" ref="O73">IFERROR(PERCENTILE(IF(('Raw Data'!$A$2:$A$7383=A73)*('Raw Data'!$B$2:$B$7383=B73),'Raw Data'!$E$2:$E$7383),0.95),0)</f>
        <v>58.640555555564063</v>
      </c>
      <c r="P73" s="3">
        <f t="shared" si="14"/>
        <v>57.978272588646547</v>
      </c>
      <c r="Q73" s="3">
        <f t="shared" si="15"/>
        <v>3.2699633580882903E-2</v>
      </c>
      <c r="R73" s="3">
        <f t="shared" si="16"/>
        <v>58.01097222222743</v>
      </c>
      <c r="S73" t="str">
        <f t="shared" si="17"/>
        <v>P90 empirical percentile</v>
      </c>
    </row>
    <row r="74" spans="1:19" x14ac:dyDescent="0.25">
      <c r="A74" t="s">
        <v>19</v>
      </c>
      <c r="B74" t="s">
        <v>54</v>
      </c>
      <c r="C74" t="s">
        <v>90</v>
      </c>
      <c r="D74" t="s">
        <v>91</v>
      </c>
      <c r="E74" t="s">
        <v>144</v>
      </c>
      <c r="F74" t="s">
        <v>139</v>
      </c>
      <c r="G74">
        <f>COUNTIFS('Raw Data'!$A$2:$A$7383,A74,'Raw Data'!$B$2:$B$7383,B74)</f>
        <v>16</v>
      </c>
      <c r="H74" t="str">
        <f t="shared" si="12"/>
        <v>High</v>
      </c>
      <c r="I74" s="3">
        <f>IFERROR(AVERAGEIFS('Raw Data'!$E$2:$E$7383,'Raw Data'!$A$2:$A$7383,A74,'Raw Data'!$B$2:$B$7383,B74),0)</f>
        <v>38.547048611108494</v>
      </c>
      <c r="J74" s="3">
        <f t="array" ref="J74">IFERROR(MEDIAN(IF(('Raw Data'!$A$2:$A$7383=A74)*('Raw Data'!$B$2:$B$7383=B74),'Raw Data'!$E$2:$E$7383)),0)</f>
        <v>36.721527777779556</v>
      </c>
      <c r="K74" s="3">
        <f t="array" ref="K74">IFERROR(STDEV(IF(('Raw Data'!$A$2:$A$7383=A74)*('Raw Data'!$B$2:$B$7383=B74),'Raw Data'!$E$2:$E$7383)),0)</f>
        <v>5.6789335924706217</v>
      </c>
      <c r="L74" s="2">
        <f t="shared" si="13"/>
        <v>0.14732473164843199</v>
      </c>
      <c r="M74" s="3">
        <f t="array" ref="M74">IFERROR(PERCENTILE(IF(('Raw Data'!$A$2:$A$7383=A74)*('Raw Data'!$B$2:$B$7383=B74),'Raw Data'!$E$2:$E$7383),0.75),0)</f>
        <v>39.766493055554747</v>
      </c>
      <c r="N74" s="3">
        <f t="array" ref="N74">IFERROR(PERCENTILE(IF(('Raw Data'!$A$2:$A$7383=A74)*('Raw Data'!$B$2:$B$7383=B74),'Raw Data'!$E$2:$E$7383),0.9),0)</f>
        <v>43.482291666663514</v>
      </c>
      <c r="O74" s="3">
        <f t="array" ref="O74">IFERROR(PERCENTILE(IF(('Raw Data'!$A$2:$A$7383=A74)*('Raw Data'!$B$2:$B$7383=B74),'Raw Data'!$E$2:$E$7383),0.95),0)</f>
        <v>47.690277777777737</v>
      </c>
      <c r="P74" s="3">
        <f t="shared" si="14"/>
        <v>45.825169903218843</v>
      </c>
      <c r="Q74" s="3">
        <f t="shared" si="15"/>
        <v>-2.3428782365553289</v>
      </c>
      <c r="R74" s="3">
        <f t="shared" si="16"/>
        <v>43.482291666663514</v>
      </c>
      <c r="S74" t="str">
        <f t="shared" si="17"/>
        <v>P90 empirical percentile</v>
      </c>
    </row>
    <row r="75" spans="1:19" x14ac:dyDescent="0.25">
      <c r="A75" t="s">
        <v>45</v>
      </c>
      <c r="B75" t="s">
        <v>19</v>
      </c>
      <c r="C75" t="s">
        <v>145</v>
      </c>
      <c r="D75" t="s">
        <v>146</v>
      </c>
      <c r="E75" t="s">
        <v>90</v>
      </c>
      <c r="F75" t="s">
        <v>91</v>
      </c>
      <c r="G75">
        <f>COUNTIFS('Raw Data'!$A$2:$A$7383,A75,'Raw Data'!$B$2:$B$7383,B75)</f>
        <v>16</v>
      </c>
      <c r="H75" t="str">
        <f t="shared" si="12"/>
        <v>High</v>
      </c>
      <c r="I75" s="3">
        <f>IFERROR(AVERAGEIFS('Raw Data'!$E$2:$E$7383,'Raw Data'!$A$2:$A$7383,A75,'Raw Data'!$B$2:$B$7383,B75),0)</f>
        <v>42.221701388890779</v>
      </c>
      <c r="J75" s="3">
        <f t="array" ref="J75">IFERROR(MEDIAN(IF(('Raw Data'!$A$2:$A$7383=A75)*('Raw Data'!$B$2:$B$7383=B75),'Raw Data'!$E$2:$E$7383)),0)</f>
        <v>40.495486111118225</v>
      </c>
      <c r="K75" s="3">
        <f t="array" ref="K75">IFERROR(STDEV(IF(('Raw Data'!$A$2:$A$7383=A75)*('Raw Data'!$B$2:$B$7383=B75),'Raw Data'!$E$2:$E$7383)),0)</f>
        <v>3.5443227558424564</v>
      </c>
      <c r="L75" s="2">
        <f t="shared" si="13"/>
        <v>8.3945521834774425E-2</v>
      </c>
      <c r="M75" s="3">
        <f t="array" ref="M75">IFERROR(PERCENTILE(IF(('Raw Data'!$A$2:$A$7383=A75)*('Raw Data'!$B$2:$B$7383=B75),'Raw Data'!$E$2:$E$7383),0.75),0)</f>
        <v>44.523263888888323</v>
      </c>
      <c r="N75" s="3">
        <f t="array" ref="N75">IFERROR(PERCENTILE(IF(('Raw Data'!$A$2:$A$7383=A75)*('Raw Data'!$B$2:$B$7383=B75),'Raw Data'!$E$2:$E$7383),0.9),0)</f>
        <v>47.055555555554747</v>
      </c>
      <c r="O75" s="3">
        <f t="array" ref="O75">IFERROR(PERCENTILE(IF(('Raw Data'!$A$2:$A$7383=A75)*('Raw Data'!$B$2:$B$7383=B75),'Raw Data'!$E$2:$E$7383),0.95),0)</f>
        <v>48.308506944449618</v>
      </c>
      <c r="P75" s="3">
        <f t="shared" si="14"/>
        <v>46.764105432778472</v>
      </c>
      <c r="Q75" s="3">
        <f t="shared" si="15"/>
        <v>0.29145012277627558</v>
      </c>
      <c r="R75" s="3">
        <f t="shared" si="16"/>
        <v>47.055555555554747</v>
      </c>
      <c r="S75" t="str">
        <f t="shared" si="17"/>
        <v>P90 empirical percentile</v>
      </c>
    </row>
    <row r="76" spans="1:19" x14ac:dyDescent="0.25">
      <c r="A76" t="s">
        <v>22</v>
      </c>
      <c r="B76" t="s">
        <v>13</v>
      </c>
      <c r="C76" t="s">
        <v>88</v>
      </c>
      <c r="D76" t="s">
        <v>89</v>
      </c>
      <c r="E76" t="s">
        <v>95</v>
      </c>
      <c r="F76" t="s">
        <v>96</v>
      </c>
      <c r="G76">
        <f>COUNTIFS('Raw Data'!$A$2:$A$7383,A76,'Raw Data'!$B$2:$B$7383,B76)</f>
        <v>14</v>
      </c>
      <c r="H76" t="str">
        <f t="shared" si="12"/>
        <v>Medium</v>
      </c>
      <c r="I76" s="3">
        <f>IFERROR(AVERAGEIFS('Raw Data'!$E$2:$E$7383,'Raw Data'!$A$2:$A$7383,A76,'Raw Data'!$B$2:$B$7383,B76),0)</f>
        <v>56.524107142862967</v>
      </c>
      <c r="J76" s="3">
        <f t="array" ref="J76">IFERROR(MEDIAN(IF(('Raw Data'!$A$2:$A$7383=A76)*('Raw Data'!$B$2:$B$7383=B76),'Raw Data'!$E$2:$E$7383)),0)</f>
        <v>56.339583333337941</v>
      </c>
      <c r="K76" s="3">
        <f t="array" ref="K76">IFERROR(STDEV(IF(('Raw Data'!$A$2:$A$7383=A76)*('Raw Data'!$B$2:$B$7383=B76),'Raw Data'!$E$2:$E$7383)),0)</f>
        <v>3.2296549170074806</v>
      </c>
      <c r="L76" s="2">
        <f t="shared" si="13"/>
        <v>5.7137654715086889E-2</v>
      </c>
      <c r="M76" s="3">
        <f t="array" ref="M76">IFERROR(PERCENTILE(IF(('Raw Data'!$A$2:$A$7383=A76)*('Raw Data'!$B$2:$B$7383=B76),'Raw Data'!$E$2:$E$7383),0.75),0)</f>
        <v>59.846875000008367</v>
      </c>
      <c r="N76" s="3">
        <f t="array" ref="N76">IFERROR(PERCENTILE(IF(('Raw Data'!$A$2:$A$7383=A76)*('Raw Data'!$B$2:$B$7383=B76),'Raw Data'!$E$2:$E$7383),0.9),0)</f>
        <v>60.35833333334449</v>
      </c>
      <c r="O76" s="3">
        <f t="array" ref="O76">IFERROR(PERCENTILE(IF(('Raw Data'!$A$2:$A$7383=A76)*('Raw Data'!$B$2:$B$7383=B76),'Raw Data'!$E$2:$E$7383),0.95),0)</f>
        <v>60.35833333334449</v>
      </c>
      <c r="P76" s="3">
        <f t="shared" si="14"/>
        <v>60.663232884499756</v>
      </c>
      <c r="Q76" s="3">
        <f t="shared" si="15"/>
        <v>-0.30489955115526612</v>
      </c>
      <c r="R76" s="3">
        <f t="shared" si="16"/>
        <v>60.35833333334449</v>
      </c>
      <c r="S76" t="str">
        <f t="shared" si="17"/>
        <v>P90 empirical percentile</v>
      </c>
    </row>
    <row r="77" spans="1:19" x14ac:dyDescent="0.25">
      <c r="A77" t="s">
        <v>8</v>
      </c>
      <c r="B77" t="s">
        <v>44</v>
      </c>
      <c r="C77" t="s">
        <v>86</v>
      </c>
      <c r="D77" t="s">
        <v>87</v>
      </c>
      <c r="E77" t="s">
        <v>147</v>
      </c>
      <c r="F77" t="s">
        <v>98</v>
      </c>
      <c r="G77">
        <f>COUNTIFS('Raw Data'!$A$2:$A$7383,A77,'Raw Data'!$B$2:$B$7383,B77)</f>
        <v>14</v>
      </c>
      <c r="H77" t="str">
        <f t="shared" si="12"/>
        <v>Medium</v>
      </c>
      <c r="I77" s="3">
        <f>IFERROR(AVERAGEIFS('Raw Data'!$E$2:$E$7383,'Raw Data'!$A$2:$A$7383,A77,'Raw Data'!$B$2:$B$7383,B77),0)</f>
        <v>35.15724206349114</v>
      </c>
      <c r="J77" s="3">
        <f t="array" ref="J77">IFERROR(MEDIAN(IF(('Raw Data'!$A$2:$A$7383=A77)*('Raw Data'!$B$2:$B$7383=B77),'Raw Data'!$E$2:$E$7383)),0)</f>
        <v>35.940624999995634</v>
      </c>
      <c r="K77" s="3">
        <f t="array" ref="K77">IFERROR(STDEV(IF(('Raw Data'!$A$2:$A$7383=A77)*('Raw Data'!$B$2:$B$7383=B77),'Raw Data'!$E$2:$E$7383)),0)</f>
        <v>4.0907644196503368</v>
      </c>
      <c r="L77" s="2">
        <f t="shared" si="13"/>
        <v>0.11635623784888321</v>
      </c>
      <c r="M77" s="3">
        <f t="array" ref="M77">IFERROR(PERCENTILE(IF(('Raw Data'!$A$2:$A$7383=A77)*('Raw Data'!$B$2:$B$7383=B77),'Raw Data'!$E$2:$E$7383),0.75),0)</f>
        <v>36.231944444438341</v>
      </c>
      <c r="N77" s="3">
        <f t="array" ref="N77">IFERROR(PERCENTILE(IF(('Raw Data'!$A$2:$A$7383=A77)*('Raw Data'!$B$2:$B$7383=B77),'Raw Data'!$E$2:$E$7383),0.9),0)</f>
        <v>38.279166666667152</v>
      </c>
      <c r="O77" s="3">
        <f t="array" ref="O77">IFERROR(PERCENTILE(IF(('Raw Data'!$A$2:$A$7383=A77)*('Raw Data'!$B$2:$B$7383=B77),'Raw Data'!$E$2:$E$7383),0.95),0)</f>
        <v>40.015555555557512</v>
      </c>
      <c r="P77" s="3">
        <f t="shared" si="14"/>
        <v>40.399965743715015</v>
      </c>
      <c r="Q77" s="3">
        <f t="shared" si="15"/>
        <v>-2.1207990770478631</v>
      </c>
      <c r="R77" s="3">
        <f t="shared" si="16"/>
        <v>38.279166666667152</v>
      </c>
      <c r="S77" t="str">
        <f t="shared" si="17"/>
        <v>P90 empirical percentile</v>
      </c>
    </row>
    <row r="78" spans="1:19" x14ac:dyDescent="0.25">
      <c r="A78" t="s">
        <v>34</v>
      </c>
      <c r="B78" t="s">
        <v>21</v>
      </c>
      <c r="C78" t="s">
        <v>104</v>
      </c>
      <c r="D78" t="s">
        <v>105</v>
      </c>
      <c r="E78" t="s">
        <v>116</v>
      </c>
      <c r="F78" t="s">
        <v>117</v>
      </c>
      <c r="G78">
        <f>COUNTIFS('Raw Data'!$A$2:$A$7383,A78,'Raw Data'!$B$2:$B$7383,B78)</f>
        <v>14</v>
      </c>
      <c r="H78" t="str">
        <f t="shared" si="12"/>
        <v>Medium</v>
      </c>
      <c r="I78" s="3">
        <f>IFERROR(AVERAGEIFS('Raw Data'!$E$2:$E$7383,'Raw Data'!$A$2:$A$7383,A78,'Raw Data'!$B$2:$B$7383,B78),0)</f>
        <v>12.249007936510939</v>
      </c>
      <c r="J78" s="3">
        <f t="array" ref="J78">IFERROR(MEDIAN(IF(('Raw Data'!$A$2:$A$7383=A78)*('Raw Data'!$B$2:$B$7383=B78),'Raw Data'!$E$2:$E$7383)),0)</f>
        <v>11.539583333335031</v>
      </c>
      <c r="K78" s="3">
        <f t="array" ref="K78">IFERROR(STDEV(IF(('Raw Data'!$A$2:$A$7383=A78)*('Raw Data'!$B$2:$B$7383=B78),'Raw Data'!$E$2:$E$7383)),0)</f>
        <v>2.2253731953144653</v>
      </c>
      <c r="L78" s="2">
        <f t="shared" si="13"/>
        <v>0.18167783112306077</v>
      </c>
      <c r="M78" s="3">
        <f t="array" ref="M78">IFERROR(PERCENTILE(IF(('Raw Data'!$A$2:$A$7383=A78)*('Raw Data'!$B$2:$B$7383=B78),'Raw Data'!$E$2:$E$7383),0.75),0)</f>
        <v>12.490104166678066</v>
      </c>
      <c r="N78" s="3">
        <f t="array" ref="N78">IFERROR(PERCENTILE(IF(('Raw Data'!$A$2:$A$7383=A78)*('Raw Data'!$B$2:$B$7383=B78),'Raw Data'!$E$2:$E$7383),0.9),0)</f>
        <v>14.330763888889489</v>
      </c>
      <c r="O78" s="3">
        <f t="array" ref="O78">IFERROR(PERCENTILE(IF(('Raw Data'!$A$2:$A$7383=A78)*('Raw Data'!$B$2:$B$7383=B78),'Raw Data'!$E$2:$E$7383),0.95),0)</f>
        <v>16.289999999999779</v>
      </c>
      <c r="P78" s="3">
        <f t="shared" si="14"/>
        <v>15.101046223625957</v>
      </c>
      <c r="Q78" s="3">
        <f t="shared" si="15"/>
        <v>-0.77028233473646779</v>
      </c>
      <c r="R78" s="3">
        <f t="shared" si="16"/>
        <v>14.330763888889489</v>
      </c>
      <c r="S78" t="str">
        <f t="shared" si="17"/>
        <v>P90 empirical percentile</v>
      </c>
    </row>
    <row r="79" spans="1:19" x14ac:dyDescent="0.25">
      <c r="A79" t="s">
        <v>23</v>
      </c>
      <c r="B79" t="s">
        <v>30</v>
      </c>
      <c r="C79" t="s">
        <v>118</v>
      </c>
      <c r="D79" t="s">
        <v>119</v>
      </c>
      <c r="E79" t="s">
        <v>143</v>
      </c>
      <c r="F79" t="s">
        <v>135</v>
      </c>
      <c r="G79">
        <f>COUNTIFS('Raw Data'!$A$2:$A$7383,A79,'Raw Data'!$B$2:$B$7383,B79)</f>
        <v>14</v>
      </c>
      <c r="H79" t="str">
        <f t="shared" si="12"/>
        <v>Medium</v>
      </c>
      <c r="I79" s="3">
        <f>IFERROR(AVERAGEIFS('Raw Data'!$E$2:$E$7383,'Raw Data'!$A$2:$A$7383,A79,'Raw Data'!$B$2:$B$7383,B79),0)</f>
        <v>41.492509920641687</v>
      </c>
      <c r="J79" s="3">
        <f t="array" ref="J79">IFERROR(MEDIAN(IF(('Raw Data'!$A$2:$A$7383=A79)*('Raw Data'!$B$2:$B$7383=B79),'Raw Data'!$E$2:$E$7383)),0)</f>
        <v>42.611805555563478</v>
      </c>
      <c r="K79" s="3">
        <f t="array" ref="K79">IFERROR(STDEV(IF(('Raw Data'!$A$2:$A$7383=A79)*('Raw Data'!$B$2:$B$7383=B79),'Raw Data'!$E$2:$E$7383)),0)</f>
        <v>2.0393224553449687</v>
      </c>
      <c r="L79" s="2">
        <f t="shared" si="13"/>
        <v>4.9149170759863983E-2</v>
      </c>
      <c r="M79" s="3">
        <f t="array" ref="M79">IFERROR(PERCENTILE(IF(('Raw Data'!$A$2:$A$7383=A79)*('Raw Data'!$B$2:$B$7383=B79),'Raw Data'!$E$2:$E$7383),0.75),0)</f>
        <v>42.611805555563478</v>
      </c>
      <c r="N79" s="3">
        <f t="array" ref="N79">IFERROR(PERCENTILE(IF(('Raw Data'!$A$2:$A$7383=A79)*('Raw Data'!$B$2:$B$7383=B79),'Raw Data'!$E$2:$E$7383),0.9),0)</f>
        <v>42.876250000009165</v>
      </c>
      <c r="O79" s="3">
        <f t="array" ref="O79">IFERROR(PERCENTILE(IF(('Raw Data'!$A$2:$A$7383=A79)*('Raw Data'!$B$2:$B$7383=B79),'Raw Data'!$E$2:$E$7383),0.95),0)</f>
        <v>43.628090277783123</v>
      </c>
      <c r="P79" s="3">
        <f t="shared" si="14"/>
        <v>44.106105579411796</v>
      </c>
      <c r="Q79" s="3">
        <f t="shared" si="15"/>
        <v>-1.2298555794026313</v>
      </c>
      <c r="R79" s="3">
        <f t="shared" si="16"/>
        <v>42.876250000009165</v>
      </c>
      <c r="S79" t="str">
        <f t="shared" si="17"/>
        <v>P90 empirical percentile</v>
      </c>
    </row>
    <row r="80" spans="1:19" x14ac:dyDescent="0.25">
      <c r="A80" t="s">
        <v>5</v>
      </c>
      <c r="B80" t="s">
        <v>47</v>
      </c>
      <c r="C80" t="s">
        <v>84</v>
      </c>
      <c r="D80" t="s">
        <v>85</v>
      </c>
      <c r="E80" t="s">
        <v>148</v>
      </c>
      <c r="F80" t="s">
        <v>87</v>
      </c>
      <c r="G80">
        <f>COUNTIFS('Raw Data'!$A$2:$A$7383,A80,'Raw Data'!$B$2:$B$7383,B80)</f>
        <v>14</v>
      </c>
      <c r="H80" t="str">
        <f t="shared" si="12"/>
        <v>Medium</v>
      </c>
      <c r="I80" s="3">
        <f>IFERROR(AVERAGEIFS('Raw Data'!$E$2:$E$7383,'Raw Data'!$A$2:$A$7383,A80,'Raw Data'!$B$2:$B$7383,B80),0)</f>
        <v>34.918799603179131</v>
      </c>
      <c r="J80" s="3">
        <f t="array" ref="J80">IFERROR(MEDIAN(IF(('Raw Data'!$A$2:$A$7383=A80)*('Raw Data'!$B$2:$B$7383=B80),'Raw Data'!$E$2:$E$7383)),0)</f>
        <v>32.770833333335759</v>
      </c>
      <c r="K80" s="3">
        <f t="array" ref="K80">IFERROR(STDEV(IF(('Raw Data'!$A$2:$A$7383=A80)*('Raw Data'!$B$2:$B$7383=B80),'Raw Data'!$E$2:$E$7383)),0)</f>
        <v>8.838589894928333</v>
      </c>
      <c r="L80" s="2">
        <f t="shared" si="13"/>
        <v>0.25311837736036141</v>
      </c>
      <c r="M80" s="3">
        <f t="array" ref="M80">IFERROR(PERCENTILE(IF(('Raw Data'!$A$2:$A$7383=A80)*('Raw Data'!$B$2:$B$7383=B80),'Raw Data'!$E$2:$E$7383),0.75),0)</f>
        <v>37.559374999993452</v>
      </c>
      <c r="N80" s="3">
        <f t="array" ref="N80">IFERROR(PERCENTILE(IF(('Raw Data'!$A$2:$A$7383=A80)*('Raw Data'!$B$2:$B$7383=B80),'Raw Data'!$E$2:$E$7383),0.9),0)</f>
        <v>48.840416666671096</v>
      </c>
      <c r="O80" s="3">
        <f t="array" ref="O80">IFERROR(PERCENTILE(IF(('Raw Data'!$A$2:$A$7383=A80)*('Raw Data'!$B$2:$B$7383=B80),'Raw Data'!$E$2:$E$7383),0.95),0)</f>
        <v>52.816666666672972</v>
      </c>
      <c r="P80" s="3">
        <f t="shared" si="14"/>
        <v>46.246336412519284</v>
      </c>
      <c r="Q80" s="3">
        <f t="shared" si="15"/>
        <v>2.5940802541518124</v>
      </c>
      <c r="R80" s="3">
        <f t="shared" si="16"/>
        <v>48.840416666671096</v>
      </c>
      <c r="S80" t="str">
        <f t="shared" si="17"/>
        <v>P90 empirical percentile</v>
      </c>
    </row>
    <row r="81" spans="1:19" x14ac:dyDescent="0.25">
      <c r="A81" t="s">
        <v>35</v>
      </c>
      <c r="B81" t="s">
        <v>19</v>
      </c>
      <c r="C81" t="s">
        <v>132</v>
      </c>
      <c r="D81" t="s">
        <v>100</v>
      </c>
      <c r="E81" t="s">
        <v>90</v>
      </c>
      <c r="F81" t="s">
        <v>91</v>
      </c>
      <c r="G81">
        <f>COUNTIFS('Raw Data'!$A$2:$A$7383,A81,'Raw Data'!$B$2:$B$7383,B81)</f>
        <v>13</v>
      </c>
      <c r="H81" t="str">
        <f t="shared" si="12"/>
        <v>Medium</v>
      </c>
      <c r="I81" s="3">
        <f>IFERROR(AVERAGEIFS('Raw Data'!$E$2:$E$7383,'Raw Data'!$A$2:$A$7383,A81,'Raw Data'!$B$2:$B$7383,B81),0)</f>
        <v>38.777751068378095</v>
      </c>
      <c r="J81" s="3">
        <f t="array" ref="J81">IFERROR(MEDIAN(IF(('Raw Data'!$A$2:$A$7383=A81)*('Raw Data'!$B$2:$B$7383=B81),'Raw Data'!$E$2:$E$7383)),0)</f>
        <v>37.915972222224809</v>
      </c>
      <c r="K81" s="3">
        <f t="array" ref="K81">IFERROR(STDEV(IF(('Raw Data'!$A$2:$A$7383=A81)*('Raw Data'!$B$2:$B$7383=B81),'Raw Data'!$E$2:$E$7383)),0)</f>
        <v>2.5327700818765391</v>
      </c>
      <c r="L81" s="2">
        <f t="shared" si="13"/>
        <v>6.5315032772540665E-2</v>
      </c>
      <c r="M81" s="3">
        <f t="array" ref="M81">IFERROR(PERCENTILE(IF(('Raw Data'!$A$2:$A$7383=A81)*('Raw Data'!$B$2:$B$7383=B81),'Raw Data'!$E$2:$E$7383),0.75),0)</f>
        <v>40.747743055566389</v>
      </c>
      <c r="N81" s="3">
        <f t="array" ref="N81">IFERROR(PERCENTILE(IF(('Raw Data'!$A$2:$A$7383=A81)*('Raw Data'!$B$2:$B$7383=B81),'Raw Data'!$E$2:$E$7383),0.9),0)</f>
        <v>41.733333333329938</v>
      </c>
      <c r="O81" s="3">
        <f t="array" ref="O81">IFERROR(PERCENTILE(IF(('Raw Data'!$A$2:$A$7383=A81)*('Raw Data'!$B$2:$B$7383=B81),'Raw Data'!$E$2:$E$7383),0.95),0)</f>
        <v>42.605555555551831</v>
      </c>
      <c r="P81" s="3">
        <f t="shared" si="14"/>
        <v>42.02374920531107</v>
      </c>
      <c r="Q81" s="3">
        <f t="shared" si="15"/>
        <v>-0.29041587198113206</v>
      </c>
      <c r="R81" s="3">
        <f t="shared" si="16"/>
        <v>41.733333333329938</v>
      </c>
      <c r="S81" t="str">
        <f t="shared" si="17"/>
        <v>P90 empirical percentile</v>
      </c>
    </row>
    <row r="82" spans="1:19" x14ac:dyDescent="0.25">
      <c r="A82" t="s">
        <v>61</v>
      </c>
      <c r="B82" t="s">
        <v>13</v>
      </c>
      <c r="C82" t="s">
        <v>149</v>
      </c>
      <c r="D82" t="s">
        <v>100</v>
      </c>
      <c r="E82" t="s">
        <v>95</v>
      </c>
      <c r="F82" t="s">
        <v>96</v>
      </c>
      <c r="G82">
        <f>COUNTIFS('Raw Data'!$A$2:$A$7383,A82,'Raw Data'!$B$2:$B$7383,B82)</f>
        <v>13</v>
      </c>
      <c r="H82" t="str">
        <f t="shared" si="12"/>
        <v>Medium</v>
      </c>
      <c r="I82" s="3">
        <f>IFERROR(AVERAGEIFS('Raw Data'!$E$2:$E$7383,'Raw Data'!$A$2:$A$7383,A82,'Raw Data'!$B$2:$B$7383,B82),0)</f>
        <v>46.362307692307624</v>
      </c>
      <c r="J82" s="3">
        <f t="array" ref="J82">IFERROR(MEDIAN(IF(('Raw Data'!$A$2:$A$7383=A82)*('Raw Data'!$B$2:$B$7383=B82),'Raw Data'!$E$2:$E$7383)),0)</f>
        <v>50.145138888889051</v>
      </c>
      <c r="K82" s="3">
        <f t="array" ref="K82">IFERROR(STDEV(IF(('Raw Data'!$A$2:$A$7383=A82)*('Raw Data'!$B$2:$B$7383=B82),'Raw Data'!$E$2:$E$7383)),0)</f>
        <v>4.9181605657976988</v>
      </c>
      <c r="L82" s="2">
        <f t="shared" si="13"/>
        <v>0.10608101301682431</v>
      </c>
      <c r="M82" s="3">
        <f t="array" ref="M82">IFERROR(PERCENTILE(IF(('Raw Data'!$A$2:$A$7383=A82)*('Raw Data'!$B$2:$B$7383=B82),'Raw Data'!$E$2:$E$7383),0.75),0)</f>
        <v>50.145138888889051</v>
      </c>
      <c r="N82" s="3">
        <f t="array" ref="N82">IFERROR(PERCENTILE(IF(('Raw Data'!$A$2:$A$7383=A82)*('Raw Data'!$B$2:$B$7383=B82),'Raw Data'!$E$2:$E$7383),0.9),0)</f>
        <v>51.193055555551837</v>
      </c>
      <c r="O82" s="3">
        <f t="array" ref="O82">IFERROR(PERCENTILE(IF(('Raw Data'!$A$2:$A$7383=A82)*('Raw Data'!$B$2:$B$7383=B82),'Raw Data'!$E$2:$E$7383),0.95),0)</f>
        <v>51.193055555551837</v>
      </c>
      <c r="P82" s="3">
        <f t="shared" si="14"/>
        <v>52.665422273433954</v>
      </c>
      <c r="Q82" s="3">
        <f t="shared" si="15"/>
        <v>-1.4723667178821174</v>
      </c>
      <c r="R82" s="3">
        <f t="shared" si="16"/>
        <v>51.193055555551837</v>
      </c>
      <c r="S82" t="str">
        <f t="shared" si="17"/>
        <v>P90 empirical percentile</v>
      </c>
    </row>
    <row r="83" spans="1:19" x14ac:dyDescent="0.25">
      <c r="A83" t="s">
        <v>5</v>
      </c>
      <c r="B83" t="s">
        <v>43</v>
      </c>
      <c r="C83" t="s">
        <v>84</v>
      </c>
      <c r="D83" t="s">
        <v>85</v>
      </c>
      <c r="E83" t="s">
        <v>138</v>
      </c>
      <c r="F83" t="s">
        <v>139</v>
      </c>
      <c r="G83">
        <f>COUNTIFS('Raw Data'!$A$2:$A$7383,A83,'Raw Data'!$B$2:$B$7383,B83)</f>
        <v>12</v>
      </c>
      <c r="H83" t="str">
        <f t="shared" si="12"/>
        <v>Medium</v>
      </c>
      <c r="I83" s="3">
        <f>IFERROR(AVERAGEIFS('Raw Data'!$E$2:$E$7383,'Raw Data'!$A$2:$A$7383,A83,'Raw Data'!$B$2:$B$7383,B83),0)</f>
        <v>49.859259259259488</v>
      </c>
      <c r="J83" s="3">
        <f t="array" ref="J83">IFERROR(MEDIAN(IF(('Raw Data'!$A$2:$A$7383=A83)*('Raw Data'!$B$2:$B$7383=B83),'Raw Data'!$E$2:$E$7383)),0)</f>
        <v>47.507638888888323</v>
      </c>
      <c r="K83" s="3">
        <f t="array" ref="K83">IFERROR(STDEV(IF(('Raw Data'!$A$2:$A$7383=A83)*('Raw Data'!$B$2:$B$7383=B83),'Raw Data'!$E$2:$E$7383)),0)</f>
        <v>7.9501197894037574</v>
      </c>
      <c r="L83" s="2">
        <f t="shared" si="13"/>
        <v>0.15945122144844784</v>
      </c>
      <c r="M83" s="3">
        <f t="array" ref="M83">IFERROR(PERCENTILE(IF(('Raw Data'!$A$2:$A$7383=A83)*('Raw Data'!$B$2:$B$7383=B83),'Raw Data'!$E$2:$E$7383),0.75),0)</f>
        <v>54.48368055555693</v>
      </c>
      <c r="N83" s="3">
        <f t="array" ref="N83">IFERROR(PERCENTILE(IF(('Raw Data'!$A$2:$A$7383=A83)*('Raw Data'!$B$2:$B$7383=B83),'Raw Data'!$E$2:$E$7383),0.9),0)</f>
        <v>59.850555555558095</v>
      </c>
      <c r="O83" s="3">
        <f t="array" ref="O83">IFERROR(PERCENTILE(IF(('Raw Data'!$A$2:$A$7383=A83)*('Raw Data'!$B$2:$B$7383=B83),'Raw Data'!$E$2:$E$7383),0.95),0)</f>
        <v>62.342604166664749</v>
      </c>
      <c r="P83" s="3">
        <f t="shared" si="14"/>
        <v>60.048132781359342</v>
      </c>
      <c r="Q83" s="3">
        <f t="shared" si="15"/>
        <v>-0.19757722580124693</v>
      </c>
      <c r="R83" s="3">
        <f t="shared" si="16"/>
        <v>59.850555555558095</v>
      </c>
      <c r="S83" t="str">
        <f t="shared" si="17"/>
        <v>P90 empirical percentile</v>
      </c>
    </row>
    <row r="84" spans="1:19" x14ac:dyDescent="0.25">
      <c r="A84" t="s">
        <v>7</v>
      </c>
      <c r="B84" t="s">
        <v>18</v>
      </c>
      <c r="C84" t="s">
        <v>92</v>
      </c>
      <c r="D84" t="s">
        <v>85</v>
      </c>
      <c r="E84" t="s">
        <v>97</v>
      </c>
      <c r="F84" t="s">
        <v>98</v>
      </c>
      <c r="G84">
        <f>COUNTIFS('Raw Data'!$A$2:$A$7383,A84,'Raw Data'!$B$2:$B$7383,B84)</f>
        <v>12</v>
      </c>
      <c r="H84" t="str">
        <f t="shared" si="12"/>
        <v>Medium</v>
      </c>
      <c r="I84" s="3">
        <f>IFERROR(AVERAGEIFS('Raw Data'!$E$2:$E$7383,'Raw Data'!$A$2:$A$7383,A84,'Raw Data'!$B$2:$B$7383,B84),0)</f>
        <v>46.540299961420409</v>
      </c>
      <c r="J84" s="3">
        <f t="array" ref="J84">IFERROR(MEDIAN(IF(('Raw Data'!$A$2:$A$7383=A84)*('Raw Data'!$B$2:$B$7383=B84),'Raw Data'!$E$2:$E$7383)),0)</f>
        <v>42.055902777778101</v>
      </c>
      <c r="K84" s="3">
        <f t="array" ref="K84">IFERROR(STDEV(IF(('Raw Data'!$A$2:$A$7383=A84)*('Raw Data'!$B$2:$B$7383=B84),'Raw Data'!$E$2:$E$7383)),0)</f>
        <v>8.2094704369377407</v>
      </c>
      <c r="L84" s="2">
        <f t="shared" si="13"/>
        <v>0.17639487591921374</v>
      </c>
      <c r="M84" s="3">
        <f t="array" ref="M84">IFERROR(PERCENTILE(IF(('Raw Data'!$A$2:$A$7383=A84)*('Raw Data'!$B$2:$B$7383=B84),'Raw Data'!$E$2:$E$7383),0.75),0)</f>
        <v>51.814811921300134</v>
      </c>
      <c r="N84" s="3">
        <f t="array" ref="N84">IFERROR(PERCENTILE(IF(('Raw Data'!$A$2:$A$7383=A84)*('Raw Data'!$B$2:$B$7383=B84),'Raw Data'!$E$2:$E$7383),0.9),0)</f>
        <v>58.574994212966708</v>
      </c>
      <c r="O84" s="3">
        <f t="array" ref="O84">IFERROR(PERCENTILE(IF(('Raw Data'!$A$2:$A$7383=A84)*('Raw Data'!$B$2:$B$7383=B84),'Raw Data'!$E$2:$E$7383),0.95),0)</f>
        <v>61.006944444446702</v>
      </c>
      <c r="P84" s="3">
        <f t="shared" si="14"/>
        <v>57.061557273399821</v>
      </c>
      <c r="Q84" s="3">
        <f t="shared" si="15"/>
        <v>1.513436939566887</v>
      </c>
      <c r="R84" s="3">
        <f t="shared" si="16"/>
        <v>58.574994212966708</v>
      </c>
      <c r="S84" t="str">
        <f t="shared" si="17"/>
        <v>P90 empirical percentile</v>
      </c>
    </row>
    <row r="85" spans="1:19" x14ac:dyDescent="0.25">
      <c r="A85" t="s">
        <v>28</v>
      </c>
      <c r="B85" t="s">
        <v>13</v>
      </c>
      <c r="C85" t="s">
        <v>128</v>
      </c>
      <c r="D85" t="s">
        <v>89</v>
      </c>
      <c r="E85" t="s">
        <v>95</v>
      </c>
      <c r="F85" t="s">
        <v>96</v>
      </c>
      <c r="G85">
        <f>COUNTIFS('Raw Data'!$A$2:$A$7383,A85,'Raw Data'!$B$2:$B$7383,B85)</f>
        <v>12</v>
      </c>
      <c r="H85" t="str">
        <f t="shared" si="12"/>
        <v>Medium</v>
      </c>
      <c r="I85" s="3">
        <f>IFERROR(AVERAGEIFS('Raw Data'!$E$2:$E$7383,'Raw Data'!$A$2:$A$7383,A85,'Raw Data'!$B$2:$B$7383,B85),0)</f>
        <v>64.619849537037837</v>
      </c>
      <c r="J85" s="3">
        <f t="array" ref="J85">IFERROR(MEDIAN(IF(('Raw Data'!$A$2:$A$7383=A85)*('Raw Data'!$B$2:$B$7383=B85),'Raw Data'!$E$2:$E$7383)),0)</f>
        <v>63.783333333332848</v>
      </c>
      <c r="K85" s="3">
        <f t="array" ref="K85">IFERROR(STDEV(IF(('Raw Data'!$A$2:$A$7383=A85)*('Raw Data'!$B$2:$B$7383=B85),'Raw Data'!$E$2:$E$7383)),0)</f>
        <v>3.9695775465465637</v>
      </c>
      <c r="L85" s="2">
        <f t="shared" si="13"/>
        <v>6.142969342990099E-2</v>
      </c>
      <c r="M85" s="3">
        <f t="array" ref="M85">IFERROR(PERCENTILE(IF(('Raw Data'!$A$2:$A$7383=A85)*('Raw Data'!$B$2:$B$7383=B85),'Raw Data'!$E$2:$E$7383),0.75),0)</f>
        <v>66.078298611100763</v>
      </c>
      <c r="N85" s="3">
        <f t="array" ref="N85">IFERROR(PERCENTILE(IF(('Raw Data'!$A$2:$A$7383=A85)*('Raw Data'!$B$2:$B$7383=B85),'Raw Data'!$E$2:$E$7383),0.9),0)</f>
        <v>69.151736111110949</v>
      </c>
      <c r="O85" s="3">
        <f t="array" ref="O85">IFERROR(PERCENTILE(IF(('Raw Data'!$A$2:$A$7383=A85)*('Raw Data'!$B$2:$B$7383=B85),'Raw Data'!$E$2:$E$7383),0.95),0)</f>
        <v>71.022499999996214</v>
      </c>
      <c r="P85" s="3">
        <f t="shared" si="14"/>
        <v>69.707260120691913</v>
      </c>
      <c r="Q85" s="3">
        <f t="shared" si="15"/>
        <v>-0.55552400958096371</v>
      </c>
      <c r="R85" s="3">
        <f t="shared" si="16"/>
        <v>69.151736111110949</v>
      </c>
      <c r="S85" t="str">
        <f t="shared" si="17"/>
        <v>P90 empirical percentile</v>
      </c>
    </row>
    <row r="86" spans="1:19" x14ac:dyDescent="0.25">
      <c r="A86" t="s">
        <v>12</v>
      </c>
      <c r="B86" t="s">
        <v>14</v>
      </c>
      <c r="C86" t="s">
        <v>93</v>
      </c>
      <c r="D86" t="s">
        <v>94</v>
      </c>
      <c r="E86" t="s">
        <v>101</v>
      </c>
      <c r="F86" t="s">
        <v>96</v>
      </c>
      <c r="G86">
        <f>COUNTIFS('Raw Data'!$A$2:$A$7383,A86,'Raw Data'!$B$2:$B$7383,B86)</f>
        <v>12</v>
      </c>
      <c r="H86" t="str">
        <f t="shared" si="12"/>
        <v>Medium</v>
      </c>
      <c r="I86" s="3">
        <f>IFERROR(AVERAGEIFS('Raw Data'!$E$2:$E$7383,'Raw Data'!$A$2:$A$7383,A86,'Raw Data'!$B$2:$B$7383,B86),0)</f>
        <v>67.364677854937327</v>
      </c>
      <c r="J86" s="3">
        <f t="array" ref="J86">IFERROR(MEDIAN(IF(('Raw Data'!$A$2:$A$7383=A86)*('Raw Data'!$B$2:$B$7383=B86),'Raw Data'!$E$2:$E$7383)),0)</f>
        <v>66.481273148147011</v>
      </c>
      <c r="K86" s="3">
        <f t="array" ref="K86">IFERROR(STDEV(IF(('Raw Data'!$A$2:$A$7383=A86)*('Raw Data'!$B$2:$B$7383=B86),'Raw Data'!$E$2:$E$7383)),0)</f>
        <v>9.2538299909502477</v>
      </c>
      <c r="L86" s="2">
        <f t="shared" si="13"/>
        <v>0.13736917158391801</v>
      </c>
      <c r="M86" s="3">
        <f t="array" ref="M86">IFERROR(PERCENTILE(IF(('Raw Data'!$A$2:$A$7383=A86)*('Raw Data'!$B$2:$B$7383=B86),'Raw Data'!$E$2:$E$7383),0.75),0)</f>
        <v>77.593576388891961</v>
      </c>
      <c r="N86" s="3">
        <f t="array" ref="N86">IFERROR(PERCENTILE(IF(('Raw Data'!$A$2:$A$7383=A86)*('Raw Data'!$B$2:$B$7383=B86),'Raw Data'!$E$2:$E$7383),0.9),0)</f>
        <v>78.298107638893271</v>
      </c>
      <c r="O86" s="3">
        <f t="array" ref="O86">IFERROR(PERCENTILE(IF(('Raw Data'!$A$2:$A$7383=A86)*('Raw Data'!$B$2:$B$7383=B86),'Raw Data'!$E$2:$E$7383),0.95),0)</f>
        <v>78.376388888893416</v>
      </c>
      <c r="P86" s="3">
        <f t="shared" si="14"/>
        <v>79.224386371339165</v>
      </c>
      <c r="Q86" s="3">
        <f t="shared" si="15"/>
        <v>-0.92627873244589409</v>
      </c>
      <c r="R86" s="3">
        <f t="shared" si="16"/>
        <v>78.298107638893271</v>
      </c>
      <c r="S86" t="str">
        <f t="shared" si="17"/>
        <v>P90 empirical percentile</v>
      </c>
    </row>
    <row r="87" spans="1:19" x14ac:dyDescent="0.25">
      <c r="A87" t="s">
        <v>30</v>
      </c>
      <c r="B87" t="s">
        <v>20</v>
      </c>
      <c r="C87" t="s">
        <v>143</v>
      </c>
      <c r="D87" t="s">
        <v>135</v>
      </c>
      <c r="E87" t="s">
        <v>120</v>
      </c>
      <c r="F87" t="s">
        <v>98</v>
      </c>
      <c r="G87">
        <f>COUNTIFS('Raw Data'!$A$2:$A$7383,A87,'Raw Data'!$B$2:$B$7383,B87)</f>
        <v>11</v>
      </c>
      <c r="H87" t="str">
        <f t="shared" si="12"/>
        <v>Medium</v>
      </c>
      <c r="I87" s="3">
        <f>IFERROR(AVERAGEIFS('Raw Data'!$E$2:$E$7383,'Raw Data'!$A$2:$A$7383,A87,'Raw Data'!$B$2:$B$7383,B87),0)</f>
        <v>9.8410058922560317</v>
      </c>
      <c r="J87" s="3">
        <f t="array" ref="J87">IFERROR(MEDIAN(IF(('Raw Data'!$A$2:$A$7383=A87)*('Raw Data'!$B$2:$B$7383=B87),'Raw Data'!$E$2:$E$7383)),0)</f>
        <v>10.26875000000291</v>
      </c>
      <c r="K87" s="3">
        <f t="array" ref="K87">IFERROR(STDEV(IF(('Raw Data'!$A$2:$A$7383=A87)*('Raw Data'!$B$2:$B$7383=B87),'Raw Data'!$E$2:$E$7383)),0)</f>
        <v>1.0954771627273143</v>
      </c>
      <c r="L87" s="2">
        <f t="shared" si="13"/>
        <v>0.11131760052997776</v>
      </c>
      <c r="M87" s="3">
        <f t="array" ref="M87">IFERROR(PERCENTILE(IF(('Raw Data'!$A$2:$A$7383=A87)*('Raw Data'!$B$2:$B$7383=B87),'Raw Data'!$E$2:$E$7383),0.75),0)</f>
        <v>10.847673611115169</v>
      </c>
      <c r="N87" s="3">
        <f t="array" ref="N87">IFERROR(PERCENTILE(IF(('Raw Data'!$A$2:$A$7383=A87)*('Raw Data'!$B$2:$B$7383=B87),'Raw Data'!$E$2:$E$7383),0.9),0)</f>
        <v>10.875</v>
      </c>
      <c r="O87" s="3">
        <f t="array" ref="O87">IFERROR(PERCENTILE(IF(('Raw Data'!$A$2:$A$7383=A87)*('Raw Data'!$B$2:$B$7383=B87),'Raw Data'!$E$2:$E$7383),0.95),0)</f>
        <v>10.875</v>
      </c>
      <c r="P87" s="3">
        <f t="shared" si="14"/>
        <v>11.244969424007358</v>
      </c>
      <c r="Q87" s="3">
        <f t="shared" si="15"/>
        <v>-0.36996942400735833</v>
      </c>
      <c r="R87" s="3">
        <f t="shared" si="16"/>
        <v>10.875</v>
      </c>
      <c r="S87" t="str">
        <f t="shared" si="17"/>
        <v>P90 empirical percentile</v>
      </c>
    </row>
    <row r="88" spans="1:19" x14ac:dyDescent="0.25">
      <c r="A88" t="s">
        <v>8</v>
      </c>
      <c r="B88" t="s">
        <v>19</v>
      </c>
      <c r="C88" t="s">
        <v>86</v>
      </c>
      <c r="D88" t="s">
        <v>87</v>
      </c>
      <c r="E88" t="s">
        <v>90</v>
      </c>
      <c r="F88" t="s">
        <v>91</v>
      </c>
      <c r="G88">
        <f>COUNTIFS('Raw Data'!$A$2:$A$7383,A88,'Raw Data'!$B$2:$B$7383,B88)</f>
        <v>11</v>
      </c>
      <c r="H88" t="str">
        <f t="shared" si="12"/>
        <v>Medium</v>
      </c>
      <c r="I88" s="3">
        <f>IFERROR(AVERAGEIFS('Raw Data'!$E$2:$E$7383,'Raw Data'!$A$2:$A$7383,A88,'Raw Data'!$B$2:$B$7383,B88),0)</f>
        <v>48.403673190225987</v>
      </c>
      <c r="J88" s="3">
        <f t="array" ref="J88">IFERROR(MEDIAN(IF(('Raw Data'!$A$2:$A$7383=A88)*('Raw Data'!$B$2:$B$7383=B88),'Raw Data'!$E$2:$E$7383)),0)</f>
        <v>46.020833333313931</v>
      </c>
      <c r="K88" s="3">
        <f t="array" ref="K88">IFERROR(STDEV(IF(('Raw Data'!$A$2:$A$7383=A88)*('Raw Data'!$B$2:$B$7383=B88),'Raw Data'!$E$2:$E$7383)),0)</f>
        <v>5.0022465839898587</v>
      </c>
      <c r="L88" s="2">
        <f t="shared" si="13"/>
        <v>0.10334435910124168</v>
      </c>
      <c r="M88" s="3">
        <f t="array" ref="M88">IFERROR(PERCENTILE(IF(('Raw Data'!$A$2:$A$7383=A88)*('Raw Data'!$B$2:$B$7383=B88),'Raw Data'!$E$2:$E$7383),0.75),0)</f>
        <v>49.294513888886286</v>
      </c>
      <c r="N88" s="3">
        <f t="array" ref="N88">IFERROR(PERCENTILE(IF(('Raw Data'!$A$2:$A$7383=A88)*('Raw Data'!$B$2:$B$7383=B88),'Raw Data'!$E$2:$E$7383),0.9),0)</f>
        <v>57.963703703702777</v>
      </c>
      <c r="O88" s="3">
        <f t="array" ref="O88">IFERROR(PERCENTILE(IF(('Raw Data'!$A$2:$A$7383=A88)*('Raw Data'!$B$2:$B$7383=B88),'Raw Data'!$E$2:$E$7383),0.95),0)</f>
        <v>57.964490740741894</v>
      </c>
      <c r="P88" s="3">
        <f t="shared" si="14"/>
        <v>54.814552412267389</v>
      </c>
      <c r="Q88" s="3">
        <f t="shared" si="15"/>
        <v>3.1491512914353876</v>
      </c>
      <c r="R88" s="3">
        <f t="shared" si="16"/>
        <v>57.963703703702777</v>
      </c>
      <c r="S88" t="str">
        <f t="shared" si="17"/>
        <v>P90 empirical percentile</v>
      </c>
    </row>
    <row r="89" spans="1:19" x14ac:dyDescent="0.25">
      <c r="A89" t="s">
        <v>16</v>
      </c>
      <c r="B89" t="s">
        <v>11</v>
      </c>
      <c r="C89" t="s">
        <v>123</v>
      </c>
      <c r="D89" t="s">
        <v>85</v>
      </c>
      <c r="E89" t="s">
        <v>106</v>
      </c>
      <c r="F89" t="s">
        <v>107</v>
      </c>
      <c r="G89">
        <f>COUNTIFS('Raw Data'!$A$2:$A$7383,A89,'Raw Data'!$B$2:$B$7383,B89)</f>
        <v>10</v>
      </c>
      <c r="H89" t="str">
        <f t="shared" si="12"/>
        <v>Medium</v>
      </c>
      <c r="I89" s="3">
        <f>IFERROR(AVERAGEIFS('Raw Data'!$E$2:$E$7383,'Raw Data'!$A$2:$A$7383,A89,'Raw Data'!$B$2:$B$7383,B89),0)</f>
        <v>68.045902777772426</v>
      </c>
      <c r="J89" s="3">
        <f t="array" ref="J89">IFERROR(MEDIAN(IF(('Raw Data'!$A$2:$A$7383=A89)*('Raw Data'!$B$2:$B$7383=B89),'Raw Data'!$E$2:$E$7383)),0)</f>
        <v>68.120833333327028</v>
      </c>
      <c r="K89" s="3">
        <f t="array" ref="K89">IFERROR(STDEV(IF(('Raw Data'!$A$2:$A$7383=A89)*('Raw Data'!$B$2:$B$7383=B89),'Raw Data'!$E$2:$E$7383)),0)</f>
        <v>6.4979289779542073</v>
      </c>
      <c r="L89" s="2">
        <f t="shared" si="13"/>
        <v>9.5493317197590216E-2</v>
      </c>
      <c r="M89" s="3">
        <f t="array" ref="M89">IFERROR(PERCENTILE(IF(('Raw Data'!$A$2:$A$7383=A89)*('Raw Data'!$B$2:$B$7383=B89),'Raw Data'!$E$2:$E$7383),0.75),0)</f>
        <v>69.436805555560568</v>
      </c>
      <c r="N89" s="3">
        <f t="array" ref="N89">IFERROR(PERCENTILE(IF(('Raw Data'!$A$2:$A$7383=A89)*('Raw Data'!$B$2:$B$7383=B89),'Raw Data'!$E$2:$E$7383),0.9),0)</f>
        <v>70.852152777782607</v>
      </c>
      <c r="O89" s="3">
        <f t="array" ref="O89">IFERROR(PERCENTILE(IF(('Raw Data'!$A$2:$A$7383=A89)*('Raw Data'!$B$2:$B$7383=B89),'Raw Data'!$E$2:$E$7383),0.95),0)</f>
        <v>77.221215277781795</v>
      </c>
      <c r="P89" s="3">
        <f t="shared" si="14"/>
        <v>76.373648555918535</v>
      </c>
      <c r="Q89" s="3">
        <f t="shared" si="15"/>
        <v>-5.5214957781359288</v>
      </c>
      <c r="R89" s="3">
        <f t="shared" si="16"/>
        <v>70.852152777782607</v>
      </c>
      <c r="S89" t="str">
        <f t="shared" si="17"/>
        <v>P90 empirical percentile</v>
      </c>
    </row>
    <row r="90" spans="1:19" x14ac:dyDescent="0.25">
      <c r="A90" t="s">
        <v>22</v>
      </c>
      <c r="B90" t="s">
        <v>32</v>
      </c>
      <c r="C90" t="s">
        <v>88</v>
      </c>
      <c r="D90" t="s">
        <v>89</v>
      </c>
      <c r="E90" t="s">
        <v>150</v>
      </c>
      <c r="F90" t="s">
        <v>151</v>
      </c>
      <c r="G90">
        <f>COUNTIFS('Raw Data'!$A$2:$A$7383,A90,'Raw Data'!$B$2:$B$7383,B90)</f>
        <v>10</v>
      </c>
      <c r="H90" t="str">
        <f t="shared" si="12"/>
        <v>Medium</v>
      </c>
      <c r="I90" s="3">
        <f>IFERROR(AVERAGEIFS('Raw Data'!$E$2:$E$7383,'Raw Data'!$A$2:$A$7383,A90,'Raw Data'!$B$2:$B$7383,B90),0)</f>
        <v>65.604194444444147</v>
      </c>
      <c r="J90" s="3">
        <f t="array" ref="J90">IFERROR(MEDIAN(IF(('Raw Data'!$A$2:$A$7383=A90)*('Raw Data'!$B$2:$B$7383=B90),'Raw Data'!$E$2:$E$7383)),0)</f>
        <v>63.423912037033006</v>
      </c>
      <c r="K90" s="3">
        <f t="array" ref="K90">IFERROR(STDEV(IF(('Raw Data'!$A$2:$A$7383=A90)*('Raw Data'!$B$2:$B$7383=B90),'Raw Data'!$E$2:$E$7383)),0)</f>
        <v>9.3605431220941</v>
      </c>
      <c r="L90" s="2">
        <f t="shared" si="13"/>
        <v>0.14268208307962571</v>
      </c>
      <c r="M90" s="3">
        <f t="array" ref="M90">IFERROR(PERCENTILE(IF(('Raw Data'!$A$2:$A$7383=A90)*('Raw Data'!$B$2:$B$7383=B90),'Raw Data'!$E$2:$E$7383),0.75),0)</f>
        <v>73.98707175925847</v>
      </c>
      <c r="N90" s="3">
        <f t="array" ref="N90">IFERROR(PERCENTILE(IF(('Raw Data'!$A$2:$A$7383=A90)*('Raw Data'!$B$2:$B$7383=B90),'Raw Data'!$E$2:$E$7383),0.9),0)</f>
        <v>78.683935185188602</v>
      </c>
      <c r="O90" s="3">
        <f t="array" ref="O90">IFERROR(PERCENTILE(IF(('Raw Data'!$A$2:$A$7383=A90)*('Raw Data'!$B$2:$B$7383=B90),'Raw Data'!$E$2:$E$7383),0.95),0)</f>
        <v>78.683935185188602</v>
      </c>
      <c r="P90" s="3">
        <f t="shared" si="14"/>
        <v>77.600666509719943</v>
      </c>
      <c r="Q90" s="3">
        <f t="shared" si="15"/>
        <v>1.0832686754686591</v>
      </c>
      <c r="R90" s="3">
        <f t="shared" si="16"/>
        <v>78.683935185188602</v>
      </c>
      <c r="S90" t="str">
        <f t="shared" si="17"/>
        <v>P90 empirical percentile</v>
      </c>
    </row>
    <row r="91" spans="1:19" x14ac:dyDescent="0.25">
      <c r="A91" t="s">
        <v>8</v>
      </c>
      <c r="B91" t="s">
        <v>5</v>
      </c>
      <c r="C91" t="s">
        <v>86</v>
      </c>
      <c r="D91" t="s">
        <v>87</v>
      </c>
      <c r="E91" t="s">
        <v>84</v>
      </c>
      <c r="F91" t="s">
        <v>85</v>
      </c>
      <c r="G91">
        <f>COUNTIFS('Raw Data'!$A$2:$A$7383,A91,'Raw Data'!$B$2:$B$7383,B91)</f>
        <v>10</v>
      </c>
      <c r="H91" t="str">
        <f t="shared" si="12"/>
        <v>Medium</v>
      </c>
      <c r="I91" s="3">
        <f>IFERROR(AVERAGEIFS('Raw Data'!$E$2:$E$7383,'Raw Data'!$A$2:$A$7383,A91,'Raw Data'!$B$2:$B$7383,B91),0)</f>
        <v>40.368333333324699</v>
      </c>
      <c r="J91" s="3">
        <f t="array" ref="J91">IFERROR(MEDIAN(IF(('Raw Data'!$A$2:$A$7383=A91)*('Raw Data'!$B$2:$B$7383=B91),'Raw Data'!$E$2:$E$7383)),0)</f>
        <v>40.370486111103673</v>
      </c>
      <c r="K91" s="3">
        <f t="array" ref="K91">IFERROR(STDEV(IF(('Raw Data'!$A$2:$A$7383=A91)*('Raw Data'!$B$2:$B$7383=B91),'Raw Data'!$E$2:$E$7383)),0)</f>
        <v>5.4531728935846582</v>
      </c>
      <c r="L91" s="2">
        <f t="shared" si="13"/>
        <v>0.13508541084808615</v>
      </c>
      <c r="M91" s="3">
        <f t="array" ref="M91">IFERROR(PERCENTILE(IF(('Raw Data'!$A$2:$A$7383=A91)*('Raw Data'!$B$2:$B$7383=B91),'Raw Data'!$E$2:$E$7383),0.75),0)</f>
        <v>45.541666666656965</v>
      </c>
      <c r="N91" s="3">
        <f t="array" ref="N91">IFERROR(PERCENTILE(IF(('Raw Data'!$A$2:$A$7383=A91)*('Raw Data'!$B$2:$B$7383=B91),'Raw Data'!$E$2:$E$7383),0.9),0)</f>
        <v>45.541666666656965</v>
      </c>
      <c r="O91" s="3">
        <f t="array" ref="O91">IFERROR(PERCENTILE(IF(('Raw Data'!$A$2:$A$7383=A91)*('Raw Data'!$B$2:$B$7383=B91),'Raw Data'!$E$2:$E$7383),0.95),0)</f>
        <v>45.541666666656965</v>
      </c>
      <c r="P91" s="3">
        <f t="shared" si="14"/>
        <v>47.357119713742797</v>
      </c>
      <c r="Q91" s="3">
        <f t="shared" si="15"/>
        <v>-1.8154530470858319</v>
      </c>
      <c r="R91" s="3">
        <f t="shared" si="16"/>
        <v>45.541666666656965</v>
      </c>
      <c r="S91" t="str">
        <f t="shared" si="17"/>
        <v>P90 empirical percentile</v>
      </c>
    </row>
    <row r="92" spans="1:19" x14ac:dyDescent="0.25">
      <c r="A92" t="s">
        <v>16</v>
      </c>
      <c r="B92" t="s">
        <v>6</v>
      </c>
      <c r="C92" t="s">
        <v>123</v>
      </c>
      <c r="D92" t="s">
        <v>85</v>
      </c>
      <c r="E92" t="s">
        <v>114</v>
      </c>
      <c r="F92" t="s">
        <v>115</v>
      </c>
      <c r="G92">
        <f>COUNTIFS('Raw Data'!$A$2:$A$7383,A92,'Raw Data'!$B$2:$B$7383,B92)</f>
        <v>10</v>
      </c>
      <c r="H92" t="str">
        <f t="shared" si="12"/>
        <v>Medium</v>
      </c>
      <c r="I92" s="3">
        <f>IFERROR(AVERAGEIFS('Raw Data'!$E$2:$E$7383,'Raw Data'!$A$2:$A$7383,A92,'Raw Data'!$B$2:$B$7383,B92),0)</f>
        <v>69.393472222216957</v>
      </c>
      <c r="J92" s="3">
        <f t="array" ref="J92">IFERROR(MEDIAN(IF(('Raw Data'!$A$2:$A$7383=A92)*('Raw Data'!$B$2:$B$7383=B92),'Raw Data'!$E$2:$E$7383)),0)</f>
        <v>64.589583333327028</v>
      </c>
      <c r="K92" s="3">
        <f t="array" ref="K92">IFERROR(STDEV(IF(('Raw Data'!$A$2:$A$7383=A92)*('Raw Data'!$B$2:$B$7383=B92),'Raw Data'!$E$2:$E$7383)),0)</f>
        <v>14.266122672562377</v>
      </c>
      <c r="L92" s="2">
        <f t="shared" si="13"/>
        <v>0.20558306445422322</v>
      </c>
      <c r="M92" s="3">
        <f t="array" ref="M92">IFERROR(PERCENTILE(IF(('Raw Data'!$A$2:$A$7383=A92)*('Raw Data'!$B$2:$B$7383=B92),'Raw Data'!$E$2:$E$7383),0.75),0)</f>
        <v>75.967708333328119</v>
      </c>
      <c r="N92" s="3">
        <f t="array" ref="N92">IFERROR(PERCENTILE(IF(('Raw Data'!$A$2:$A$7383=A92)*('Raw Data'!$B$2:$B$7383=B92),'Raw Data'!$E$2:$E$7383),0.9),0)</f>
        <v>87.68333333333284</v>
      </c>
      <c r="O92" s="3">
        <f t="array" ref="O92">IFERROR(PERCENTILE(IF(('Raw Data'!$A$2:$A$7383=A92)*('Raw Data'!$B$2:$B$7383=B92),'Raw Data'!$E$2:$E$7383),0.95),0)</f>
        <v>92.295833333332837</v>
      </c>
      <c r="P92" s="3">
        <f t="shared" si="14"/>
        <v>87.676935039372893</v>
      </c>
      <c r="Q92" s="3">
        <f t="shared" si="15"/>
        <v>6.3982939599469546E-3</v>
      </c>
      <c r="R92" s="3">
        <f t="shared" si="16"/>
        <v>87.68333333333284</v>
      </c>
      <c r="S92" t="str">
        <f t="shared" si="17"/>
        <v>P90 empirical percentile</v>
      </c>
    </row>
    <row r="93" spans="1:19" x14ac:dyDescent="0.25">
      <c r="A93" t="s">
        <v>61</v>
      </c>
      <c r="B93" t="s">
        <v>62</v>
      </c>
      <c r="C93" t="s">
        <v>149</v>
      </c>
      <c r="D93" t="s">
        <v>100</v>
      </c>
      <c r="E93" t="s">
        <v>152</v>
      </c>
      <c r="F93" t="s">
        <v>96</v>
      </c>
      <c r="G93">
        <f>COUNTIFS('Raw Data'!$A$2:$A$7383,A93,'Raw Data'!$B$2:$B$7383,B93)</f>
        <v>9</v>
      </c>
      <c r="H93" t="str">
        <f t="shared" si="12"/>
        <v>Medium</v>
      </c>
      <c r="I93" s="3">
        <f>IFERROR(AVERAGEIFS('Raw Data'!$E$2:$E$7383,'Raw Data'!$A$2:$A$7383,A93,'Raw Data'!$B$2:$B$7383,B93),0)</f>
        <v>52.346270576133975</v>
      </c>
      <c r="J93" s="3">
        <f t="array" ref="J93">IFERROR(MEDIAN(IF(('Raw Data'!$A$2:$A$7383=A93)*('Raw Data'!$B$2:$B$7383=B93),'Raw Data'!$E$2:$E$7383)),0)</f>
        <v>54.164583333338669</v>
      </c>
      <c r="K93" s="3">
        <f t="array" ref="K93">IFERROR(STDEV(IF(('Raw Data'!$A$2:$A$7383=A93)*('Raw Data'!$B$2:$B$7383=B93),'Raw Data'!$E$2:$E$7383)),0)</f>
        <v>7.1069628218329148</v>
      </c>
      <c r="L93" s="2">
        <f t="shared" si="13"/>
        <v>0.13576827429370228</v>
      </c>
      <c r="M93" s="3">
        <f t="array" ref="M93">IFERROR(PERCENTILE(IF(('Raw Data'!$A$2:$A$7383=A93)*('Raw Data'!$B$2:$B$7383=B93),'Raw Data'!$E$2:$E$7383),0.75),0)</f>
        <v>57.152777777781012</v>
      </c>
      <c r="N93" s="3">
        <f t="array" ref="N93">IFERROR(PERCENTILE(IF(('Raw Data'!$A$2:$A$7383=A93)*('Raw Data'!$B$2:$B$7383=B93),'Raw Data'!$E$2:$E$7383),0.9),0)</f>
        <v>59.354166666656965</v>
      </c>
      <c r="O93" s="3">
        <f t="array" ref="O93">IFERROR(PERCENTILE(IF(('Raw Data'!$A$2:$A$7383=A93)*('Raw Data'!$B$2:$B$7383=B93),'Raw Data'!$E$2:$E$7383),0.95),0)</f>
        <v>59.354166666656965</v>
      </c>
      <c r="P93" s="3">
        <f t="shared" si="14"/>
        <v>61.454554128595035</v>
      </c>
      <c r="Q93" s="3">
        <f t="shared" si="15"/>
        <v>-2.1003874619380696</v>
      </c>
      <c r="R93" s="3">
        <f t="shared" si="16"/>
        <v>59.354166666656965</v>
      </c>
      <c r="S93" t="str">
        <f t="shared" si="17"/>
        <v>P90 empirical percentile</v>
      </c>
    </row>
    <row r="94" spans="1:19" x14ac:dyDescent="0.25">
      <c r="A94" t="s">
        <v>14</v>
      </c>
      <c r="B94" t="s">
        <v>11</v>
      </c>
      <c r="C94" t="s">
        <v>101</v>
      </c>
      <c r="D94" t="s">
        <v>96</v>
      </c>
      <c r="E94" t="s">
        <v>106</v>
      </c>
      <c r="F94" t="s">
        <v>107</v>
      </c>
      <c r="G94">
        <f>COUNTIFS('Raw Data'!$A$2:$A$7383,A94,'Raw Data'!$B$2:$B$7383,B94)</f>
        <v>8</v>
      </c>
      <c r="H94" t="str">
        <f t="shared" si="12"/>
        <v>Medium</v>
      </c>
      <c r="I94" s="3">
        <f>IFERROR(AVERAGEIFS('Raw Data'!$E$2:$E$7383,'Raw Data'!$A$2:$A$7383,A94,'Raw Data'!$B$2:$B$7383,B94),0)</f>
        <v>52.874045138888505</v>
      </c>
      <c r="J94" s="3">
        <f t="array" ref="J94">IFERROR(MEDIAN(IF(('Raw Data'!$A$2:$A$7383=A94)*('Raw Data'!$B$2:$B$7383=B94),'Raw Data'!$E$2:$E$7383)),0)</f>
        <v>51.837500000001455</v>
      </c>
      <c r="K94" s="3">
        <f t="array" ref="K94">IFERROR(STDEV(IF(('Raw Data'!$A$2:$A$7383=A94)*('Raw Data'!$B$2:$B$7383=B94),'Raw Data'!$E$2:$E$7383)),0)</f>
        <v>1.4306033249001211</v>
      </c>
      <c r="L94" s="2">
        <f t="shared" si="13"/>
        <v>2.70568162723741E-2</v>
      </c>
      <c r="M94" s="3">
        <f t="array" ref="M94">IFERROR(PERCENTILE(IF(('Raw Data'!$A$2:$A$7383=A94)*('Raw Data'!$B$2:$B$7383=B94),'Raw Data'!$E$2:$E$7383),0.75),0)</f>
        <v>54.587499999997817</v>
      </c>
      <c r="N94" s="3">
        <f t="array" ref="N94">IFERROR(PERCENTILE(IF(('Raw Data'!$A$2:$A$7383=A94)*('Raw Data'!$B$2:$B$7383=B94),'Raw Data'!$E$2:$E$7383),0.9),0)</f>
        <v>54.607499999993159</v>
      </c>
      <c r="O94" s="3">
        <f t="array" ref="O94">IFERROR(PERCENTILE(IF(('Raw Data'!$A$2:$A$7383=A94)*('Raw Data'!$B$2:$B$7383=B94),'Raw Data'!$E$2:$E$7383),0.95),0)</f>
        <v>54.613819444440381</v>
      </c>
      <c r="P94" s="3">
        <f t="shared" si="14"/>
        <v>54.707506360080501</v>
      </c>
      <c r="Q94" s="3">
        <f t="shared" si="15"/>
        <v>-0.10000636008734176</v>
      </c>
      <c r="R94" s="3">
        <f t="shared" si="16"/>
        <v>54.607499999993159</v>
      </c>
      <c r="S94" t="str">
        <f t="shared" si="17"/>
        <v>P90 empirical percentile</v>
      </c>
    </row>
    <row r="95" spans="1:19" x14ac:dyDescent="0.25">
      <c r="A95" t="s">
        <v>27</v>
      </c>
      <c r="B95" t="s">
        <v>39</v>
      </c>
      <c r="C95" t="s">
        <v>121</v>
      </c>
      <c r="D95" t="s">
        <v>89</v>
      </c>
      <c r="E95" t="s">
        <v>153</v>
      </c>
      <c r="F95" t="s">
        <v>98</v>
      </c>
      <c r="G95">
        <f>COUNTIFS('Raw Data'!$A$2:$A$7383,A95,'Raw Data'!$B$2:$B$7383,B95)</f>
        <v>8</v>
      </c>
      <c r="H95" t="str">
        <f t="shared" si="12"/>
        <v>Medium</v>
      </c>
      <c r="I95" s="3">
        <f>IFERROR(AVERAGEIFS('Raw Data'!$E$2:$E$7383,'Raw Data'!$A$2:$A$7383,A95,'Raw Data'!$B$2:$B$7383,B95),0)</f>
        <v>74.77812499999618</v>
      </c>
      <c r="J95" s="3">
        <f t="array" ref="J95">IFERROR(MEDIAN(IF(('Raw Data'!$A$2:$A$7383=A95)*('Raw Data'!$B$2:$B$7383=B95),'Raw Data'!$E$2:$E$7383)),0)</f>
        <v>71.972916666672972</v>
      </c>
      <c r="K95" s="3">
        <f t="array" ref="K95">IFERROR(STDEV(IF(('Raw Data'!$A$2:$A$7383=A95)*('Raw Data'!$B$2:$B$7383=B95),'Raw Data'!$E$2:$E$7383)),0)</f>
        <v>4.3978453982346952</v>
      </c>
      <c r="L95" s="2">
        <f t="shared" si="13"/>
        <v>5.8811923918056515E-2</v>
      </c>
      <c r="M95" s="3">
        <f t="array" ref="M95">IFERROR(PERCENTILE(IF(('Raw Data'!$A$2:$A$7383=A95)*('Raw Data'!$B$2:$B$7383=B95),'Raw Data'!$E$2:$E$7383),0.75),0)</f>
        <v>80.07916666665551</v>
      </c>
      <c r="N95" s="3">
        <f t="array" ref="N95">IFERROR(PERCENTILE(IF(('Raw Data'!$A$2:$A$7383=A95)*('Raw Data'!$B$2:$B$7383=B95),'Raw Data'!$E$2:$E$7383),0.9),0)</f>
        <v>80.07916666665551</v>
      </c>
      <c r="O95" s="3">
        <f t="array" ref="O95">IFERROR(PERCENTILE(IF(('Raw Data'!$A$2:$A$7383=A95)*('Raw Data'!$B$2:$B$7383=B95),'Raw Data'!$E$2:$E$7383),0.95),0)</f>
        <v>80.07916666665551</v>
      </c>
      <c r="P95" s="3">
        <f t="shared" si="14"/>
        <v>80.414403662373772</v>
      </c>
      <c r="Q95" s="3">
        <f t="shared" si="15"/>
        <v>-0.33523699571826171</v>
      </c>
      <c r="R95" s="3">
        <f t="shared" si="16"/>
        <v>80.07916666665551</v>
      </c>
      <c r="S95" t="str">
        <f t="shared" si="17"/>
        <v>P90 empirical percentile</v>
      </c>
    </row>
    <row r="96" spans="1:19" x14ac:dyDescent="0.25">
      <c r="A96" t="s">
        <v>60</v>
      </c>
      <c r="B96" t="s">
        <v>13</v>
      </c>
      <c r="C96" t="s">
        <v>154</v>
      </c>
      <c r="D96" t="s">
        <v>100</v>
      </c>
      <c r="E96" t="s">
        <v>95</v>
      </c>
      <c r="F96" t="s">
        <v>96</v>
      </c>
      <c r="G96">
        <f>COUNTIFS('Raw Data'!$A$2:$A$7383,A96,'Raw Data'!$B$2:$B$7383,B96)</f>
        <v>8</v>
      </c>
      <c r="H96" t="str">
        <f t="shared" si="12"/>
        <v>Medium</v>
      </c>
      <c r="I96" s="3">
        <f>IFERROR(AVERAGEIFS('Raw Data'!$E$2:$E$7383,'Raw Data'!$A$2:$A$7383,A96,'Raw Data'!$B$2:$B$7383,B96),0)</f>
        <v>45.685983796294749</v>
      </c>
      <c r="J96" s="3">
        <f t="array" ref="J96">IFERROR(MEDIAN(IF(('Raw Data'!$A$2:$A$7383=A96)*('Raw Data'!$B$2:$B$7383=B96),'Raw Data'!$E$2:$E$7383)),0)</f>
        <v>45.693749999998545</v>
      </c>
      <c r="K96" s="3">
        <f t="array" ref="K96">IFERROR(STDEV(IF(('Raw Data'!$A$2:$A$7383=A96)*('Raw Data'!$B$2:$B$7383=B96),'Raw Data'!$E$2:$E$7383)),0)</f>
        <v>4.3371975706282528</v>
      </c>
      <c r="L96" s="2">
        <f t="shared" si="13"/>
        <v>9.4934971521397127E-2</v>
      </c>
      <c r="M96" s="3">
        <f t="array" ref="M96">IFERROR(PERCENTILE(IF(('Raw Data'!$A$2:$A$7383=A96)*('Raw Data'!$B$2:$B$7383=B96),'Raw Data'!$E$2:$E$7383),0.75),0)</f>
        <v>49.743055555547471</v>
      </c>
      <c r="N96" s="3">
        <f t="array" ref="N96">IFERROR(PERCENTILE(IF(('Raw Data'!$A$2:$A$7383=A96)*('Raw Data'!$B$2:$B$7383=B96),'Raw Data'!$E$2:$E$7383),0.9),0)</f>
        <v>49.743055555547471</v>
      </c>
      <c r="O96" s="3">
        <f t="array" ref="O96">IFERROR(PERCENTILE(IF(('Raw Data'!$A$2:$A$7383=A96)*('Raw Data'!$B$2:$B$7383=B96),'Raw Data'!$E$2:$E$7383),0.95),0)</f>
        <v>49.743055555547471</v>
      </c>
      <c r="P96" s="3">
        <f t="shared" si="14"/>
        <v>51.244536202811915</v>
      </c>
      <c r="Q96" s="3">
        <f t="shared" si="15"/>
        <v>-1.5014806472644437</v>
      </c>
      <c r="R96" s="3">
        <f t="shared" si="16"/>
        <v>49.743055555547471</v>
      </c>
      <c r="S96" t="str">
        <f t="shared" si="17"/>
        <v>P90 empirical percentile</v>
      </c>
    </row>
    <row r="97" spans="1:19" x14ac:dyDescent="0.25">
      <c r="A97" t="s">
        <v>22</v>
      </c>
      <c r="B97" t="s">
        <v>53</v>
      </c>
      <c r="C97" t="s">
        <v>88</v>
      </c>
      <c r="D97" t="s">
        <v>89</v>
      </c>
      <c r="E97" t="s">
        <v>155</v>
      </c>
      <c r="F97" t="s">
        <v>156</v>
      </c>
      <c r="G97">
        <f>COUNTIFS('Raw Data'!$A$2:$A$7383,A97,'Raw Data'!$B$2:$B$7383,B97)</f>
        <v>8</v>
      </c>
      <c r="H97" t="str">
        <f t="shared" si="12"/>
        <v>Medium</v>
      </c>
      <c r="I97" s="3">
        <f>IFERROR(AVERAGEIFS('Raw Data'!$E$2:$E$7383,'Raw Data'!$A$2:$A$7383,A97,'Raw Data'!$B$2:$B$7383,B97),0)</f>
        <v>68.464160879629162</v>
      </c>
      <c r="J97" s="3">
        <f t="array" ref="J97">IFERROR(MEDIAN(IF(('Raw Data'!$A$2:$A$7383=A97)*('Raw Data'!$B$2:$B$7383=B97),'Raw Data'!$E$2:$E$7383)),0)</f>
        <v>68.457268518519413</v>
      </c>
      <c r="K97" s="3">
        <f t="array" ref="K97">IFERROR(STDEV(IF(('Raw Data'!$A$2:$A$7383=A97)*('Raw Data'!$B$2:$B$7383=B97),'Raw Data'!$E$2:$E$7383)),0)</f>
        <v>9.5123620487767135E-3</v>
      </c>
      <c r="L97" s="2">
        <f t="shared" si="13"/>
        <v>1.3893929212834366E-4</v>
      </c>
      <c r="M97" s="3">
        <f t="array" ref="M97">IFERROR(PERCENTILE(IF(('Raw Data'!$A$2:$A$7383=A97)*('Raw Data'!$B$2:$B$7383=B97),'Raw Data'!$E$2:$E$7383),0.75),0)</f>
        <v>68.47564814814541</v>
      </c>
      <c r="N97" s="3">
        <f t="array" ref="N97">IFERROR(PERCENTILE(IF(('Raw Data'!$A$2:$A$7383=A97)*('Raw Data'!$B$2:$B$7383=B97),'Raw Data'!$E$2:$E$7383),0.9),0)</f>
        <v>68.47564814814541</v>
      </c>
      <c r="O97" s="3">
        <f t="array" ref="O97">IFERROR(PERCENTILE(IF(('Raw Data'!$A$2:$A$7383=A97)*('Raw Data'!$B$2:$B$7383=B97),'Raw Data'!$E$2:$E$7383),0.95),0)</f>
        <v>68.47564814814541</v>
      </c>
      <c r="P97" s="3">
        <f t="shared" si="14"/>
        <v>68.476351922830872</v>
      </c>
      <c r="Q97" s="3">
        <f t="shared" si="15"/>
        <v>-7.0377468546212185E-4</v>
      </c>
      <c r="R97" s="3">
        <f t="shared" si="16"/>
        <v>68.47564814814541</v>
      </c>
      <c r="S97" t="str">
        <f t="shared" si="17"/>
        <v>P90 empirical percentile</v>
      </c>
    </row>
    <row r="98" spans="1:19" x14ac:dyDescent="0.25">
      <c r="A98" t="s">
        <v>28</v>
      </c>
      <c r="B98" t="s">
        <v>46</v>
      </c>
      <c r="C98" t="s">
        <v>128</v>
      </c>
      <c r="D98" t="s">
        <v>89</v>
      </c>
      <c r="E98" t="s">
        <v>133</v>
      </c>
      <c r="F98" t="s">
        <v>117</v>
      </c>
      <c r="G98">
        <f>COUNTIFS('Raw Data'!$A$2:$A$7383,A98,'Raw Data'!$B$2:$B$7383,B98)</f>
        <v>7</v>
      </c>
      <c r="H98" t="str">
        <f t="shared" ref="H98:H129" si="18">IF(G98&gt;=15,"High",IF(G98&gt;=5,"Medium","Low"))</f>
        <v>Medium</v>
      </c>
      <c r="I98" s="3">
        <f>IFERROR(AVERAGEIFS('Raw Data'!$E$2:$E$7383,'Raw Data'!$A$2:$A$7383,A98,'Raw Data'!$B$2:$B$7383,B98),0)</f>
        <v>41.703769841266748</v>
      </c>
      <c r="J98" s="3">
        <f t="array" ref="J98">IFERROR(MEDIAN(IF(('Raw Data'!$A$2:$A$7383=A98)*('Raw Data'!$B$2:$B$7383=B98),'Raw Data'!$E$2:$E$7383)),0)</f>
        <v>40.911111111097853</v>
      </c>
      <c r="K98" s="3">
        <f t="array" ref="K98">IFERROR(STDEV(IF(('Raw Data'!$A$2:$A$7383=A98)*('Raw Data'!$B$2:$B$7383=B98),'Raw Data'!$E$2:$E$7383)),0)</f>
        <v>6.8442576532641404</v>
      </c>
      <c r="L98" s="2">
        <f t="shared" ref="L98:L129" si="19">IF(I98=0,0,K98/I98)</f>
        <v>0.16411604225025253</v>
      </c>
      <c r="M98" s="3">
        <f t="array" ref="M98">IFERROR(PERCENTILE(IF(('Raw Data'!$A$2:$A$7383=A98)*('Raw Data'!$B$2:$B$7383=B98),'Raw Data'!$E$2:$E$7383),0.75),0)</f>
        <v>46.68541666667079</v>
      </c>
      <c r="N98" s="3">
        <f t="array" ref="N98">IFERROR(PERCENTILE(IF(('Raw Data'!$A$2:$A$7383=A98)*('Raw Data'!$B$2:$B$7383=B98),'Raw Data'!$E$2:$E$7383),0.9),0)</f>
        <v>48.774166666666865</v>
      </c>
      <c r="O98" s="3">
        <f t="array" ref="O98">IFERROR(PERCENTILE(IF(('Raw Data'!$A$2:$A$7383=A98)*('Raw Data'!$B$2:$B$7383=B98),'Raw Data'!$E$2:$E$7383),0.95),0)</f>
        <v>50.013124999996215</v>
      </c>
      <c r="P98" s="3">
        <f t="shared" ref="P98:P134" si="20">I98+1.2816*K98</f>
        <v>50.475370449690075</v>
      </c>
      <c r="Q98" s="3">
        <f t="shared" ref="Q98:Q129" si="21">N98-P98</f>
        <v>-1.7012037830232103</v>
      </c>
      <c r="R98" s="3">
        <f t="shared" ref="R98:R134" si="22">IF(G98&lt;5,J98+K98,N98)</f>
        <v>48.774166666666865</v>
      </c>
      <c r="S98" t="str">
        <f t="shared" ref="S98:S134" si="23">IF(G98&lt;5,"Median + 1 Std Dev (fallback, n&lt;5)","P90 empirical percentile")</f>
        <v>P90 empirical percentile</v>
      </c>
    </row>
    <row r="99" spans="1:19" x14ac:dyDescent="0.25">
      <c r="A99" t="s">
        <v>28</v>
      </c>
      <c r="B99" t="s">
        <v>12</v>
      </c>
      <c r="C99" t="s">
        <v>128</v>
      </c>
      <c r="D99" t="s">
        <v>89</v>
      </c>
      <c r="E99" t="s">
        <v>93</v>
      </c>
      <c r="F99" t="s">
        <v>94</v>
      </c>
      <c r="G99">
        <f>COUNTIFS('Raw Data'!$A$2:$A$7383,A99,'Raw Data'!$B$2:$B$7383,B99)</f>
        <v>7</v>
      </c>
      <c r="H99" t="str">
        <f t="shared" si="18"/>
        <v>Medium</v>
      </c>
      <c r="I99" s="3">
        <f>IFERROR(AVERAGEIFS('Raw Data'!$E$2:$E$7383,'Raw Data'!$A$2:$A$7383,A99,'Raw Data'!$B$2:$B$7383,B99),0)</f>
        <v>5.7729166666623701</v>
      </c>
      <c r="J99" s="3">
        <f t="array" ref="J99">IFERROR(MEDIAN(IF(('Raw Data'!$A$2:$A$7383=A99)*('Raw Data'!$B$2:$B$7383=B99),'Raw Data'!$E$2:$E$7383)),0)</f>
        <v>5.8472222222044365</v>
      </c>
      <c r="K99" s="3">
        <f t="array" ref="K99">IFERROR(STDEV(IF(('Raw Data'!$A$2:$A$7383=A99)*('Raw Data'!$B$2:$B$7383=B99),'Raw Data'!$E$2:$E$7383)),0)</f>
        <v>1.9319646636059222</v>
      </c>
      <c r="L99" s="2">
        <f t="shared" si="19"/>
        <v>0.3346600644285575</v>
      </c>
      <c r="M99" s="3">
        <f t="array" ref="M99">IFERROR(PERCENTILE(IF(('Raw Data'!$A$2:$A$7383=A99)*('Raw Data'!$B$2:$B$7383=B99),'Raw Data'!$E$2:$E$7383),0.75),0)</f>
        <v>5.9593749999949068</v>
      </c>
      <c r="N99" s="3">
        <f t="array" ref="N99">IFERROR(PERCENTILE(IF(('Raw Data'!$A$2:$A$7383=A99)*('Raw Data'!$B$2:$B$7383=B99),'Raw Data'!$E$2:$E$7383),0.9),0)</f>
        <v>7.3627777777757739</v>
      </c>
      <c r="O99" s="3">
        <f t="array" ref="O99">IFERROR(PERCENTILE(IF(('Raw Data'!$A$2:$A$7383=A99)*('Raw Data'!$B$2:$B$7383=B99),'Raw Data'!$E$2:$E$7383),0.95),0)</f>
        <v>8.4088194444426314</v>
      </c>
      <c r="P99" s="3">
        <f t="shared" si="20"/>
        <v>8.2489225795397196</v>
      </c>
      <c r="Q99" s="3">
        <f t="shared" si="21"/>
        <v>-0.88614480176394572</v>
      </c>
      <c r="R99" s="3">
        <f t="shared" si="22"/>
        <v>7.3627777777757739</v>
      </c>
      <c r="S99" t="str">
        <f t="shared" si="23"/>
        <v>P90 empirical percentile</v>
      </c>
    </row>
    <row r="100" spans="1:19" x14ac:dyDescent="0.25">
      <c r="A100" t="s">
        <v>29</v>
      </c>
      <c r="B100" t="s">
        <v>20</v>
      </c>
      <c r="C100" t="s">
        <v>157</v>
      </c>
      <c r="D100" t="s">
        <v>135</v>
      </c>
      <c r="E100" t="s">
        <v>120</v>
      </c>
      <c r="F100" t="s">
        <v>98</v>
      </c>
      <c r="G100">
        <f>COUNTIFS('Raw Data'!$A$2:$A$7383,A100,'Raw Data'!$B$2:$B$7383,B100)</f>
        <v>6</v>
      </c>
      <c r="H100" t="str">
        <f t="shared" si="18"/>
        <v>Medium</v>
      </c>
      <c r="I100" s="3">
        <f>IFERROR(AVERAGEIFS('Raw Data'!$E$2:$E$7383,'Raw Data'!$A$2:$A$7383,A100,'Raw Data'!$B$2:$B$7383,B100),0)</f>
        <v>12.790144675921814</v>
      </c>
      <c r="J100" s="3">
        <f t="array" ref="J100">IFERROR(MEDIAN(IF(('Raw Data'!$A$2:$A$7383=A100)*('Raw Data'!$B$2:$B$7383=B100),'Raw Data'!$E$2:$E$7383)),0)</f>
        <v>9.9249999999919964</v>
      </c>
      <c r="K100" s="3">
        <f t="array" ref="K100">IFERROR(STDEV(IF(('Raw Data'!$A$2:$A$7383=A100)*('Raw Data'!$B$2:$B$7383=B100),'Raw Data'!$E$2:$E$7383)),0)</f>
        <v>7.92299066980127</v>
      </c>
      <c r="L100" s="2">
        <f t="shared" si="19"/>
        <v>0.61946059802722619</v>
      </c>
      <c r="M100" s="3">
        <f t="array" ref="M100">IFERROR(PERCENTILE(IF(('Raw Data'!$A$2:$A$7383=A100)*('Raw Data'!$B$2:$B$7383=B100),'Raw Data'!$E$2:$E$7383),0.75),0)</f>
        <v>10.760416666656965</v>
      </c>
      <c r="N100" s="3">
        <f t="array" ref="N100">IFERROR(PERCENTILE(IF(('Raw Data'!$A$2:$A$7383=A100)*('Raw Data'!$B$2:$B$7383=B100),'Raw Data'!$E$2:$E$7383),0.9),0)</f>
        <v>19.79513888888323</v>
      </c>
      <c r="O100" s="3">
        <f t="array" ref="O100">IFERROR(PERCENTILE(IF(('Raw Data'!$A$2:$A$7383=A100)*('Raw Data'!$B$2:$B$7383=B100),'Raw Data'!$E$2:$E$7383),0.95),0)</f>
        <v>24.312499999996362</v>
      </c>
      <c r="P100" s="3">
        <f t="shared" si="20"/>
        <v>22.94424951833912</v>
      </c>
      <c r="Q100" s="3">
        <f t="shared" si="21"/>
        <v>-3.1491106294558904</v>
      </c>
      <c r="R100" s="3">
        <f t="shared" si="22"/>
        <v>19.79513888888323</v>
      </c>
      <c r="S100" t="str">
        <f t="shared" si="23"/>
        <v>P90 empirical percentile</v>
      </c>
    </row>
    <row r="101" spans="1:19" x14ac:dyDescent="0.25">
      <c r="A101" t="s">
        <v>5</v>
      </c>
      <c r="B101" t="s">
        <v>56</v>
      </c>
      <c r="C101" t="s">
        <v>84</v>
      </c>
      <c r="D101" t="s">
        <v>85</v>
      </c>
      <c r="E101" t="s">
        <v>158</v>
      </c>
      <c r="F101" t="s">
        <v>87</v>
      </c>
      <c r="G101">
        <f>COUNTIFS('Raw Data'!$A$2:$A$7383,A101,'Raw Data'!$B$2:$B$7383,B101)</f>
        <v>6</v>
      </c>
      <c r="H101" t="str">
        <f t="shared" si="18"/>
        <v>Medium</v>
      </c>
      <c r="I101" s="3">
        <f>IFERROR(AVERAGEIFS('Raw Data'!$E$2:$E$7383,'Raw Data'!$A$2:$A$7383,A101,'Raw Data'!$B$2:$B$7383,B101),0)</f>
        <v>33.238888888886628</v>
      </c>
      <c r="J101" s="3">
        <f t="array" ref="J101">IFERROR(MEDIAN(IF(('Raw Data'!$A$2:$A$7383=A101)*('Raw Data'!$B$2:$B$7383=B101),'Raw Data'!$E$2:$E$7383)),0)</f>
        <v>31.570833333331393</v>
      </c>
      <c r="K101" s="3">
        <f t="array" ref="K101">IFERROR(STDEV(IF(('Raw Data'!$A$2:$A$7383=A101)*('Raw Data'!$B$2:$B$7383=B101),'Raw Data'!$E$2:$E$7383)),0)</f>
        <v>2.58414055488567</v>
      </c>
      <c r="L101" s="2">
        <f t="shared" si="19"/>
        <v>7.7744492709251586E-2</v>
      </c>
      <c r="M101" s="3">
        <f t="array" ref="M101">IFERROR(PERCENTILE(IF(('Raw Data'!$A$2:$A$7383=A101)*('Raw Data'!$B$2:$B$7383=B101),'Raw Data'!$E$2:$E$7383),0.75),0)</f>
        <v>35.323958333330665</v>
      </c>
      <c r="N101" s="3">
        <f t="array" ref="N101">IFERROR(PERCENTILE(IF(('Raw Data'!$A$2:$A$7383=A101)*('Raw Data'!$B$2:$B$7383=B101),'Raw Data'!$E$2:$E$7383),0.9),0)</f>
        <v>36.57499999999709</v>
      </c>
      <c r="O101" s="3">
        <f t="array" ref="O101">IFERROR(PERCENTILE(IF(('Raw Data'!$A$2:$A$7383=A101)*('Raw Data'!$B$2:$B$7383=B101),'Raw Data'!$E$2:$E$7383),0.95),0)</f>
        <v>36.57499999999709</v>
      </c>
      <c r="P101" s="3">
        <f t="shared" si="20"/>
        <v>36.550723424028099</v>
      </c>
      <c r="Q101" s="3">
        <f t="shared" si="21"/>
        <v>2.4276575968990244E-2</v>
      </c>
      <c r="R101" s="3">
        <f t="shared" si="22"/>
        <v>36.57499999999709</v>
      </c>
      <c r="S101" t="str">
        <f t="shared" si="23"/>
        <v>P90 empirical percentile</v>
      </c>
    </row>
    <row r="102" spans="1:19" x14ac:dyDescent="0.25">
      <c r="A102" t="s">
        <v>7</v>
      </c>
      <c r="B102" t="s">
        <v>6</v>
      </c>
      <c r="C102" t="s">
        <v>92</v>
      </c>
      <c r="D102" t="s">
        <v>85</v>
      </c>
      <c r="E102" t="s">
        <v>114</v>
      </c>
      <c r="F102" t="s">
        <v>115</v>
      </c>
      <c r="G102">
        <f>COUNTIFS('Raw Data'!$A$2:$A$7383,A102,'Raw Data'!$B$2:$B$7383,B102)</f>
        <v>6</v>
      </c>
      <c r="H102" t="str">
        <f t="shared" si="18"/>
        <v>Medium</v>
      </c>
      <c r="I102" s="3">
        <f>IFERROR(AVERAGEIFS('Raw Data'!$E$2:$E$7383,'Raw Data'!$A$2:$A$7383,A102,'Raw Data'!$B$2:$B$7383,B102),0)</f>
        <v>52.811300154313358</v>
      </c>
      <c r="J102" s="3">
        <f t="array" ref="J102">IFERROR(MEDIAN(IF(('Raw Data'!$A$2:$A$7383=A102)*('Raw Data'!$B$2:$B$7383=B102),'Raw Data'!$E$2:$E$7383)),0)</f>
        <v>52.129166666662059</v>
      </c>
      <c r="K102" s="3">
        <f t="array" ref="K102">IFERROR(STDEV(IF(('Raw Data'!$A$2:$A$7383=A102)*('Raw Data'!$B$2:$B$7383=B102),'Raw Data'!$E$2:$E$7383)),0)</f>
        <v>6.7429381056227831</v>
      </c>
      <c r="L102" s="2">
        <f t="shared" si="19"/>
        <v>0.12767983529888638</v>
      </c>
      <c r="M102" s="3">
        <f t="array" ref="M102">IFERROR(PERCENTILE(IF(('Raw Data'!$A$2:$A$7383=A102)*('Raw Data'!$B$2:$B$7383=B102),'Raw Data'!$E$2:$E$7383),0.75),0)</f>
        <v>52.712499999986903</v>
      </c>
      <c r="N102" s="3">
        <f t="array" ref="N102">IFERROR(PERCENTILE(IF(('Raw Data'!$A$2:$A$7383=A102)*('Raw Data'!$B$2:$B$7383=B102),'Raw Data'!$E$2:$E$7383),0.9),0)</f>
        <v>58.931122685178707</v>
      </c>
      <c r="O102" s="3">
        <f t="array" ref="O102">IFERROR(PERCENTILE(IF(('Raw Data'!$A$2:$A$7383=A102)*('Raw Data'!$B$2:$B$7383=B102),'Raw Data'!$E$2:$E$7383),0.95),0)</f>
        <v>62.040434027774609</v>
      </c>
      <c r="P102" s="3">
        <f t="shared" si="20"/>
        <v>61.453049630479519</v>
      </c>
      <c r="Q102" s="3">
        <f t="shared" si="21"/>
        <v>-2.5219269453008124</v>
      </c>
      <c r="R102" s="3">
        <f t="shared" si="22"/>
        <v>58.931122685178707</v>
      </c>
      <c r="S102" t="str">
        <f t="shared" si="23"/>
        <v>P90 empirical percentile</v>
      </c>
    </row>
    <row r="103" spans="1:19" x14ac:dyDescent="0.25">
      <c r="A103" t="s">
        <v>27</v>
      </c>
      <c r="B103" t="s">
        <v>33</v>
      </c>
      <c r="C103" t="s">
        <v>121</v>
      </c>
      <c r="D103" t="s">
        <v>89</v>
      </c>
      <c r="E103" t="s">
        <v>159</v>
      </c>
      <c r="F103" t="s">
        <v>98</v>
      </c>
      <c r="G103">
        <f>COUNTIFS('Raw Data'!$A$2:$A$7383,A103,'Raw Data'!$B$2:$B$7383,B103)</f>
        <v>6</v>
      </c>
      <c r="H103" t="str">
        <f t="shared" si="18"/>
        <v>Medium</v>
      </c>
      <c r="I103" s="3">
        <f>IFERROR(AVERAGEIFS('Raw Data'!$E$2:$E$7383,'Raw Data'!$A$2:$A$7383,A103,'Raw Data'!$B$2:$B$7383,B103),0)</f>
        <v>54.090277777777374</v>
      </c>
      <c r="J103" s="3">
        <f t="array" ref="J103">IFERROR(MEDIAN(IF(('Raw Data'!$A$2:$A$7383=A103)*('Raw Data'!$B$2:$B$7383=B103),'Raw Data'!$E$2:$E$7383)),0)</f>
        <v>54.518749999991996</v>
      </c>
      <c r="K103" s="3">
        <f t="array" ref="K103">IFERROR(STDEV(IF(('Raw Data'!$A$2:$A$7383=A103)*('Raw Data'!$B$2:$B$7383=B103),'Raw Data'!$E$2:$E$7383)),0)</f>
        <v>2.299945148299936</v>
      </c>
      <c r="L103" s="2">
        <f t="shared" si="19"/>
        <v>4.2520490609217261E-2</v>
      </c>
      <c r="M103" s="3">
        <f t="array" ref="M103">IFERROR(PERCENTILE(IF(('Raw Data'!$A$2:$A$7383=A103)*('Raw Data'!$B$2:$B$7383=B103),'Raw Data'!$E$2:$E$7383),0.75),0)</f>
        <v>54.919791666667152</v>
      </c>
      <c r="N103" s="3">
        <f t="array" ref="N103">IFERROR(PERCENTILE(IF(('Raw Data'!$A$2:$A$7383=A103)*('Raw Data'!$B$2:$B$7383=B103),'Raw Data'!$E$2:$E$7383),0.9),0)</f>
        <v>56.191666666672972</v>
      </c>
      <c r="O103" s="3">
        <f t="array" ref="O103">IFERROR(PERCENTILE(IF(('Raw Data'!$A$2:$A$7383=A103)*('Raw Data'!$B$2:$B$7383=B103),'Raw Data'!$E$2:$E$7383),0.95),0)</f>
        <v>56.7979166666737</v>
      </c>
      <c r="P103" s="3">
        <f t="shared" si="20"/>
        <v>57.037887479838574</v>
      </c>
      <c r="Q103" s="3">
        <f t="shared" si="21"/>
        <v>-0.84622081316560127</v>
      </c>
      <c r="R103" s="3">
        <f t="shared" si="22"/>
        <v>56.191666666672972</v>
      </c>
      <c r="S103" t="str">
        <f t="shared" si="23"/>
        <v>P90 empirical percentile</v>
      </c>
    </row>
    <row r="104" spans="1:19" x14ac:dyDescent="0.25">
      <c r="A104" t="s">
        <v>27</v>
      </c>
      <c r="B104" t="s">
        <v>59</v>
      </c>
      <c r="C104" t="s">
        <v>121</v>
      </c>
      <c r="D104" t="s">
        <v>89</v>
      </c>
      <c r="E104" t="s">
        <v>160</v>
      </c>
      <c r="F104" t="s">
        <v>98</v>
      </c>
      <c r="G104">
        <f>COUNTIFS('Raw Data'!$A$2:$A$7383,A104,'Raw Data'!$B$2:$B$7383,B104)</f>
        <v>5</v>
      </c>
      <c r="H104" t="str">
        <f t="shared" si="18"/>
        <v>Medium</v>
      </c>
      <c r="I104" s="3">
        <f>IFERROR(AVERAGEIFS('Raw Data'!$E$2:$E$7383,'Raw Data'!$A$2:$A$7383,A104,'Raw Data'!$B$2:$B$7383,B104),0)</f>
        <v>71.622916666665702</v>
      </c>
      <c r="J104" s="3">
        <f t="array" ref="J104">IFERROR(MEDIAN(IF(('Raw Data'!$A$2:$A$7383=A104)*('Raw Data'!$B$2:$B$7383=B104),'Raw Data'!$E$2:$E$7383)),0)</f>
        <v>74</v>
      </c>
      <c r="K104" s="3">
        <f t="array" ref="K104">IFERROR(STDEV(IF(('Raw Data'!$A$2:$A$7383=A104)*('Raw Data'!$B$2:$B$7383=B104),'Raw Data'!$E$2:$E$7383)),0)</f>
        <v>3.3072088244221827</v>
      </c>
      <c r="L104" s="2">
        <f t="shared" si="19"/>
        <v>4.6175288278387072E-2</v>
      </c>
      <c r="M104" s="3">
        <f t="array" ref="M104">IFERROR(PERCENTILE(IF(('Raw Data'!$A$2:$A$7383=A104)*('Raw Data'!$B$2:$B$7383=B104),'Raw Data'!$E$2:$E$7383),0.75),0)</f>
        <v>74</v>
      </c>
      <c r="N104" s="3">
        <f t="array" ref="N104">IFERROR(PERCENTILE(IF(('Raw Data'!$A$2:$A$7383=A104)*('Raw Data'!$B$2:$B$7383=B104),'Raw Data'!$E$2:$E$7383),0.9),0)</f>
        <v>74</v>
      </c>
      <c r="O104" s="3">
        <f t="array" ref="O104">IFERROR(PERCENTILE(IF(('Raw Data'!$A$2:$A$7383=A104)*('Raw Data'!$B$2:$B$7383=B104),'Raw Data'!$E$2:$E$7383),0.95),0)</f>
        <v>74</v>
      </c>
      <c r="P104" s="3">
        <f t="shared" si="20"/>
        <v>75.861435496045175</v>
      </c>
      <c r="Q104" s="3">
        <f t="shared" si="21"/>
        <v>-1.8614354960451749</v>
      </c>
      <c r="R104" s="3">
        <f t="shared" si="22"/>
        <v>74</v>
      </c>
      <c r="S104" t="str">
        <f t="shared" si="23"/>
        <v>P90 empirical percentile</v>
      </c>
    </row>
    <row r="105" spans="1:19" x14ac:dyDescent="0.25">
      <c r="A105" t="s">
        <v>28</v>
      </c>
      <c r="B105" t="s">
        <v>24</v>
      </c>
      <c r="C105" t="s">
        <v>128</v>
      </c>
      <c r="D105" t="s">
        <v>89</v>
      </c>
      <c r="E105" t="s">
        <v>134</v>
      </c>
      <c r="F105" t="s">
        <v>135</v>
      </c>
      <c r="G105">
        <f>COUNTIFS('Raw Data'!$A$2:$A$7383,A105,'Raw Data'!$B$2:$B$7383,B105)</f>
        <v>5</v>
      </c>
      <c r="H105" t="str">
        <f t="shared" si="18"/>
        <v>Medium</v>
      </c>
      <c r="I105" s="3">
        <f>IFERROR(AVERAGEIFS('Raw Data'!$E$2:$E$7383,'Raw Data'!$A$2:$A$7383,A105,'Raw Data'!$B$2:$B$7383,B105),0)</f>
        <v>73.763333333330223</v>
      </c>
      <c r="J105" s="3">
        <f t="array" ref="J105">IFERROR(MEDIAN(IF(('Raw Data'!$A$2:$A$7383=A105)*('Raw Data'!$B$2:$B$7383=B105),'Raw Data'!$E$2:$E$7383)),0)</f>
        <v>74.636111111103673</v>
      </c>
      <c r="K105" s="3">
        <f t="array" ref="K105">IFERROR(STDEV(IF(('Raw Data'!$A$2:$A$7383=A105)*('Raw Data'!$B$2:$B$7383=B105),'Raw Data'!$E$2:$E$7383)),0)</f>
        <v>3.9709950513170988</v>
      </c>
      <c r="L105" s="2">
        <f t="shared" si="19"/>
        <v>5.3834267946820002E-2</v>
      </c>
      <c r="M105" s="3">
        <f t="array" ref="M105">IFERROR(PERCENTILE(IF(('Raw Data'!$A$2:$A$7383=A105)*('Raw Data'!$B$2:$B$7383=B105),'Raw Data'!$E$2:$E$7383),0.75),0)</f>
        <v>77.468055555560568</v>
      </c>
      <c r="N105" s="3">
        <f t="array" ref="N105">IFERROR(PERCENTILE(IF(('Raw Data'!$A$2:$A$7383=A105)*('Raw Data'!$B$2:$B$7383=B105),'Raw Data'!$E$2:$E$7383),0.9),0)</f>
        <v>77.468055555560568</v>
      </c>
      <c r="O105" s="3">
        <f t="array" ref="O105">IFERROR(PERCENTILE(IF(('Raw Data'!$A$2:$A$7383=A105)*('Raw Data'!$B$2:$B$7383=B105),'Raw Data'!$E$2:$E$7383),0.95),0)</f>
        <v>77.468055555560568</v>
      </c>
      <c r="P105" s="3">
        <f t="shared" si="20"/>
        <v>78.852560591098211</v>
      </c>
      <c r="Q105" s="3">
        <f t="shared" si="21"/>
        <v>-1.3845050355376429</v>
      </c>
      <c r="R105" s="3">
        <f t="shared" si="22"/>
        <v>77.468055555560568</v>
      </c>
      <c r="S105" t="str">
        <f t="shared" si="23"/>
        <v>P90 empirical percentile</v>
      </c>
    </row>
    <row r="106" spans="1:19" x14ac:dyDescent="0.25">
      <c r="A106" t="s">
        <v>15</v>
      </c>
      <c r="B106" t="s">
        <v>43</v>
      </c>
      <c r="C106" t="s">
        <v>99</v>
      </c>
      <c r="D106" t="s">
        <v>100</v>
      </c>
      <c r="E106" t="s">
        <v>138</v>
      </c>
      <c r="F106" t="s">
        <v>139</v>
      </c>
      <c r="G106">
        <f>COUNTIFS('Raw Data'!$A$2:$A$7383,A106,'Raw Data'!$B$2:$B$7383,B106)</f>
        <v>5</v>
      </c>
      <c r="H106" t="str">
        <f t="shared" si="18"/>
        <v>Medium</v>
      </c>
      <c r="I106" s="3">
        <f>IFERROR(AVERAGEIFS('Raw Data'!$E$2:$E$7383,'Raw Data'!$A$2:$A$7383,A106,'Raw Data'!$B$2:$B$7383,B106),0)</f>
        <v>42.867916666665408</v>
      </c>
      <c r="J106" s="3">
        <f t="array" ref="J106">IFERROR(MEDIAN(IF(('Raw Data'!$A$2:$A$7383=A106)*('Raw Data'!$B$2:$B$7383=B106),'Raw Data'!$E$2:$E$7383)),0)</f>
        <v>44.199305555557657</v>
      </c>
      <c r="K106" s="3">
        <f t="array" ref="K106">IFERROR(STDEV(IF(('Raw Data'!$A$2:$A$7383=A106)*('Raw Data'!$B$2:$B$7383=B106),'Raw Data'!$E$2:$E$7383)),0)</f>
        <v>1.8242663918569062</v>
      </c>
      <c r="L106" s="2">
        <f t="shared" si="19"/>
        <v>4.2555517825653442E-2</v>
      </c>
      <c r="M106" s="3">
        <f t="array" ref="M106">IFERROR(PERCENTILE(IF(('Raw Data'!$A$2:$A$7383=A106)*('Raw Data'!$B$2:$B$7383=B106),'Raw Data'!$E$2:$E$7383),0.75),0)</f>
        <v>44.199305555557657</v>
      </c>
      <c r="N106" s="3">
        <f t="array" ref="N106">IFERROR(PERCENTILE(IF(('Raw Data'!$A$2:$A$7383=A106)*('Raw Data'!$B$2:$B$7383=B106),'Raw Data'!$E$2:$E$7383),0.9),0)</f>
        <v>44.199305555557657</v>
      </c>
      <c r="O106" s="3">
        <f t="array" ref="O106">IFERROR(PERCENTILE(IF(('Raw Data'!$A$2:$A$7383=A106)*('Raw Data'!$B$2:$B$7383=B106),'Raw Data'!$E$2:$E$7383),0.95),0)</f>
        <v>44.199305555557657</v>
      </c>
      <c r="P106" s="3">
        <f t="shared" si="20"/>
        <v>45.20589647446922</v>
      </c>
      <c r="Q106" s="3">
        <f t="shared" si="21"/>
        <v>-1.0065909189115629</v>
      </c>
      <c r="R106" s="3">
        <f t="shared" si="22"/>
        <v>44.199305555557657</v>
      </c>
      <c r="S106" t="str">
        <f t="shared" si="23"/>
        <v>P90 empirical percentile</v>
      </c>
    </row>
    <row r="107" spans="1:19" x14ac:dyDescent="0.25">
      <c r="A107" t="s">
        <v>10</v>
      </c>
      <c r="B107" t="s">
        <v>25</v>
      </c>
      <c r="C107" t="s">
        <v>111</v>
      </c>
      <c r="D107" t="s">
        <v>112</v>
      </c>
      <c r="E107" t="s">
        <v>142</v>
      </c>
      <c r="F107" t="s">
        <v>107</v>
      </c>
      <c r="G107">
        <f>COUNTIFS('Raw Data'!$A$2:$A$7383,A107,'Raw Data'!$B$2:$B$7383,B107)</f>
        <v>4</v>
      </c>
      <c r="H107" t="str">
        <f t="shared" si="18"/>
        <v>Low</v>
      </c>
      <c r="I107" s="3">
        <f>IFERROR(AVERAGEIFS('Raw Data'!$E$2:$E$7383,'Raw Data'!$A$2:$A$7383,A107,'Raw Data'!$B$2:$B$7383,B107),0)</f>
        <v>28.924375000002328</v>
      </c>
      <c r="J107" s="3">
        <f t="array" ref="J107">IFERROR(MEDIAN(IF(('Raw Data'!$A$2:$A$7383=A107)*('Raw Data'!$B$2:$B$7383=B107),'Raw Data'!$E$2:$E$7383)),0)</f>
        <v>28.924375000002328</v>
      </c>
      <c r="K107" s="3">
        <f t="array" ref="K107">IFERROR(STDEV(IF(('Raw Data'!$A$2:$A$7383=A107)*('Raw Data'!$B$2:$B$7383=B107),'Raw Data'!$E$2:$E$7383)),0)</f>
        <v>2.4712997147405118</v>
      </c>
      <c r="L107" s="2">
        <f t="shared" si="19"/>
        <v>8.5440038539823696E-2</v>
      </c>
      <c r="M107" s="3">
        <f t="array" ref="M107">IFERROR(PERCENTILE(IF(('Raw Data'!$A$2:$A$7383=A107)*('Raw Data'!$B$2:$B$7383=B107),'Raw Data'!$E$2:$E$7383),0.75),0)</f>
        <v>31.064583333332848</v>
      </c>
      <c r="N107" s="3">
        <f t="array" ref="N107">IFERROR(PERCENTILE(IF(('Raw Data'!$A$2:$A$7383=A107)*('Raw Data'!$B$2:$B$7383=B107),'Raw Data'!$E$2:$E$7383),0.9),0)</f>
        <v>31.064583333332848</v>
      </c>
      <c r="O107" s="3">
        <f t="array" ref="O107">IFERROR(PERCENTILE(IF(('Raw Data'!$A$2:$A$7383=A107)*('Raw Data'!$B$2:$B$7383=B107),'Raw Data'!$E$2:$E$7383),0.95),0)</f>
        <v>31.064583333332848</v>
      </c>
      <c r="P107" s="3">
        <f t="shared" si="20"/>
        <v>32.091592714413771</v>
      </c>
      <c r="Q107" s="3">
        <f t="shared" si="21"/>
        <v>-1.0270093810809229</v>
      </c>
      <c r="R107" s="3">
        <f t="shared" si="22"/>
        <v>31.395674714742839</v>
      </c>
      <c r="S107" t="str">
        <f t="shared" si="23"/>
        <v>Median + 1 Std Dev (fallback, n&lt;5)</v>
      </c>
    </row>
    <row r="108" spans="1:19" x14ac:dyDescent="0.25">
      <c r="A108" t="s">
        <v>8</v>
      </c>
      <c r="B108" t="s">
        <v>16</v>
      </c>
      <c r="C108" t="s">
        <v>86</v>
      </c>
      <c r="D108" t="s">
        <v>87</v>
      </c>
      <c r="E108" t="s">
        <v>123</v>
      </c>
      <c r="F108" t="s">
        <v>85</v>
      </c>
      <c r="G108">
        <f>COUNTIFS('Raw Data'!$A$2:$A$7383,A108,'Raw Data'!$B$2:$B$7383,B108)</f>
        <v>4</v>
      </c>
      <c r="H108" t="str">
        <f t="shared" si="18"/>
        <v>Low</v>
      </c>
      <c r="I108" s="3">
        <f>IFERROR(AVERAGEIFS('Raw Data'!$E$2:$E$7383,'Raw Data'!$A$2:$A$7383,A108,'Raw Data'!$B$2:$B$7383,B108),0)</f>
        <v>41.575694444436522</v>
      </c>
      <c r="J108" s="3">
        <f t="array" ref="J108">IFERROR(MEDIAN(IF(('Raw Data'!$A$2:$A$7383=A108)*('Raw Data'!$B$2:$B$7383=B108),'Raw Data'!$E$2:$E$7383)),0)</f>
        <v>41.575694444436522</v>
      </c>
      <c r="K108" s="3">
        <f t="array" ref="K108">IFERROR(STDEV(IF(('Raw Data'!$A$2:$A$7383=A108)*('Raw Data'!$B$2:$B$7383=B108),'Raw Data'!$E$2:$E$7383)),0)</f>
        <v>0</v>
      </c>
      <c r="L108" s="2">
        <f t="shared" si="19"/>
        <v>0</v>
      </c>
      <c r="M108" s="3">
        <f t="array" ref="M108">IFERROR(PERCENTILE(IF(('Raw Data'!$A$2:$A$7383=A108)*('Raw Data'!$B$2:$B$7383=B108),'Raw Data'!$E$2:$E$7383),0.75),0)</f>
        <v>41.575694444436522</v>
      </c>
      <c r="N108" s="3">
        <f t="array" ref="N108">IFERROR(PERCENTILE(IF(('Raw Data'!$A$2:$A$7383=A108)*('Raw Data'!$B$2:$B$7383=B108),'Raw Data'!$E$2:$E$7383),0.9),0)</f>
        <v>41.575694444436522</v>
      </c>
      <c r="O108" s="3">
        <f t="array" ref="O108">IFERROR(PERCENTILE(IF(('Raw Data'!$A$2:$A$7383=A108)*('Raw Data'!$B$2:$B$7383=B108),'Raw Data'!$E$2:$E$7383),0.95),0)</f>
        <v>41.575694444436522</v>
      </c>
      <c r="P108" s="3">
        <f t="shared" si="20"/>
        <v>41.575694444436522</v>
      </c>
      <c r="Q108" s="3">
        <f t="shared" si="21"/>
        <v>0</v>
      </c>
      <c r="R108" s="3">
        <f t="shared" si="22"/>
        <v>41.575694444436522</v>
      </c>
      <c r="S108" t="str">
        <f t="shared" si="23"/>
        <v>Median + 1 Std Dev (fallback, n&lt;5)</v>
      </c>
    </row>
    <row r="109" spans="1:19" x14ac:dyDescent="0.25">
      <c r="A109" t="s">
        <v>57</v>
      </c>
      <c r="B109" t="s">
        <v>8</v>
      </c>
      <c r="C109" t="s">
        <v>161</v>
      </c>
      <c r="D109" t="s">
        <v>105</v>
      </c>
      <c r="E109" t="s">
        <v>86</v>
      </c>
      <c r="F109" t="s">
        <v>87</v>
      </c>
      <c r="G109">
        <f>COUNTIFS('Raw Data'!$A$2:$A$7383,A109,'Raw Data'!$B$2:$B$7383,B109)</f>
        <v>4</v>
      </c>
      <c r="H109" t="str">
        <f t="shared" si="18"/>
        <v>Low</v>
      </c>
      <c r="I109" s="3">
        <f>IFERROR(AVERAGEIFS('Raw Data'!$E$2:$E$7383,'Raw Data'!$A$2:$A$7383,A109,'Raw Data'!$B$2:$B$7383,B109),0)</f>
        <v>32.290107060191076</v>
      </c>
      <c r="J109" s="3">
        <f t="array" ref="J109">IFERROR(MEDIAN(IF(('Raw Data'!$A$2:$A$7383=A109)*('Raw Data'!$B$2:$B$7383=B109),'Raw Data'!$E$2:$E$7383)),0)</f>
        <v>32.572916666667879</v>
      </c>
      <c r="K109" s="3">
        <f t="array" ref="K109">IFERROR(STDEV(IF(('Raw Data'!$A$2:$A$7383=A109)*('Raw Data'!$B$2:$B$7383=B109),'Raw Data'!$E$2:$E$7383)),0)</f>
        <v>1.0876911248204806</v>
      </c>
      <c r="L109" s="2">
        <f t="shared" si="19"/>
        <v>3.3684964958243906E-2</v>
      </c>
      <c r="M109" s="3">
        <f t="array" ref="M109">IFERROR(PERCENTILE(IF(('Raw Data'!$A$2:$A$7383=A109)*('Raw Data'!$B$2:$B$7383=B109),'Raw Data'!$E$2:$E$7383),0.75),0)</f>
        <v>32.766319444448527</v>
      </c>
      <c r="N109" s="3">
        <f t="array" ref="N109">IFERROR(PERCENTILE(IF(('Raw Data'!$A$2:$A$7383=A109)*('Raw Data'!$B$2:$B$7383=B109),'Raw Data'!$E$2:$E$7383),0.9),0)</f>
        <v>33.073194444456746</v>
      </c>
      <c r="O109" s="3">
        <f t="array" ref="O109">IFERROR(PERCENTILE(IF(('Raw Data'!$A$2:$A$7383=A109)*('Raw Data'!$B$2:$B$7383=B109),'Raw Data'!$E$2:$E$7383),0.95),0)</f>
        <v>33.175486111126155</v>
      </c>
      <c r="P109" s="3">
        <f t="shared" si="20"/>
        <v>33.684092005761002</v>
      </c>
      <c r="Q109" s="3">
        <f t="shared" si="21"/>
        <v>-0.61089756130425599</v>
      </c>
      <c r="R109" s="3">
        <f t="shared" si="22"/>
        <v>33.66060779148836</v>
      </c>
      <c r="S109" t="str">
        <f t="shared" si="23"/>
        <v>Median + 1 Std Dev (fallback, n&lt;5)</v>
      </c>
    </row>
    <row r="110" spans="1:19" x14ac:dyDescent="0.25">
      <c r="A110" t="s">
        <v>23</v>
      </c>
      <c r="B110" t="s">
        <v>46</v>
      </c>
      <c r="C110" t="s">
        <v>118</v>
      </c>
      <c r="D110" t="s">
        <v>119</v>
      </c>
      <c r="E110" t="s">
        <v>133</v>
      </c>
      <c r="F110" t="s">
        <v>117</v>
      </c>
      <c r="G110">
        <f>COUNTIFS('Raw Data'!$A$2:$A$7383,A110,'Raw Data'!$B$2:$B$7383,B110)</f>
        <v>4</v>
      </c>
      <c r="H110" t="str">
        <f t="shared" si="18"/>
        <v>Low</v>
      </c>
      <c r="I110" s="3">
        <f>IFERROR(AVERAGEIFS('Raw Data'!$E$2:$E$7383,'Raw Data'!$A$2:$A$7383,A110,'Raw Data'!$B$2:$B$7383,B110),0)</f>
        <v>52.455555555556202</v>
      </c>
      <c r="J110" s="3">
        <f t="array" ref="J110">IFERROR(MEDIAN(IF(('Raw Data'!$A$2:$A$7383=A110)*('Raw Data'!$B$2:$B$7383=B110),'Raw Data'!$E$2:$E$7383)),0)</f>
        <v>52.192013888892689</v>
      </c>
      <c r="K110" s="3">
        <f t="array" ref="K110">IFERROR(STDEV(IF(('Raw Data'!$A$2:$A$7383=A110)*('Raw Data'!$B$2:$B$7383=B110),'Raw Data'!$E$2:$E$7383)),0)</f>
        <v>3.9535585643171074</v>
      </c>
      <c r="L110" s="2">
        <f t="shared" si="19"/>
        <v>7.5369682437732524E-2</v>
      </c>
      <c r="M110" s="3">
        <f t="array" ref="M110">IFERROR(PERCENTILE(IF(('Raw Data'!$A$2:$A$7383=A110)*('Raw Data'!$B$2:$B$7383=B110),'Raw Data'!$E$2:$E$7383),0.75),0)</f>
        <v>55.210243055560568</v>
      </c>
      <c r="N110" s="3">
        <f t="array" ref="N110">IFERROR(PERCENTILE(IF(('Raw Data'!$A$2:$A$7383=A110)*('Raw Data'!$B$2:$B$7383=B110),'Raw Data'!$E$2:$E$7383),0.9),0)</f>
        <v>56.206180555552422</v>
      </c>
      <c r="O110" s="3">
        <f t="array" ref="O110">IFERROR(PERCENTILE(IF(('Raw Data'!$A$2:$A$7383=A110)*('Raw Data'!$B$2:$B$7383=B110),'Raw Data'!$E$2:$E$7383),0.95),0)</f>
        <v>56.538159722216371</v>
      </c>
      <c r="P110" s="3">
        <f t="shared" si="20"/>
        <v>57.52243621158501</v>
      </c>
      <c r="Q110" s="3">
        <f t="shared" si="21"/>
        <v>-1.3162556560325882</v>
      </c>
      <c r="R110" s="3">
        <f t="shared" si="22"/>
        <v>56.145572453209795</v>
      </c>
      <c r="S110" t="str">
        <f t="shared" si="23"/>
        <v>Median + 1 Std Dev (fallback, n&lt;5)</v>
      </c>
    </row>
    <row r="111" spans="1:19" x14ac:dyDescent="0.25">
      <c r="A111" t="s">
        <v>35</v>
      </c>
      <c r="B111" t="s">
        <v>51</v>
      </c>
      <c r="C111" t="s">
        <v>132</v>
      </c>
      <c r="D111" t="s">
        <v>100</v>
      </c>
      <c r="E111" t="s">
        <v>109</v>
      </c>
      <c r="F111" t="s">
        <v>110</v>
      </c>
      <c r="G111">
        <f>COUNTIFS('Raw Data'!$A$2:$A$7383,A111,'Raw Data'!$B$2:$B$7383,B111)</f>
        <v>4</v>
      </c>
      <c r="H111" t="str">
        <f t="shared" si="18"/>
        <v>Low</v>
      </c>
      <c r="I111" s="3">
        <f>IFERROR(AVERAGEIFS('Raw Data'!$E$2:$E$7383,'Raw Data'!$A$2:$A$7383,A111,'Raw Data'!$B$2:$B$7383,B111),0)</f>
        <v>43.599105902781957</v>
      </c>
      <c r="J111" s="3">
        <f t="array" ref="J111">IFERROR(MEDIAN(IF(('Raw Data'!$A$2:$A$7383=A111)*('Raw Data'!$B$2:$B$7383=B111),'Raw Data'!$E$2:$E$7383)),0)</f>
        <v>43.146527777782467</v>
      </c>
      <c r="K111" s="3">
        <f t="array" ref="K111">IFERROR(STDEV(IF(('Raw Data'!$A$2:$A$7383=A111)*('Raw Data'!$B$2:$B$7383=B111),'Raw Data'!$E$2:$E$7383)),0)</f>
        <v>0.91468712214334957</v>
      </c>
      <c r="L111" s="2">
        <f t="shared" si="19"/>
        <v>2.0979492657095648E-2</v>
      </c>
      <c r="M111" s="3">
        <f t="array" ref="M111">IFERROR(PERCENTILE(IF(('Raw Data'!$A$2:$A$7383=A111)*('Raw Data'!$B$2:$B$7383=B111),'Raw Data'!$E$2:$E$7383),0.75),0)</f>
        <v>43.602670717596993</v>
      </c>
      <c r="N111" s="3">
        <f t="array" ref="N111">IFERROR(PERCENTILE(IF(('Raw Data'!$A$2:$A$7383=A111)*('Raw Data'!$B$2:$B$7383=B111),'Raw Data'!$E$2:$E$7383),0.9),0)</f>
        <v>44.423728009263144</v>
      </c>
      <c r="O111" s="3">
        <f t="array" ref="O111">IFERROR(PERCENTILE(IF(('Raw Data'!$A$2:$A$7383=A111)*('Raw Data'!$B$2:$B$7383=B111),'Raw Data'!$E$2:$E$7383),0.95),0)</f>
        <v>44.697413773151858</v>
      </c>
      <c r="P111" s="3">
        <f t="shared" si="20"/>
        <v>44.771368918520878</v>
      </c>
      <c r="Q111" s="3">
        <f t="shared" si="21"/>
        <v>-0.34764090925773417</v>
      </c>
      <c r="R111" s="3">
        <f t="shared" si="22"/>
        <v>44.061214899925815</v>
      </c>
      <c r="S111" t="str">
        <f t="shared" si="23"/>
        <v>Median + 1 Std Dev (fallback, n&lt;5)</v>
      </c>
    </row>
    <row r="112" spans="1:19" x14ac:dyDescent="0.25">
      <c r="A112" t="s">
        <v>11</v>
      </c>
      <c r="B112" t="s">
        <v>16</v>
      </c>
      <c r="C112" t="s">
        <v>106</v>
      </c>
      <c r="D112" t="s">
        <v>107</v>
      </c>
      <c r="E112" t="s">
        <v>123</v>
      </c>
      <c r="F112" t="s">
        <v>85</v>
      </c>
      <c r="G112">
        <f>COUNTIFS('Raw Data'!$A$2:$A$7383,A112,'Raw Data'!$B$2:$B$7383,B112)</f>
        <v>4</v>
      </c>
      <c r="H112" t="str">
        <f t="shared" si="18"/>
        <v>Low</v>
      </c>
      <c r="I112" s="3">
        <f>IFERROR(AVERAGEIFS('Raw Data'!$E$2:$E$7383,'Raw Data'!$A$2:$A$7383,A112,'Raw Data'!$B$2:$B$7383,B112),0)</f>
        <v>95.864062500002547</v>
      </c>
      <c r="J112" s="3">
        <f t="array" ref="J112">IFERROR(MEDIAN(IF(('Raw Data'!$A$2:$A$7383=A112)*('Raw Data'!$B$2:$B$7383=B112),'Raw Data'!$E$2:$E$7383)),0)</f>
        <v>95.861458333336486</v>
      </c>
      <c r="K112" s="3">
        <f t="array" ref="K112">IFERROR(STDEV(IF(('Raw Data'!$A$2:$A$7383=A112)*('Raw Data'!$B$2:$B$7383=B112),'Raw Data'!$E$2:$E$7383)),0)</f>
        <v>23.143126024947211</v>
      </c>
      <c r="L112" s="2">
        <f t="shared" si="19"/>
        <v>0.24141607836561899</v>
      </c>
      <c r="M112" s="3">
        <f t="array" ref="M112">IFERROR(PERCENTILE(IF(('Raw Data'!$A$2:$A$7383=A112)*('Raw Data'!$B$2:$B$7383=B112),'Raw Data'!$E$2:$E$7383),0.75),0)</f>
        <v>115.90399305556093</v>
      </c>
      <c r="N112" s="3">
        <f t="array" ref="N112">IFERROR(PERCENTILE(IF(('Raw Data'!$A$2:$A$7383=A112)*('Raw Data'!$B$2:$B$7383=B112),'Raw Data'!$E$2:$E$7383),0.9),0)</f>
        <v>115.90868055555984</v>
      </c>
      <c r="O112" s="3">
        <f t="array" ref="O112">IFERROR(PERCENTILE(IF(('Raw Data'!$A$2:$A$7383=A112)*('Raw Data'!$B$2:$B$7383=B112),'Raw Data'!$E$2:$E$7383),0.95),0)</f>
        <v>115.91024305555948</v>
      </c>
      <c r="P112" s="3">
        <f t="shared" si="20"/>
        <v>125.5242928135749</v>
      </c>
      <c r="Q112" s="3">
        <f t="shared" si="21"/>
        <v>-9.6156122580150623</v>
      </c>
      <c r="R112" s="3">
        <f t="shared" si="22"/>
        <v>119.00458435828369</v>
      </c>
      <c r="S112" t="str">
        <f t="shared" si="23"/>
        <v>Median + 1 Std Dev (fallback, n&lt;5)</v>
      </c>
    </row>
    <row r="113" spans="1:19" x14ac:dyDescent="0.25">
      <c r="A113" t="s">
        <v>5</v>
      </c>
      <c r="B113" t="s">
        <v>25</v>
      </c>
      <c r="C113" t="s">
        <v>84</v>
      </c>
      <c r="D113" t="s">
        <v>85</v>
      </c>
      <c r="E113" t="s">
        <v>142</v>
      </c>
      <c r="F113" t="s">
        <v>107</v>
      </c>
      <c r="G113">
        <f>COUNTIFS('Raw Data'!$A$2:$A$7383,A113,'Raw Data'!$B$2:$B$7383,B113)</f>
        <v>3</v>
      </c>
      <c r="H113" t="str">
        <f t="shared" si="18"/>
        <v>Low</v>
      </c>
      <c r="I113" s="3">
        <f>IFERROR(AVERAGEIFS('Raw Data'!$E$2:$E$7383,'Raw Data'!$A$2:$A$7383,A113,'Raw Data'!$B$2:$B$7383,B113),0)</f>
        <v>65.016412037046393</v>
      </c>
      <c r="J113" s="3">
        <f t="array" ref="J113">IFERROR(MEDIAN(IF(('Raw Data'!$A$2:$A$7383=A113)*('Raw Data'!$B$2:$B$7383=B113),'Raw Data'!$E$2:$E$7383)),0)</f>
        <v>65.016412037046393</v>
      </c>
      <c r="K113" s="3">
        <f t="array" ref="K113">IFERROR(STDEV(IF(('Raw Data'!$A$2:$A$7383=A113)*('Raw Data'!$B$2:$B$7383=B113),'Raw Data'!$E$2:$E$7383)),0)</f>
        <v>0</v>
      </c>
      <c r="L113" s="2">
        <f t="shared" si="19"/>
        <v>0</v>
      </c>
      <c r="M113" s="3">
        <f t="array" ref="M113">IFERROR(PERCENTILE(IF(('Raw Data'!$A$2:$A$7383=A113)*('Raw Data'!$B$2:$B$7383=B113),'Raw Data'!$E$2:$E$7383),0.75),0)</f>
        <v>65.016412037046393</v>
      </c>
      <c r="N113" s="3">
        <f t="array" ref="N113">IFERROR(PERCENTILE(IF(('Raw Data'!$A$2:$A$7383=A113)*('Raw Data'!$B$2:$B$7383=B113),'Raw Data'!$E$2:$E$7383),0.9),0)</f>
        <v>65.016412037046393</v>
      </c>
      <c r="O113" s="3">
        <f t="array" ref="O113">IFERROR(PERCENTILE(IF(('Raw Data'!$A$2:$A$7383=A113)*('Raw Data'!$B$2:$B$7383=B113),'Raw Data'!$E$2:$E$7383),0.95),0)</f>
        <v>65.016412037046393</v>
      </c>
      <c r="P113" s="3">
        <f t="shared" si="20"/>
        <v>65.016412037046393</v>
      </c>
      <c r="Q113" s="3">
        <f t="shared" si="21"/>
        <v>0</v>
      </c>
      <c r="R113" s="3">
        <f t="shared" si="22"/>
        <v>65.016412037046393</v>
      </c>
      <c r="S113" t="str">
        <f t="shared" si="23"/>
        <v>Median + 1 Std Dev (fallback, n&lt;5)</v>
      </c>
    </row>
    <row r="114" spans="1:19" x14ac:dyDescent="0.25">
      <c r="A114" t="s">
        <v>7</v>
      </c>
      <c r="B114" t="s">
        <v>66</v>
      </c>
      <c r="C114" t="s">
        <v>92</v>
      </c>
      <c r="D114" t="s">
        <v>85</v>
      </c>
      <c r="E114" t="s">
        <v>162</v>
      </c>
      <c r="F114" t="s">
        <v>98</v>
      </c>
      <c r="G114">
        <f>COUNTIFS('Raw Data'!$A$2:$A$7383,A114,'Raw Data'!$B$2:$B$7383,B114)</f>
        <v>3</v>
      </c>
      <c r="H114" t="str">
        <f t="shared" si="18"/>
        <v>Low</v>
      </c>
      <c r="I114" s="3">
        <f>IFERROR(AVERAGEIFS('Raw Data'!$E$2:$E$7383,'Raw Data'!$A$2:$A$7383,A114,'Raw Data'!$B$2:$B$7383,B114),0)</f>
        <v>40.169444444443798</v>
      </c>
      <c r="J114" s="3">
        <f t="array" ref="J114">IFERROR(MEDIAN(IF(('Raw Data'!$A$2:$A$7383=A114)*('Raw Data'!$B$2:$B$7383=B114),'Raw Data'!$E$2:$E$7383)),0)</f>
        <v>38.128472222218988</v>
      </c>
      <c r="K114" s="3">
        <f t="array" ref="K114">IFERROR(STDEV(IF(('Raw Data'!$A$2:$A$7383=A114)*('Raw Data'!$B$2:$B$7383=B114),'Raw Data'!$E$2:$E$7383)),0)</f>
        <v>3.8891011226818302</v>
      </c>
      <c r="L114" s="2">
        <f t="shared" si="19"/>
        <v>9.6817398808207E-2</v>
      </c>
      <c r="M114" s="3">
        <f t="array" ref="M114">IFERROR(PERCENTILE(IF(('Raw Data'!$A$2:$A$7383=A114)*('Raw Data'!$B$2:$B$7383=B114),'Raw Data'!$E$2:$E$7383),0.75),0)</f>
        <v>41.39131944444307</v>
      </c>
      <c r="N114" s="3">
        <f t="array" ref="N114">IFERROR(PERCENTILE(IF(('Raw Data'!$A$2:$A$7383=A114)*('Raw Data'!$B$2:$B$7383=B114),'Raw Data'!$E$2:$E$7383),0.9),0)</f>
        <v>43.349027777777515</v>
      </c>
      <c r="O114" s="3">
        <f t="array" ref="O114">IFERROR(PERCENTILE(IF(('Raw Data'!$A$2:$A$7383=A114)*('Raw Data'!$B$2:$B$7383=B114),'Raw Data'!$E$2:$E$7383),0.95),0)</f>
        <v>44.001597222222337</v>
      </c>
      <c r="P114" s="3">
        <f t="shared" si="20"/>
        <v>45.153716443272835</v>
      </c>
      <c r="Q114" s="3">
        <f t="shared" si="21"/>
        <v>-1.8046886654953198</v>
      </c>
      <c r="R114" s="3">
        <f t="shared" si="22"/>
        <v>42.017573344900818</v>
      </c>
      <c r="S114" t="str">
        <f t="shared" si="23"/>
        <v>Median + 1 Std Dev (fallback, n&lt;5)</v>
      </c>
    </row>
    <row r="115" spans="1:19" x14ac:dyDescent="0.25">
      <c r="A115" t="s">
        <v>7</v>
      </c>
      <c r="B115" t="s">
        <v>19</v>
      </c>
      <c r="C115" t="s">
        <v>92</v>
      </c>
      <c r="D115" t="s">
        <v>85</v>
      </c>
      <c r="E115" t="s">
        <v>90</v>
      </c>
      <c r="F115" t="s">
        <v>91</v>
      </c>
      <c r="G115">
        <f>COUNTIFS('Raw Data'!$A$2:$A$7383,A115,'Raw Data'!$B$2:$B$7383,B115)</f>
        <v>3</v>
      </c>
      <c r="H115" t="str">
        <f t="shared" si="18"/>
        <v>Low</v>
      </c>
      <c r="I115" s="3">
        <f>IFERROR(AVERAGEIFS('Raw Data'!$E$2:$E$7383,'Raw Data'!$A$2:$A$7383,A115,'Raw Data'!$B$2:$B$7383,B115),0)</f>
        <v>44.669212962961559</v>
      </c>
      <c r="J115" s="3">
        <f t="array" ref="J115">IFERROR(MEDIAN(IF(('Raw Data'!$A$2:$A$7383=A115)*('Raw Data'!$B$2:$B$7383=B115),'Raw Data'!$E$2:$E$7383)),0)</f>
        <v>41.382638888884685</v>
      </c>
      <c r="K115" s="3">
        <f t="array" ref="K115">IFERROR(STDEV(IF(('Raw Data'!$A$2:$A$7383=A115)*('Raw Data'!$B$2:$B$7383=B115),'Raw Data'!$E$2:$E$7383)),0)</f>
        <v>6.0269256763540504</v>
      </c>
      <c r="L115" s="2">
        <f t="shared" si="19"/>
        <v>0.13492348032528367</v>
      </c>
      <c r="M115" s="3">
        <f t="array" ref="M115">IFERROR(PERCENTILE(IF(('Raw Data'!$A$2:$A$7383=A115)*('Raw Data'!$B$2:$B$7383=B115),'Raw Data'!$E$2:$E$7383),0.75),0)</f>
        <v>46.503819444442343</v>
      </c>
      <c r="N115" s="3">
        <f t="array" ref="N115">IFERROR(PERCENTILE(IF(('Raw Data'!$A$2:$A$7383=A115)*('Raw Data'!$B$2:$B$7383=B115),'Raw Data'!$E$2:$E$7383),0.9),0)</f>
        <v>49.576527777776931</v>
      </c>
      <c r="O115" s="3">
        <f t="array" ref="O115">IFERROR(PERCENTILE(IF(('Raw Data'!$A$2:$A$7383=A115)*('Raw Data'!$B$2:$B$7383=B115),'Raw Data'!$E$2:$E$7383),0.95),0)</f>
        <v>50.600763888888466</v>
      </c>
      <c r="P115" s="3">
        <f t="shared" si="20"/>
        <v>52.393320909776911</v>
      </c>
      <c r="Q115" s="3">
        <f t="shared" si="21"/>
        <v>-2.8167931319999795</v>
      </c>
      <c r="R115" s="3">
        <f t="shared" si="22"/>
        <v>47.409564565238739</v>
      </c>
      <c r="S115" t="str">
        <f t="shared" si="23"/>
        <v>Median + 1 Std Dev (fallback, n&lt;5)</v>
      </c>
    </row>
    <row r="116" spans="1:19" x14ac:dyDescent="0.25">
      <c r="A116" t="s">
        <v>11</v>
      </c>
      <c r="B116" t="s">
        <v>64</v>
      </c>
      <c r="C116" t="s">
        <v>106</v>
      </c>
      <c r="D116" t="s">
        <v>107</v>
      </c>
      <c r="E116" t="s">
        <v>163</v>
      </c>
      <c r="F116" t="s">
        <v>105</v>
      </c>
      <c r="G116">
        <f>COUNTIFS('Raw Data'!$A$2:$A$7383,A116,'Raw Data'!$B$2:$B$7383,B116)</f>
        <v>3</v>
      </c>
      <c r="H116" t="str">
        <f t="shared" si="18"/>
        <v>Low</v>
      </c>
      <c r="I116" s="3">
        <f>IFERROR(AVERAGEIFS('Raw Data'!$E$2:$E$7383,'Raw Data'!$A$2:$A$7383,A116,'Raw Data'!$B$2:$B$7383,B116),0)</f>
        <v>14.298618827167957</v>
      </c>
      <c r="J116" s="3">
        <f t="array" ref="J116">IFERROR(MEDIAN(IF(('Raw Data'!$A$2:$A$7383=A116)*('Raw Data'!$B$2:$B$7383=B116),'Raw Data'!$E$2:$E$7383)),0)</f>
        <v>14.295844907413993</v>
      </c>
      <c r="K116" s="3">
        <f t="array" ref="K116">IFERROR(STDEV(IF(('Raw Data'!$A$2:$A$7383=A116)*('Raw Data'!$B$2:$B$7383=B116),'Raw Data'!$E$2:$E$7383)),0)</f>
        <v>4.8045699499830964E-3</v>
      </c>
      <c r="L116" s="2">
        <f t="shared" si="19"/>
        <v>3.3601636689931325E-4</v>
      </c>
      <c r="M116" s="3">
        <f t="array" ref="M116">IFERROR(PERCENTILE(IF(('Raw Data'!$A$2:$A$7383=A116)*('Raw Data'!$B$2:$B$7383=B116),'Raw Data'!$E$2:$E$7383),0.75),0)</f>
        <v>14.300005787044938</v>
      </c>
      <c r="N116" s="3">
        <f t="array" ref="N116">IFERROR(PERCENTILE(IF(('Raw Data'!$A$2:$A$7383=A116)*('Raw Data'!$B$2:$B$7383=B116),'Raw Data'!$E$2:$E$7383),0.9),0)</f>
        <v>14.302502314823505</v>
      </c>
      <c r="O116" s="3">
        <f t="array" ref="O116">IFERROR(PERCENTILE(IF(('Raw Data'!$A$2:$A$7383=A116)*('Raw Data'!$B$2:$B$7383=B116),'Raw Data'!$E$2:$E$7383),0.95),0)</f>
        <v>14.303334490749695</v>
      </c>
      <c r="P116" s="3">
        <f t="shared" si="20"/>
        <v>14.304776364015854</v>
      </c>
      <c r="Q116" s="3">
        <f t="shared" si="21"/>
        <v>-2.2740491923496364E-3</v>
      </c>
      <c r="R116" s="3">
        <f t="shared" si="22"/>
        <v>14.300649477363976</v>
      </c>
      <c r="S116" t="str">
        <f t="shared" si="23"/>
        <v>Median + 1 Std Dev (fallback, n&lt;5)</v>
      </c>
    </row>
    <row r="117" spans="1:19" x14ac:dyDescent="0.25">
      <c r="A117" t="s">
        <v>42</v>
      </c>
      <c r="B117" t="s">
        <v>18</v>
      </c>
      <c r="C117" t="s">
        <v>131</v>
      </c>
      <c r="D117" t="s">
        <v>100</v>
      </c>
      <c r="E117" t="s">
        <v>97</v>
      </c>
      <c r="F117" t="s">
        <v>98</v>
      </c>
      <c r="G117">
        <f>COUNTIFS('Raw Data'!$A$2:$A$7383,A117,'Raw Data'!$B$2:$B$7383,B117)</f>
        <v>3</v>
      </c>
      <c r="H117" t="str">
        <f t="shared" si="18"/>
        <v>Low</v>
      </c>
      <c r="I117" s="3">
        <f>IFERROR(AVERAGEIFS('Raw Data'!$E$2:$E$7383,'Raw Data'!$A$2:$A$7383,A117,'Raw Data'!$B$2:$B$7383,B117),0)</f>
        <v>48.62037037037468</v>
      </c>
      <c r="J117" s="3">
        <f t="array" ref="J117">IFERROR(MEDIAN(IF(('Raw Data'!$A$2:$A$7383=A117)*('Raw Data'!$B$2:$B$7383=B117),'Raw Data'!$E$2:$E$7383)),0)</f>
        <v>48.71875</v>
      </c>
      <c r="K117" s="3">
        <f t="array" ref="K117">IFERROR(STDEV(IF(('Raw Data'!$A$2:$A$7383=A117)*('Raw Data'!$B$2:$B$7383=B117),'Raw Data'!$E$2:$E$7383)),0)</f>
        <v>0.170398516940859</v>
      </c>
      <c r="L117" s="2">
        <f t="shared" si="19"/>
        <v>3.5046733630948661E-3</v>
      </c>
      <c r="M117" s="3">
        <f t="array" ref="M117">IFERROR(PERCENTILE(IF(('Raw Data'!$A$2:$A$7383=A117)*('Raw Data'!$B$2:$B$7383=B117),'Raw Data'!$E$2:$E$7383),0.75),0)</f>
        <v>48.71875</v>
      </c>
      <c r="N117" s="3">
        <f t="array" ref="N117">IFERROR(PERCENTILE(IF(('Raw Data'!$A$2:$A$7383=A117)*('Raw Data'!$B$2:$B$7383=B117),'Raw Data'!$E$2:$E$7383),0.9),0)</f>
        <v>48.71875</v>
      </c>
      <c r="O117" s="3">
        <f t="array" ref="O117">IFERROR(PERCENTILE(IF(('Raw Data'!$A$2:$A$7383=A117)*('Raw Data'!$B$2:$B$7383=B117),'Raw Data'!$E$2:$E$7383),0.95),0)</f>
        <v>48.71875</v>
      </c>
      <c r="P117" s="3">
        <f t="shared" si="20"/>
        <v>48.838753109686081</v>
      </c>
      <c r="Q117" s="3">
        <f t="shared" si="21"/>
        <v>-0.12000310968608119</v>
      </c>
      <c r="R117" s="3">
        <f t="shared" si="22"/>
        <v>48.889148516940857</v>
      </c>
      <c r="S117" t="str">
        <f t="shared" si="23"/>
        <v>Median + 1 Std Dev (fallback, n&lt;5)</v>
      </c>
    </row>
    <row r="118" spans="1:19" x14ac:dyDescent="0.25">
      <c r="A118" t="s">
        <v>11</v>
      </c>
      <c r="B118" t="s">
        <v>13</v>
      </c>
      <c r="C118" t="s">
        <v>106</v>
      </c>
      <c r="D118" t="s">
        <v>107</v>
      </c>
      <c r="E118" t="s">
        <v>95</v>
      </c>
      <c r="F118" t="s">
        <v>96</v>
      </c>
      <c r="G118">
        <f>COUNTIFS('Raw Data'!$A$2:$A$7383,A118,'Raw Data'!$B$2:$B$7383,B118)</f>
        <v>2</v>
      </c>
      <c r="H118" t="str">
        <f t="shared" si="18"/>
        <v>Low</v>
      </c>
      <c r="I118" s="3">
        <f>IFERROR(AVERAGEIFS('Raw Data'!$E$2:$E$7383,'Raw Data'!$A$2:$A$7383,A118,'Raw Data'!$B$2:$B$7383,B118),0)</f>
        <v>35.54346064814672</v>
      </c>
      <c r="J118" s="3">
        <f t="array" ref="J118">IFERROR(MEDIAN(IF(('Raw Data'!$A$2:$A$7383=A118)*('Raw Data'!$B$2:$B$7383=B118),'Raw Data'!$E$2:$E$7383)),0)</f>
        <v>35.54346064814672</v>
      </c>
      <c r="K118" s="3">
        <f t="array" ref="K118">IFERROR(STDEV(IF(('Raw Data'!$A$2:$A$7383=A118)*('Raw Data'!$B$2:$B$7383=B118),'Raw Data'!$E$2:$E$7383)),0)</f>
        <v>10.450858175592467</v>
      </c>
      <c r="L118" s="2">
        <f t="shared" si="19"/>
        <v>0.29403040629746297</v>
      </c>
      <c r="M118" s="3">
        <f t="array" ref="M118">IFERROR(PERCENTILE(IF(('Raw Data'!$A$2:$A$7383=A118)*('Raw Data'!$B$2:$B$7383=B118),'Raw Data'!$E$2:$E$7383),0.75),0)</f>
        <v>39.238396990736874</v>
      </c>
      <c r="N118" s="3">
        <f t="array" ref="N118">IFERROR(PERCENTILE(IF(('Raw Data'!$A$2:$A$7383=A118)*('Raw Data'!$B$2:$B$7383=B118),'Raw Data'!$E$2:$E$7383),0.9),0)</f>
        <v>41.455358796290966</v>
      </c>
      <c r="O118" s="3">
        <f t="array" ref="O118">IFERROR(PERCENTILE(IF(('Raw Data'!$A$2:$A$7383=A118)*('Raw Data'!$B$2:$B$7383=B118),'Raw Data'!$E$2:$E$7383),0.95),0)</f>
        <v>42.194346064808997</v>
      </c>
      <c r="P118" s="3">
        <f t="shared" si="20"/>
        <v>48.937280485986022</v>
      </c>
      <c r="Q118" s="3">
        <f t="shared" si="21"/>
        <v>-7.4819216896950564</v>
      </c>
      <c r="R118" s="3">
        <f t="shared" si="22"/>
        <v>45.994318823739185</v>
      </c>
      <c r="S118" t="str">
        <f t="shared" si="23"/>
        <v>Median + 1 Std Dev (fallback, n&lt;5)</v>
      </c>
    </row>
    <row r="119" spans="1:19" x14ac:dyDescent="0.25">
      <c r="A119" t="s">
        <v>15</v>
      </c>
      <c r="B119" t="s">
        <v>55</v>
      </c>
      <c r="C119" t="s">
        <v>99</v>
      </c>
      <c r="D119" t="s">
        <v>100</v>
      </c>
      <c r="E119" t="s">
        <v>141</v>
      </c>
      <c r="F119" t="s">
        <v>139</v>
      </c>
      <c r="G119">
        <f>COUNTIFS('Raw Data'!$A$2:$A$7383,A119,'Raw Data'!$B$2:$B$7383,B119)</f>
        <v>2</v>
      </c>
      <c r="H119" t="str">
        <f t="shared" si="18"/>
        <v>Low</v>
      </c>
      <c r="I119" s="3">
        <f>IFERROR(AVERAGEIFS('Raw Data'!$E$2:$E$7383,'Raw Data'!$A$2:$A$7383,A119,'Raw Data'!$B$2:$B$7383,B119),0)</f>
        <v>48.804513888891961</v>
      </c>
      <c r="J119" s="3">
        <f t="array" ref="J119">IFERROR(MEDIAN(IF(('Raw Data'!$A$2:$A$7383=A119)*('Raw Data'!$B$2:$B$7383=B119),'Raw Data'!$E$2:$E$7383)),0)</f>
        <v>48.804513888891961</v>
      </c>
      <c r="K119" s="3">
        <f t="array" ref="K119">IFERROR(STDEV(IF(('Raw Data'!$A$2:$A$7383=A119)*('Raw Data'!$B$2:$B$7383=B119),'Raw Data'!$E$2:$E$7383)),0)</f>
        <v>0.81366384471725883</v>
      </c>
      <c r="L119" s="2">
        <f t="shared" si="19"/>
        <v>1.6671897328383204E-2</v>
      </c>
      <c r="M119" s="3">
        <f t="array" ref="M119">IFERROR(PERCENTILE(IF(('Raw Data'!$A$2:$A$7383=A119)*('Raw Data'!$B$2:$B$7383=B119),'Raw Data'!$E$2:$E$7383),0.75),0)</f>
        <v>49.092187499994907</v>
      </c>
      <c r="N119" s="3">
        <f t="array" ref="N119">IFERROR(PERCENTILE(IF(('Raw Data'!$A$2:$A$7383=A119)*('Raw Data'!$B$2:$B$7383=B119),'Raw Data'!$E$2:$E$7383),0.9),0)</f>
        <v>49.264791666656677</v>
      </c>
      <c r="O119" s="3">
        <f t="array" ref="O119">IFERROR(PERCENTILE(IF(('Raw Data'!$A$2:$A$7383=A119)*('Raw Data'!$B$2:$B$7383=B119),'Raw Data'!$E$2:$E$7383),0.95),0)</f>
        <v>49.322326388877265</v>
      </c>
      <c r="P119" s="3">
        <f t="shared" si="20"/>
        <v>49.847305472281597</v>
      </c>
      <c r="Q119" s="3">
        <f t="shared" si="21"/>
        <v>-0.58251380562492017</v>
      </c>
      <c r="R119" s="3">
        <f t="shared" si="22"/>
        <v>49.618177733609222</v>
      </c>
      <c r="S119" t="str">
        <f t="shared" si="23"/>
        <v>Median + 1 Std Dev (fallback, n&lt;5)</v>
      </c>
    </row>
    <row r="120" spans="1:19" x14ac:dyDescent="0.25">
      <c r="A120" t="s">
        <v>30</v>
      </c>
      <c r="B120" t="s">
        <v>31</v>
      </c>
      <c r="C120" t="s">
        <v>143</v>
      </c>
      <c r="D120" t="s">
        <v>135</v>
      </c>
      <c r="E120" t="s">
        <v>164</v>
      </c>
      <c r="F120" t="s">
        <v>115</v>
      </c>
      <c r="G120">
        <f>COUNTIFS('Raw Data'!$A$2:$A$7383,A120,'Raw Data'!$B$2:$B$7383,B120)</f>
        <v>2</v>
      </c>
      <c r="H120" t="str">
        <f t="shared" si="18"/>
        <v>Low</v>
      </c>
      <c r="I120" s="3">
        <f>IFERROR(AVERAGEIFS('Raw Data'!$E$2:$E$7383,'Raw Data'!$A$2:$A$7383,A120,'Raw Data'!$B$2:$B$7383,B120),0)</f>
        <v>18.783339120363962</v>
      </c>
      <c r="J120" s="3">
        <f t="array" ref="J120">IFERROR(MEDIAN(IF(('Raw Data'!$A$2:$A$7383=A120)*('Raw Data'!$B$2:$B$7383=B120),'Raw Data'!$E$2:$E$7383)),0)</f>
        <v>18.783339120363962</v>
      </c>
      <c r="K120" s="3">
        <f t="array" ref="K120">IFERROR(STDEV(IF(('Raw Data'!$A$2:$A$7383=A120)*('Raw Data'!$B$2:$B$7383=B120),'Raw Data'!$E$2:$E$7383)),0)</f>
        <v>0.73657774782701424</v>
      </c>
      <c r="L120" s="2">
        <f t="shared" si="19"/>
        <v>3.9214419923263445E-2</v>
      </c>
      <c r="M120" s="3">
        <f t="array" ref="M120">IFERROR(PERCENTILE(IF(('Raw Data'!$A$2:$A$7383=A120)*('Raw Data'!$B$2:$B$7383=B120),'Raw Data'!$E$2:$E$7383),0.75),0)</f>
        <v>19.04375868054376</v>
      </c>
      <c r="N120" s="3">
        <f t="array" ref="N120">IFERROR(PERCENTILE(IF(('Raw Data'!$A$2:$A$7383=A120)*('Raw Data'!$B$2:$B$7383=B120),'Raw Data'!$E$2:$E$7383),0.9),0)</f>
        <v>19.20001041665164</v>
      </c>
      <c r="O120" s="3">
        <f t="array" ref="O120">IFERROR(PERCENTILE(IF(('Raw Data'!$A$2:$A$7383=A120)*('Raw Data'!$B$2:$B$7383=B120),'Raw Data'!$E$2:$E$7383),0.95),0)</f>
        <v>19.252094328687598</v>
      </c>
      <c r="P120" s="3">
        <f t="shared" si="20"/>
        <v>19.727337161979065</v>
      </c>
      <c r="Q120" s="3">
        <f t="shared" si="21"/>
        <v>-0.52732674532742507</v>
      </c>
      <c r="R120" s="3">
        <f t="shared" si="22"/>
        <v>19.519916868190975</v>
      </c>
      <c r="S120" t="str">
        <f t="shared" si="23"/>
        <v>Median + 1 Std Dev (fallback, n&lt;5)</v>
      </c>
    </row>
    <row r="121" spans="1:19" x14ac:dyDescent="0.25">
      <c r="A121" t="s">
        <v>18</v>
      </c>
      <c r="B121" t="s">
        <v>8</v>
      </c>
      <c r="C121" t="s">
        <v>97</v>
      </c>
      <c r="D121" t="s">
        <v>98</v>
      </c>
      <c r="E121" t="s">
        <v>86</v>
      </c>
      <c r="F121" t="s">
        <v>87</v>
      </c>
      <c r="G121">
        <f>COUNTIFS('Raw Data'!$A$2:$A$7383,A121,'Raw Data'!$B$2:$B$7383,B121)</f>
        <v>2</v>
      </c>
      <c r="H121" t="str">
        <f t="shared" si="18"/>
        <v>Low</v>
      </c>
      <c r="I121" s="3">
        <f>IFERROR(AVERAGEIFS('Raw Data'!$E$2:$E$7383,'Raw Data'!$A$2:$A$7383,A121,'Raw Data'!$B$2:$B$7383,B121),0)</f>
        <v>28.95208333334449</v>
      </c>
      <c r="J121" s="3">
        <f t="array" ref="J121">IFERROR(MEDIAN(IF(('Raw Data'!$A$2:$A$7383=A121)*('Raw Data'!$B$2:$B$7383=B121),'Raw Data'!$E$2:$E$7383)),0)</f>
        <v>28.95208333334449</v>
      </c>
      <c r="K121" s="3">
        <f t="array" ref="K121">IFERROR(STDEV(IF(('Raw Data'!$A$2:$A$7383=A121)*('Raw Data'!$B$2:$B$7383=B121),'Raw Data'!$E$2:$E$7383)),0)</f>
        <v>0</v>
      </c>
      <c r="L121" s="2">
        <f t="shared" si="19"/>
        <v>0</v>
      </c>
      <c r="M121" s="3">
        <f t="array" ref="M121">IFERROR(PERCENTILE(IF(('Raw Data'!$A$2:$A$7383=A121)*('Raw Data'!$B$2:$B$7383=B121),'Raw Data'!$E$2:$E$7383),0.75),0)</f>
        <v>28.95208333334449</v>
      </c>
      <c r="N121" s="3">
        <f t="array" ref="N121">IFERROR(PERCENTILE(IF(('Raw Data'!$A$2:$A$7383=A121)*('Raw Data'!$B$2:$B$7383=B121),'Raw Data'!$E$2:$E$7383),0.9),0)</f>
        <v>28.95208333334449</v>
      </c>
      <c r="O121" s="3">
        <f t="array" ref="O121">IFERROR(PERCENTILE(IF(('Raw Data'!$A$2:$A$7383=A121)*('Raw Data'!$B$2:$B$7383=B121),'Raw Data'!$E$2:$E$7383),0.95),0)</f>
        <v>28.95208333334449</v>
      </c>
      <c r="P121" s="3">
        <f t="shared" si="20"/>
        <v>28.95208333334449</v>
      </c>
      <c r="Q121" s="3">
        <f t="shared" si="21"/>
        <v>0</v>
      </c>
      <c r="R121" s="3">
        <f t="shared" si="22"/>
        <v>28.95208333334449</v>
      </c>
      <c r="S121" t="str">
        <f t="shared" si="23"/>
        <v>Median + 1 Std Dev (fallback, n&lt;5)</v>
      </c>
    </row>
    <row r="122" spans="1:19" x14ac:dyDescent="0.25">
      <c r="A122" t="s">
        <v>41</v>
      </c>
      <c r="B122" t="s">
        <v>11</v>
      </c>
      <c r="C122" t="s">
        <v>113</v>
      </c>
      <c r="D122" t="s">
        <v>85</v>
      </c>
      <c r="E122" t="s">
        <v>106</v>
      </c>
      <c r="F122" t="s">
        <v>107</v>
      </c>
      <c r="G122">
        <f>COUNTIFS('Raw Data'!$A$2:$A$7383,A122,'Raw Data'!$B$2:$B$7383,B122)</f>
        <v>2</v>
      </c>
      <c r="H122" t="str">
        <f t="shared" si="18"/>
        <v>Low</v>
      </c>
      <c r="I122" s="3">
        <f>IFERROR(AVERAGEIFS('Raw Data'!$E$2:$E$7383,'Raw Data'!$A$2:$A$7383,A122,'Raw Data'!$B$2:$B$7383,B122),0)</f>
        <v>75.133333333345945</v>
      </c>
      <c r="J122" s="3">
        <f t="array" ref="J122">IFERROR(MEDIAN(IF(('Raw Data'!$A$2:$A$7383=A122)*('Raw Data'!$B$2:$B$7383=B122),'Raw Data'!$E$2:$E$7383)),0)</f>
        <v>75.133333333345945</v>
      </c>
      <c r="K122" s="3">
        <f t="array" ref="K122">IFERROR(STDEV(IF(('Raw Data'!$A$2:$A$7383=A122)*('Raw Data'!$B$2:$B$7383=B122),'Raw Data'!$E$2:$E$7383)),0)</f>
        <v>0</v>
      </c>
      <c r="L122" s="2">
        <f t="shared" si="19"/>
        <v>0</v>
      </c>
      <c r="M122" s="3">
        <f t="array" ref="M122">IFERROR(PERCENTILE(IF(('Raw Data'!$A$2:$A$7383=A122)*('Raw Data'!$B$2:$B$7383=B122),'Raw Data'!$E$2:$E$7383),0.75),0)</f>
        <v>75.133333333345945</v>
      </c>
      <c r="N122" s="3">
        <f t="array" ref="N122">IFERROR(PERCENTILE(IF(('Raw Data'!$A$2:$A$7383=A122)*('Raw Data'!$B$2:$B$7383=B122),'Raw Data'!$E$2:$E$7383),0.9),0)</f>
        <v>75.133333333345945</v>
      </c>
      <c r="O122" s="3">
        <f t="array" ref="O122">IFERROR(PERCENTILE(IF(('Raw Data'!$A$2:$A$7383=A122)*('Raw Data'!$B$2:$B$7383=B122),'Raw Data'!$E$2:$E$7383),0.95),0)</f>
        <v>75.133333333345945</v>
      </c>
      <c r="P122" s="3">
        <f t="shared" si="20"/>
        <v>75.133333333345945</v>
      </c>
      <c r="Q122" s="3">
        <f t="shared" si="21"/>
        <v>0</v>
      </c>
      <c r="R122" s="3">
        <f t="shared" si="22"/>
        <v>75.133333333345945</v>
      </c>
      <c r="S122" t="str">
        <f t="shared" si="23"/>
        <v>Median + 1 Std Dev (fallback, n&lt;5)</v>
      </c>
    </row>
    <row r="123" spans="1:19" x14ac:dyDescent="0.25">
      <c r="A123" t="s">
        <v>42</v>
      </c>
      <c r="B123" t="s">
        <v>13</v>
      </c>
      <c r="C123" t="s">
        <v>131</v>
      </c>
      <c r="D123" t="s">
        <v>100</v>
      </c>
      <c r="E123" t="s">
        <v>95</v>
      </c>
      <c r="F123" t="s">
        <v>96</v>
      </c>
      <c r="G123">
        <f>COUNTIFS('Raw Data'!$A$2:$A$7383,A123,'Raw Data'!$B$2:$B$7383,B123)</f>
        <v>2</v>
      </c>
      <c r="H123" t="str">
        <f t="shared" si="18"/>
        <v>Low</v>
      </c>
      <c r="I123" s="3">
        <f>IFERROR(AVERAGEIFS('Raw Data'!$E$2:$E$7383,'Raw Data'!$A$2:$A$7383,A123,'Raw Data'!$B$2:$B$7383,B123),0)</f>
        <v>48.415972222217533</v>
      </c>
      <c r="J123" s="3">
        <f t="array" ref="J123">IFERROR(MEDIAN(IF(('Raw Data'!$A$2:$A$7383=A123)*('Raw Data'!$B$2:$B$7383=B123),'Raw Data'!$E$2:$E$7383)),0)</f>
        <v>48.415972222217533</v>
      </c>
      <c r="K123" s="3">
        <f t="array" ref="K123">IFERROR(STDEV(IF(('Raw Data'!$A$2:$A$7383=A123)*('Raw Data'!$B$2:$B$7383=B123),'Raw Data'!$E$2:$E$7383)),0)</f>
        <v>0</v>
      </c>
      <c r="L123" s="2">
        <f t="shared" si="19"/>
        <v>0</v>
      </c>
      <c r="M123" s="3">
        <f t="array" ref="M123">IFERROR(PERCENTILE(IF(('Raw Data'!$A$2:$A$7383=A123)*('Raw Data'!$B$2:$B$7383=B123),'Raw Data'!$E$2:$E$7383),0.75),0)</f>
        <v>48.415972222217533</v>
      </c>
      <c r="N123" s="3">
        <f t="array" ref="N123">IFERROR(PERCENTILE(IF(('Raw Data'!$A$2:$A$7383=A123)*('Raw Data'!$B$2:$B$7383=B123),'Raw Data'!$E$2:$E$7383),0.9),0)</f>
        <v>48.415972222217533</v>
      </c>
      <c r="O123" s="3">
        <f t="array" ref="O123">IFERROR(PERCENTILE(IF(('Raw Data'!$A$2:$A$7383=A123)*('Raw Data'!$B$2:$B$7383=B123),'Raw Data'!$E$2:$E$7383),0.95),0)</f>
        <v>48.415972222217533</v>
      </c>
      <c r="P123" s="3">
        <f t="shared" si="20"/>
        <v>48.415972222217533</v>
      </c>
      <c r="Q123" s="3">
        <f t="shared" si="21"/>
        <v>0</v>
      </c>
      <c r="R123" s="3">
        <f t="shared" si="22"/>
        <v>48.415972222217533</v>
      </c>
      <c r="S123" t="str">
        <f t="shared" si="23"/>
        <v>Median + 1 Std Dev (fallback, n&lt;5)</v>
      </c>
    </row>
    <row r="124" spans="1:19" x14ac:dyDescent="0.25">
      <c r="A124" t="s">
        <v>25</v>
      </c>
      <c r="B124" t="s">
        <v>7</v>
      </c>
      <c r="C124" t="s">
        <v>142</v>
      </c>
      <c r="D124" t="s">
        <v>107</v>
      </c>
      <c r="E124" t="s">
        <v>92</v>
      </c>
      <c r="F124" t="s">
        <v>85</v>
      </c>
      <c r="G124">
        <f>COUNTIFS('Raw Data'!$A$2:$A$7383,A124,'Raw Data'!$B$2:$B$7383,B124)</f>
        <v>2</v>
      </c>
      <c r="H124" t="str">
        <f t="shared" si="18"/>
        <v>Low</v>
      </c>
      <c r="I124" s="3">
        <f>IFERROR(AVERAGEIFS('Raw Data'!$E$2:$E$7383,'Raw Data'!$A$2:$A$7383,A124,'Raw Data'!$B$2:$B$7383,B124),0)</f>
        <v>49.779513888890506</v>
      </c>
      <c r="J124" s="3">
        <f t="array" ref="J124">IFERROR(MEDIAN(IF(('Raw Data'!$A$2:$A$7383=A124)*('Raw Data'!$B$2:$B$7383=B124),'Raw Data'!$E$2:$E$7383)),0)</f>
        <v>49.779513888890506</v>
      </c>
      <c r="K124" s="3">
        <f t="array" ref="K124">IFERROR(STDEV(IF(('Raw Data'!$A$2:$A$7383=A124)*('Raw Data'!$B$2:$B$7383=B124),'Raw Data'!$E$2:$E$7383)),0)</f>
        <v>6.3836028859405487E-3</v>
      </c>
      <c r="L124" s="2">
        <f t="shared" si="19"/>
        <v>1.2823754969140433E-4</v>
      </c>
      <c r="M124" s="3">
        <f t="array" ref="M124">IFERROR(PERCENTILE(IF(('Raw Data'!$A$2:$A$7383=A124)*('Raw Data'!$B$2:$B$7383=B124),'Raw Data'!$E$2:$E$7383),0.75),0)</f>
        <v>49.781770833335031</v>
      </c>
      <c r="N124" s="3">
        <f t="array" ref="N124">IFERROR(PERCENTILE(IF(('Raw Data'!$A$2:$A$7383=A124)*('Raw Data'!$B$2:$B$7383=B124),'Raw Data'!$E$2:$E$7383),0.9),0)</f>
        <v>49.783125000001746</v>
      </c>
      <c r="O124" s="3">
        <f t="array" ref="O124">IFERROR(PERCENTILE(IF(('Raw Data'!$A$2:$A$7383=A124)*('Raw Data'!$B$2:$B$7383=B124),'Raw Data'!$E$2:$E$7383),0.95),0)</f>
        <v>49.783576388890651</v>
      </c>
      <c r="P124" s="3">
        <f t="shared" si="20"/>
        <v>49.787695114349127</v>
      </c>
      <c r="Q124" s="3">
        <f t="shared" si="21"/>
        <v>-4.5701143473806383E-3</v>
      </c>
      <c r="R124" s="3">
        <f t="shared" si="22"/>
        <v>49.785897491776446</v>
      </c>
      <c r="S124" t="str">
        <f t="shared" si="23"/>
        <v>Median + 1 Std Dev (fallback, n&lt;5)</v>
      </c>
    </row>
    <row r="125" spans="1:19" x14ac:dyDescent="0.25">
      <c r="A125" t="s">
        <v>42</v>
      </c>
      <c r="B125" t="s">
        <v>8</v>
      </c>
      <c r="C125" t="s">
        <v>131</v>
      </c>
      <c r="D125" t="s">
        <v>100</v>
      </c>
      <c r="E125" t="s">
        <v>86</v>
      </c>
      <c r="F125" t="s">
        <v>87</v>
      </c>
      <c r="G125">
        <f>COUNTIFS('Raw Data'!$A$2:$A$7383,A125,'Raw Data'!$B$2:$B$7383,B125)</f>
        <v>2</v>
      </c>
      <c r="H125" t="str">
        <f t="shared" si="18"/>
        <v>Low</v>
      </c>
      <c r="I125" s="3">
        <f>IFERROR(AVERAGEIFS('Raw Data'!$E$2:$E$7383,'Raw Data'!$A$2:$A$7383,A125,'Raw Data'!$B$2:$B$7383,B125),0)</f>
        <v>39.768055555552564</v>
      </c>
      <c r="J125" s="3">
        <f t="array" ref="J125">IFERROR(MEDIAN(IF(('Raw Data'!$A$2:$A$7383=A125)*('Raw Data'!$B$2:$B$7383=B125),'Raw Data'!$E$2:$E$7383)),0)</f>
        <v>39.768055555552564</v>
      </c>
      <c r="K125" s="3">
        <f t="array" ref="K125">IFERROR(STDEV(IF(('Raw Data'!$A$2:$A$7383=A125)*('Raw Data'!$B$2:$B$7383=B125),'Raw Data'!$E$2:$E$7383)),0)</f>
        <v>1.5900081649200275</v>
      </c>
      <c r="L125" s="2">
        <f t="shared" si="19"/>
        <v>3.9982044450197533E-2</v>
      </c>
      <c r="M125" s="3">
        <f t="array" ref="M125">IFERROR(PERCENTILE(IF(('Raw Data'!$A$2:$A$7383=A125)*('Raw Data'!$B$2:$B$7383=B125),'Raw Data'!$E$2:$E$7383),0.75),0)</f>
        <v>40.330208333331029</v>
      </c>
      <c r="N125" s="3">
        <f t="array" ref="N125">IFERROR(PERCENTILE(IF(('Raw Data'!$A$2:$A$7383=A125)*('Raw Data'!$B$2:$B$7383=B125),'Raw Data'!$E$2:$E$7383),0.9),0)</f>
        <v>40.667499999998107</v>
      </c>
      <c r="O125" s="3">
        <f t="array" ref="O125">IFERROR(PERCENTILE(IF(('Raw Data'!$A$2:$A$7383=A125)*('Raw Data'!$B$2:$B$7383=B125),'Raw Data'!$E$2:$E$7383),0.95),0)</f>
        <v>40.779930555553804</v>
      </c>
      <c r="P125" s="3">
        <f t="shared" si="20"/>
        <v>41.805810019714073</v>
      </c>
      <c r="Q125" s="3">
        <f t="shared" si="21"/>
        <v>-1.1383100197159663</v>
      </c>
      <c r="R125" s="3">
        <f t="shared" si="22"/>
        <v>41.358063720472593</v>
      </c>
      <c r="S125" t="str">
        <f t="shared" si="23"/>
        <v>Median + 1 Std Dev (fallback, n&lt;5)</v>
      </c>
    </row>
    <row r="126" spans="1:19" x14ac:dyDescent="0.25">
      <c r="A126" t="s">
        <v>8</v>
      </c>
      <c r="B126" t="s">
        <v>34</v>
      </c>
      <c r="C126" t="s">
        <v>86</v>
      </c>
      <c r="D126" t="s">
        <v>87</v>
      </c>
      <c r="E126" t="s">
        <v>104</v>
      </c>
      <c r="F126" t="s">
        <v>105</v>
      </c>
      <c r="G126">
        <f>COUNTIFS('Raw Data'!$A$2:$A$7383,A126,'Raw Data'!$B$2:$B$7383,B126)</f>
        <v>1</v>
      </c>
      <c r="H126" t="str">
        <f t="shared" si="18"/>
        <v>Low</v>
      </c>
      <c r="I126" s="3">
        <f>IFERROR(AVERAGEIFS('Raw Data'!$E$2:$E$7383,'Raw Data'!$A$2:$A$7383,A126,'Raw Data'!$B$2:$B$7383,B126),0)</f>
        <v>19.781944444439432</v>
      </c>
      <c r="J126" s="3">
        <f t="array" ref="J126">IFERROR(MEDIAN(IF(('Raw Data'!$A$2:$A$7383=A126)*('Raw Data'!$B$2:$B$7383=B126),'Raw Data'!$E$2:$E$7383)),0)</f>
        <v>19.781944444439432</v>
      </c>
      <c r="K126" s="3">
        <f t="array" ref="K126">IFERROR(STDEV(IF(('Raw Data'!$A$2:$A$7383=A126)*('Raw Data'!$B$2:$B$7383=B126),'Raw Data'!$E$2:$E$7383)),0)</f>
        <v>0</v>
      </c>
      <c r="L126" s="2">
        <f t="shared" si="19"/>
        <v>0</v>
      </c>
      <c r="M126" s="3">
        <f t="array" ref="M126">IFERROR(PERCENTILE(IF(('Raw Data'!$A$2:$A$7383=A126)*('Raw Data'!$B$2:$B$7383=B126),'Raw Data'!$E$2:$E$7383),0.75),0)</f>
        <v>19.781944444439432</v>
      </c>
      <c r="N126" s="3">
        <f t="array" ref="N126">IFERROR(PERCENTILE(IF(('Raw Data'!$A$2:$A$7383=A126)*('Raw Data'!$B$2:$B$7383=B126),'Raw Data'!$E$2:$E$7383),0.9),0)</f>
        <v>19.781944444439432</v>
      </c>
      <c r="O126" s="3">
        <f t="array" ref="O126">IFERROR(PERCENTILE(IF(('Raw Data'!$A$2:$A$7383=A126)*('Raw Data'!$B$2:$B$7383=B126),'Raw Data'!$E$2:$E$7383),0.95),0)</f>
        <v>19.781944444439432</v>
      </c>
      <c r="P126" s="3">
        <f t="shared" si="20"/>
        <v>19.781944444439432</v>
      </c>
      <c r="Q126" s="3">
        <f t="shared" si="21"/>
        <v>0</v>
      </c>
      <c r="R126" s="3">
        <f t="shared" si="22"/>
        <v>19.781944444439432</v>
      </c>
      <c r="S126" t="str">
        <f t="shared" si="23"/>
        <v>Median + 1 Std Dev (fallback, n&lt;5)</v>
      </c>
    </row>
    <row r="127" spans="1:19" x14ac:dyDescent="0.25">
      <c r="A127" t="s">
        <v>7</v>
      </c>
      <c r="B127" t="s">
        <v>49</v>
      </c>
      <c r="C127" t="s">
        <v>92</v>
      </c>
      <c r="D127" t="s">
        <v>85</v>
      </c>
      <c r="E127" t="s">
        <v>165</v>
      </c>
      <c r="F127" t="s">
        <v>91</v>
      </c>
      <c r="G127">
        <f>COUNTIFS('Raw Data'!$A$2:$A$7383,A127,'Raw Data'!$B$2:$B$7383,B127)</f>
        <v>1</v>
      </c>
      <c r="H127" t="str">
        <f t="shared" si="18"/>
        <v>Low</v>
      </c>
      <c r="I127" s="3">
        <f>IFERROR(AVERAGEIFS('Raw Data'!$E$2:$E$7383,'Raw Data'!$A$2:$A$7383,A127,'Raw Data'!$B$2:$B$7383,B127),0)</f>
        <v>65.286805555559113</v>
      </c>
      <c r="J127" s="3">
        <f t="array" ref="J127">IFERROR(MEDIAN(IF(('Raw Data'!$A$2:$A$7383=A127)*('Raw Data'!$B$2:$B$7383=B127),'Raw Data'!$E$2:$E$7383)),0)</f>
        <v>65.286805555559113</v>
      </c>
      <c r="K127" s="3">
        <f t="array" ref="K127">IFERROR(STDEV(IF(('Raw Data'!$A$2:$A$7383=A127)*('Raw Data'!$B$2:$B$7383=B127),'Raw Data'!$E$2:$E$7383)),0)</f>
        <v>0</v>
      </c>
      <c r="L127" s="2">
        <f t="shared" si="19"/>
        <v>0</v>
      </c>
      <c r="M127" s="3">
        <f t="array" ref="M127">IFERROR(PERCENTILE(IF(('Raw Data'!$A$2:$A$7383=A127)*('Raw Data'!$B$2:$B$7383=B127),'Raw Data'!$E$2:$E$7383),0.75),0)</f>
        <v>65.286805555559113</v>
      </c>
      <c r="N127" s="3">
        <f t="array" ref="N127">IFERROR(PERCENTILE(IF(('Raw Data'!$A$2:$A$7383=A127)*('Raw Data'!$B$2:$B$7383=B127),'Raw Data'!$E$2:$E$7383),0.9),0)</f>
        <v>65.286805555559113</v>
      </c>
      <c r="O127" s="3">
        <f t="array" ref="O127">IFERROR(PERCENTILE(IF(('Raw Data'!$A$2:$A$7383=A127)*('Raw Data'!$B$2:$B$7383=B127),'Raw Data'!$E$2:$E$7383),0.95),0)</f>
        <v>65.286805555559113</v>
      </c>
      <c r="P127" s="3">
        <f t="shared" si="20"/>
        <v>65.286805555559113</v>
      </c>
      <c r="Q127" s="3">
        <f t="shared" si="21"/>
        <v>0</v>
      </c>
      <c r="R127" s="3">
        <f t="shared" si="22"/>
        <v>65.286805555559113</v>
      </c>
      <c r="S127" t="str">
        <f t="shared" si="23"/>
        <v>Median + 1 Std Dev (fallback, n&lt;5)</v>
      </c>
    </row>
    <row r="128" spans="1:19" x14ac:dyDescent="0.25">
      <c r="A128" t="s">
        <v>42</v>
      </c>
      <c r="B128" t="s">
        <v>63</v>
      </c>
      <c r="C128" t="s">
        <v>131</v>
      </c>
      <c r="D128" t="s">
        <v>100</v>
      </c>
      <c r="E128" t="s">
        <v>166</v>
      </c>
      <c r="F128" t="s">
        <v>96</v>
      </c>
      <c r="G128">
        <f>COUNTIFS('Raw Data'!$A$2:$A$7383,A128,'Raw Data'!$B$2:$B$7383,B128)</f>
        <v>1</v>
      </c>
      <c r="H128" t="str">
        <f t="shared" si="18"/>
        <v>Low</v>
      </c>
      <c r="I128" s="3">
        <f>IFERROR(AVERAGEIFS('Raw Data'!$E$2:$E$7383,'Raw Data'!$A$2:$A$7383,A128,'Raw Data'!$B$2:$B$7383,B128),0)</f>
        <v>39.616666666675883</v>
      </c>
      <c r="J128" s="3">
        <f t="array" ref="J128">IFERROR(MEDIAN(IF(('Raw Data'!$A$2:$A$7383=A128)*('Raw Data'!$B$2:$B$7383=B128),'Raw Data'!$E$2:$E$7383)),0)</f>
        <v>39.616666666675883</v>
      </c>
      <c r="K128" s="3">
        <f t="array" ref="K128">IFERROR(STDEV(IF(('Raw Data'!$A$2:$A$7383=A128)*('Raw Data'!$B$2:$B$7383=B128),'Raw Data'!$E$2:$E$7383)),0)</f>
        <v>0</v>
      </c>
      <c r="L128" s="2">
        <f t="shared" si="19"/>
        <v>0</v>
      </c>
      <c r="M128" s="3">
        <f t="array" ref="M128">IFERROR(PERCENTILE(IF(('Raw Data'!$A$2:$A$7383=A128)*('Raw Data'!$B$2:$B$7383=B128),'Raw Data'!$E$2:$E$7383),0.75),0)</f>
        <v>39.616666666675883</v>
      </c>
      <c r="N128" s="3">
        <f t="array" ref="N128">IFERROR(PERCENTILE(IF(('Raw Data'!$A$2:$A$7383=A128)*('Raw Data'!$B$2:$B$7383=B128),'Raw Data'!$E$2:$E$7383),0.9),0)</f>
        <v>39.616666666675883</v>
      </c>
      <c r="O128" s="3">
        <f t="array" ref="O128">IFERROR(PERCENTILE(IF(('Raw Data'!$A$2:$A$7383=A128)*('Raw Data'!$B$2:$B$7383=B128),'Raw Data'!$E$2:$E$7383),0.95),0)</f>
        <v>39.616666666675883</v>
      </c>
      <c r="P128" s="3">
        <f t="shared" si="20"/>
        <v>39.616666666675883</v>
      </c>
      <c r="Q128" s="3">
        <f t="shared" si="21"/>
        <v>0</v>
      </c>
      <c r="R128" s="3">
        <f t="shared" si="22"/>
        <v>39.616666666675883</v>
      </c>
      <c r="S128" t="str">
        <f t="shared" si="23"/>
        <v>Median + 1 Std Dev (fallback, n&lt;5)</v>
      </c>
    </row>
    <row r="129" spans="1:19" x14ac:dyDescent="0.25">
      <c r="A129" t="s">
        <v>61</v>
      </c>
      <c r="B129" t="s">
        <v>63</v>
      </c>
      <c r="C129" t="s">
        <v>149</v>
      </c>
      <c r="D129" t="s">
        <v>100</v>
      </c>
      <c r="E129" t="s">
        <v>166</v>
      </c>
      <c r="F129" t="s">
        <v>96</v>
      </c>
      <c r="G129">
        <f>COUNTIFS('Raw Data'!$A$2:$A$7383,A129,'Raw Data'!$B$2:$B$7383,B129)</f>
        <v>1</v>
      </c>
      <c r="H129" t="str">
        <f t="shared" si="18"/>
        <v>Low</v>
      </c>
      <c r="I129" s="3">
        <f>IFERROR(AVERAGEIFS('Raw Data'!$E$2:$E$7383,'Raw Data'!$A$2:$A$7383,A129,'Raw Data'!$B$2:$B$7383,B129),0)</f>
        <v>68.16350694445282</v>
      </c>
      <c r="J129" s="3">
        <f t="array" ref="J129">IFERROR(MEDIAN(IF(('Raw Data'!$A$2:$A$7383=A129)*('Raw Data'!$B$2:$B$7383=B129),'Raw Data'!$E$2:$E$7383)),0)</f>
        <v>68.16350694445282</v>
      </c>
      <c r="K129" s="3">
        <f t="array" ref="K129">IFERROR(STDEV(IF(('Raw Data'!$A$2:$A$7383=A129)*('Raw Data'!$B$2:$B$7383=B129),'Raw Data'!$E$2:$E$7383)),0)</f>
        <v>0</v>
      </c>
      <c r="L129" s="2">
        <f t="shared" si="19"/>
        <v>0</v>
      </c>
      <c r="M129" s="3">
        <f t="array" ref="M129">IFERROR(PERCENTILE(IF(('Raw Data'!$A$2:$A$7383=A129)*('Raw Data'!$B$2:$B$7383=B129),'Raw Data'!$E$2:$E$7383),0.75),0)</f>
        <v>68.16350694445282</v>
      </c>
      <c r="N129" s="3">
        <f t="array" ref="N129">IFERROR(PERCENTILE(IF(('Raw Data'!$A$2:$A$7383=A129)*('Raw Data'!$B$2:$B$7383=B129),'Raw Data'!$E$2:$E$7383),0.9),0)</f>
        <v>68.16350694445282</v>
      </c>
      <c r="O129" s="3">
        <f t="array" ref="O129">IFERROR(PERCENTILE(IF(('Raw Data'!$A$2:$A$7383=A129)*('Raw Data'!$B$2:$B$7383=B129),'Raw Data'!$E$2:$E$7383),0.95),0)</f>
        <v>68.16350694445282</v>
      </c>
      <c r="P129" s="3">
        <f t="shared" si="20"/>
        <v>68.16350694445282</v>
      </c>
      <c r="Q129" s="3">
        <f t="shared" si="21"/>
        <v>0</v>
      </c>
      <c r="R129" s="3">
        <f t="shared" si="22"/>
        <v>68.16350694445282</v>
      </c>
      <c r="S129" t="str">
        <f t="shared" si="23"/>
        <v>Median + 1 Std Dev (fallback, n&lt;5)</v>
      </c>
    </row>
    <row r="130" spans="1:19" x14ac:dyDescent="0.25">
      <c r="A130" t="s">
        <v>15</v>
      </c>
      <c r="B130" t="s">
        <v>58</v>
      </c>
      <c r="C130" t="s">
        <v>99</v>
      </c>
      <c r="D130" t="s">
        <v>100</v>
      </c>
      <c r="E130" t="s">
        <v>167</v>
      </c>
      <c r="F130" t="s">
        <v>96</v>
      </c>
      <c r="G130">
        <f>COUNTIFS('Raw Data'!$A$2:$A$7383,A130,'Raw Data'!$B$2:$B$7383,B130)</f>
        <v>1</v>
      </c>
      <c r="H130" t="str">
        <f t="shared" ref="H130:H161" si="24">IF(G130&gt;=15,"High",IF(G130&gt;=5,"Medium","Low"))</f>
        <v>Low</v>
      </c>
      <c r="I130" s="3">
        <f>IFERROR(AVERAGEIFS('Raw Data'!$E$2:$E$7383,'Raw Data'!$A$2:$A$7383,A130,'Raw Data'!$B$2:$B$7383,B130),0)</f>
        <v>59.333333333343035</v>
      </c>
      <c r="J130" s="3">
        <f t="array" ref="J130">IFERROR(MEDIAN(IF(('Raw Data'!$A$2:$A$7383=A130)*('Raw Data'!$B$2:$B$7383=B130),'Raw Data'!$E$2:$E$7383)),0)</f>
        <v>59.333333333343035</v>
      </c>
      <c r="K130" s="3">
        <f t="array" ref="K130">IFERROR(STDEV(IF(('Raw Data'!$A$2:$A$7383=A130)*('Raw Data'!$B$2:$B$7383=B130),'Raw Data'!$E$2:$E$7383)),0)</f>
        <v>0</v>
      </c>
      <c r="L130" s="2">
        <f t="shared" ref="L130:L161" si="25">IF(I130=0,0,K130/I130)</f>
        <v>0</v>
      </c>
      <c r="M130" s="3">
        <f t="array" ref="M130">IFERROR(PERCENTILE(IF(('Raw Data'!$A$2:$A$7383=A130)*('Raw Data'!$B$2:$B$7383=B130),'Raw Data'!$E$2:$E$7383),0.75),0)</f>
        <v>59.333333333343035</v>
      </c>
      <c r="N130" s="3">
        <f t="array" ref="N130">IFERROR(PERCENTILE(IF(('Raw Data'!$A$2:$A$7383=A130)*('Raw Data'!$B$2:$B$7383=B130),'Raw Data'!$E$2:$E$7383),0.9),0)</f>
        <v>59.333333333343035</v>
      </c>
      <c r="O130" s="3">
        <f t="array" ref="O130">IFERROR(PERCENTILE(IF(('Raw Data'!$A$2:$A$7383=A130)*('Raw Data'!$B$2:$B$7383=B130),'Raw Data'!$E$2:$E$7383),0.95),0)</f>
        <v>59.333333333343035</v>
      </c>
      <c r="P130" s="3">
        <f t="shared" si="20"/>
        <v>59.333333333343035</v>
      </c>
      <c r="Q130" s="3">
        <f t="shared" ref="Q130:Q161" si="26">N130-P130</f>
        <v>0</v>
      </c>
      <c r="R130" s="3">
        <f t="shared" si="22"/>
        <v>59.333333333343035</v>
      </c>
      <c r="S130" t="str">
        <f t="shared" si="23"/>
        <v>Median + 1 Std Dev (fallback, n&lt;5)</v>
      </c>
    </row>
    <row r="131" spans="1:19" x14ac:dyDescent="0.25">
      <c r="A131" t="s">
        <v>28</v>
      </c>
      <c r="B131" t="s">
        <v>38</v>
      </c>
      <c r="C131" t="s">
        <v>128</v>
      </c>
      <c r="D131" t="s">
        <v>89</v>
      </c>
      <c r="E131" t="s">
        <v>102</v>
      </c>
      <c r="F131" t="s">
        <v>103</v>
      </c>
      <c r="G131">
        <f>COUNTIFS('Raw Data'!$A$2:$A$7383,A131,'Raw Data'!$B$2:$B$7383,B131)</f>
        <v>1</v>
      </c>
      <c r="H131" t="str">
        <f t="shared" si="24"/>
        <v>Low</v>
      </c>
      <c r="I131" s="3">
        <f>IFERROR(AVERAGEIFS('Raw Data'!$E$2:$E$7383,'Raw Data'!$A$2:$A$7383,A131,'Raw Data'!$B$2:$B$7383,B131),0)</f>
        <v>57.704166666670062</v>
      </c>
      <c r="J131" s="3">
        <f t="array" ref="J131">IFERROR(MEDIAN(IF(('Raw Data'!$A$2:$A$7383=A131)*('Raw Data'!$B$2:$B$7383=B131),'Raw Data'!$E$2:$E$7383)),0)</f>
        <v>57.704166666670062</v>
      </c>
      <c r="K131" s="3">
        <f t="array" ref="K131">IFERROR(STDEV(IF(('Raw Data'!$A$2:$A$7383=A131)*('Raw Data'!$B$2:$B$7383=B131),'Raw Data'!$E$2:$E$7383)),0)</f>
        <v>0</v>
      </c>
      <c r="L131" s="2">
        <f t="shared" si="25"/>
        <v>0</v>
      </c>
      <c r="M131" s="3">
        <f t="array" ref="M131">IFERROR(PERCENTILE(IF(('Raw Data'!$A$2:$A$7383=A131)*('Raw Data'!$B$2:$B$7383=B131),'Raw Data'!$E$2:$E$7383),0.75),0)</f>
        <v>57.704166666670062</v>
      </c>
      <c r="N131" s="3">
        <f t="array" ref="N131">IFERROR(PERCENTILE(IF(('Raw Data'!$A$2:$A$7383=A131)*('Raw Data'!$B$2:$B$7383=B131),'Raw Data'!$E$2:$E$7383),0.9),0)</f>
        <v>57.704166666670062</v>
      </c>
      <c r="O131" s="3">
        <f t="array" ref="O131">IFERROR(PERCENTILE(IF(('Raw Data'!$A$2:$A$7383=A131)*('Raw Data'!$B$2:$B$7383=B131),'Raw Data'!$E$2:$E$7383),0.95),0)</f>
        <v>57.704166666670062</v>
      </c>
      <c r="P131" s="3">
        <f t="shared" si="20"/>
        <v>57.704166666670062</v>
      </c>
      <c r="Q131" s="3">
        <f t="shared" si="26"/>
        <v>0</v>
      </c>
      <c r="R131" s="3">
        <f t="shared" si="22"/>
        <v>57.704166666670062</v>
      </c>
      <c r="S131" t="str">
        <f t="shared" si="23"/>
        <v>Median + 1 Std Dev (fallback, n&lt;5)</v>
      </c>
    </row>
    <row r="132" spans="1:19" x14ac:dyDescent="0.25">
      <c r="A132" t="s">
        <v>27</v>
      </c>
      <c r="B132" t="s">
        <v>65</v>
      </c>
      <c r="C132" t="s">
        <v>121</v>
      </c>
      <c r="D132" t="s">
        <v>89</v>
      </c>
      <c r="E132" t="s">
        <v>168</v>
      </c>
      <c r="F132" t="s">
        <v>98</v>
      </c>
      <c r="G132">
        <f>COUNTIFS('Raw Data'!$A$2:$A$7383,A132,'Raw Data'!$B$2:$B$7383,B132)</f>
        <v>1</v>
      </c>
      <c r="H132" t="str">
        <f t="shared" si="24"/>
        <v>Low</v>
      </c>
      <c r="I132" s="3">
        <f>IFERROR(AVERAGEIFS('Raw Data'!$E$2:$E$7383,'Raw Data'!$A$2:$A$7383,A132,'Raw Data'!$B$2:$B$7383,B132),0)</f>
        <v>55.091666666659876</v>
      </c>
      <c r="J132" s="3">
        <f t="array" ref="J132">IFERROR(MEDIAN(IF(('Raw Data'!$A$2:$A$7383=A132)*('Raw Data'!$B$2:$B$7383=B132),'Raw Data'!$E$2:$E$7383)),0)</f>
        <v>55.091666666659876</v>
      </c>
      <c r="K132" s="3">
        <f t="array" ref="K132">IFERROR(STDEV(IF(('Raw Data'!$A$2:$A$7383=A132)*('Raw Data'!$B$2:$B$7383=B132),'Raw Data'!$E$2:$E$7383)),0)</f>
        <v>0</v>
      </c>
      <c r="L132" s="2">
        <f t="shared" si="25"/>
        <v>0</v>
      </c>
      <c r="M132" s="3">
        <f t="array" ref="M132">IFERROR(PERCENTILE(IF(('Raw Data'!$A$2:$A$7383=A132)*('Raw Data'!$B$2:$B$7383=B132),'Raw Data'!$E$2:$E$7383),0.75),0)</f>
        <v>55.091666666659876</v>
      </c>
      <c r="N132" s="3">
        <f t="array" ref="N132">IFERROR(PERCENTILE(IF(('Raw Data'!$A$2:$A$7383=A132)*('Raw Data'!$B$2:$B$7383=B132),'Raw Data'!$E$2:$E$7383),0.9),0)</f>
        <v>55.091666666659876</v>
      </c>
      <c r="O132" s="3">
        <f t="array" ref="O132">IFERROR(PERCENTILE(IF(('Raw Data'!$A$2:$A$7383=A132)*('Raw Data'!$B$2:$B$7383=B132),'Raw Data'!$E$2:$E$7383),0.95),0)</f>
        <v>55.091666666659876</v>
      </c>
      <c r="P132" s="3">
        <f t="shared" si="20"/>
        <v>55.091666666659876</v>
      </c>
      <c r="Q132" s="3">
        <f t="shared" si="26"/>
        <v>0</v>
      </c>
      <c r="R132" s="3">
        <f t="shared" si="22"/>
        <v>55.091666666659876</v>
      </c>
      <c r="S132" t="str">
        <f t="shared" si="23"/>
        <v>Median + 1 Std Dev (fallback, n&lt;5)</v>
      </c>
    </row>
    <row r="133" spans="1:19" x14ac:dyDescent="0.25">
      <c r="A133" t="s">
        <v>5</v>
      </c>
      <c r="B133" t="s">
        <v>33</v>
      </c>
      <c r="C133" t="s">
        <v>84</v>
      </c>
      <c r="D133" t="s">
        <v>85</v>
      </c>
      <c r="E133" t="s">
        <v>159</v>
      </c>
      <c r="F133" t="s">
        <v>98</v>
      </c>
      <c r="G133">
        <f>COUNTIFS('Raw Data'!$A$2:$A$7383,A133,'Raw Data'!$B$2:$B$7383,B133)</f>
        <v>1</v>
      </c>
      <c r="H133" t="str">
        <f t="shared" si="24"/>
        <v>Low</v>
      </c>
      <c r="I133" s="3">
        <f>IFERROR(AVERAGEIFS('Raw Data'!$E$2:$E$7383,'Raw Data'!$A$2:$A$7383,A133,'Raw Data'!$B$2:$B$7383,B133),0)</f>
        <v>60.162499999998545</v>
      </c>
      <c r="J133" s="3">
        <f t="array" ref="J133">IFERROR(MEDIAN(IF(('Raw Data'!$A$2:$A$7383=A133)*('Raw Data'!$B$2:$B$7383=B133),'Raw Data'!$E$2:$E$7383)),0)</f>
        <v>60.162499999998545</v>
      </c>
      <c r="K133" s="3">
        <f t="array" ref="K133">IFERROR(STDEV(IF(('Raw Data'!$A$2:$A$7383=A133)*('Raw Data'!$B$2:$B$7383=B133),'Raw Data'!$E$2:$E$7383)),0)</f>
        <v>0</v>
      </c>
      <c r="L133" s="2">
        <f t="shared" si="25"/>
        <v>0</v>
      </c>
      <c r="M133" s="3">
        <f t="array" ref="M133">IFERROR(PERCENTILE(IF(('Raw Data'!$A$2:$A$7383=A133)*('Raw Data'!$B$2:$B$7383=B133),'Raw Data'!$E$2:$E$7383),0.75),0)</f>
        <v>60.162499999998545</v>
      </c>
      <c r="N133" s="3">
        <f t="array" ref="N133">IFERROR(PERCENTILE(IF(('Raw Data'!$A$2:$A$7383=A133)*('Raw Data'!$B$2:$B$7383=B133),'Raw Data'!$E$2:$E$7383),0.9),0)</f>
        <v>60.162499999998545</v>
      </c>
      <c r="O133" s="3">
        <f t="array" ref="O133">IFERROR(PERCENTILE(IF(('Raw Data'!$A$2:$A$7383=A133)*('Raw Data'!$B$2:$B$7383=B133),'Raw Data'!$E$2:$E$7383),0.95),0)</f>
        <v>60.162499999998545</v>
      </c>
      <c r="P133" s="3">
        <f t="shared" si="20"/>
        <v>60.162499999998545</v>
      </c>
      <c r="Q133" s="3">
        <f t="shared" si="26"/>
        <v>0</v>
      </c>
      <c r="R133" s="3">
        <f t="shared" si="22"/>
        <v>60.162499999998545</v>
      </c>
      <c r="S133" t="str">
        <f t="shared" si="23"/>
        <v>Median + 1 Std Dev (fallback, n&lt;5)</v>
      </c>
    </row>
    <row r="134" spans="1:19" x14ac:dyDescent="0.25">
      <c r="A134" t="s">
        <v>50</v>
      </c>
      <c r="B134" t="s">
        <v>8</v>
      </c>
      <c r="C134" t="s">
        <v>169</v>
      </c>
      <c r="D134" t="s">
        <v>170</v>
      </c>
      <c r="E134" t="s">
        <v>86</v>
      </c>
      <c r="F134" t="s">
        <v>87</v>
      </c>
      <c r="G134">
        <f>COUNTIFS('Raw Data'!$A$2:$A$7383,A134,'Raw Data'!$B$2:$B$7383,B134)</f>
        <v>1</v>
      </c>
      <c r="H134" t="str">
        <f t="shared" si="24"/>
        <v>Low</v>
      </c>
      <c r="I134" s="3">
        <f>IFERROR(AVERAGEIFS('Raw Data'!$E$2:$E$7383,'Raw Data'!$A$2:$A$7383,A134,'Raw Data'!$B$2:$B$7383,B134),0)</f>
        <v>29.208958333329065</v>
      </c>
      <c r="J134" s="3">
        <f t="array" ref="J134">IFERROR(MEDIAN(IF(('Raw Data'!$A$2:$A$7383=A134)*('Raw Data'!$B$2:$B$7383=B134),'Raw Data'!$E$2:$E$7383)),0)</f>
        <v>29.208958333329065</v>
      </c>
      <c r="K134" s="3">
        <f t="array" ref="K134">IFERROR(STDEV(IF(('Raw Data'!$A$2:$A$7383=A134)*('Raw Data'!$B$2:$B$7383=B134),'Raw Data'!$E$2:$E$7383)),0)</f>
        <v>0</v>
      </c>
      <c r="L134" s="2">
        <f t="shared" si="25"/>
        <v>0</v>
      </c>
      <c r="M134" s="3">
        <f t="array" ref="M134">IFERROR(PERCENTILE(IF(('Raw Data'!$A$2:$A$7383=A134)*('Raw Data'!$B$2:$B$7383=B134),'Raw Data'!$E$2:$E$7383),0.75),0)</f>
        <v>29.208958333329065</v>
      </c>
      <c r="N134" s="3">
        <f t="array" ref="N134">IFERROR(PERCENTILE(IF(('Raw Data'!$A$2:$A$7383=A134)*('Raw Data'!$B$2:$B$7383=B134),'Raw Data'!$E$2:$E$7383),0.9),0)</f>
        <v>29.208958333329065</v>
      </c>
      <c r="O134" s="3">
        <f t="array" ref="O134">IFERROR(PERCENTILE(IF(('Raw Data'!$A$2:$A$7383=A134)*('Raw Data'!$B$2:$B$7383=B134),'Raw Data'!$E$2:$E$7383),0.95),0)</f>
        <v>29.208958333329065</v>
      </c>
      <c r="P134" s="3">
        <f t="shared" si="20"/>
        <v>29.208958333329065</v>
      </c>
      <c r="Q134" s="3">
        <f t="shared" si="26"/>
        <v>0</v>
      </c>
      <c r="R134" s="3">
        <f t="shared" si="22"/>
        <v>29.208958333329065</v>
      </c>
      <c r="S134" t="str">
        <f t="shared" si="23"/>
        <v>Median + 1 Std Dev (fallback, n&lt;5)</v>
      </c>
    </row>
  </sheetData>
  <pageMargins left="0.75" right="0.75" top="1" bottom="1" header="0.5" footer="0.5"/>
  <headerFooter>
    <oddFooter>&amp;C_x000D_&amp;1#&amp;"Aptos"&amp;12&amp;K0000FF Internal Use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0"/>
  <sheetViews>
    <sheetView tabSelected="1" workbookViewId="0">
      <selection activeCell="H6" sqref="H6"/>
    </sheetView>
  </sheetViews>
  <sheetFormatPr baseColWidth="10" defaultColWidth="12.140625" defaultRowHeight="15" x14ac:dyDescent="0.25"/>
  <cols>
    <col min="3" max="3" width="21" bestFit="1" customWidth="1"/>
    <col min="5" max="5" width="18.28515625" bestFit="1" customWidth="1"/>
    <col min="18" max="18" width="16.7109375" customWidth="1"/>
  </cols>
  <sheetData>
    <row r="1" spans="1:20" s="5" customFormat="1" ht="28.5" customHeight="1" x14ac:dyDescent="0.25">
      <c r="A1" s="5" t="s">
        <v>0</v>
      </c>
      <c r="B1" s="5" t="s">
        <v>1</v>
      </c>
      <c r="C1" s="5" t="s">
        <v>67</v>
      </c>
      <c r="D1" s="5" t="s">
        <v>68</v>
      </c>
      <c r="E1" s="5" t="s">
        <v>69</v>
      </c>
      <c r="F1" s="5" t="s">
        <v>70</v>
      </c>
      <c r="G1" s="5" t="s">
        <v>71</v>
      </c>
      <c r="H1" s="5" t="s">
        <v>72</v>
      </c>
      <c r="I1" s="5" t="s">
        <v>73</v>
      </c>
      <c r="J1" s="5" t="s">
        <v>74</v>
      </c>
      <c r="K1" s="5" t="s">
        <v>75</v>
      </c>
      <c r="L1" s="5" t="s">
        <v>76</v>
      </c>
      <c r="M1" s="5" t="s">
        <v>77</v>
      </c>
      <c r="N1" s="5" t="s">
        <v>78</v>
      </c>
      <c r="O1" s="5" t="s">
        <v>79</v>
      </c>
      <c r="P1" s="5" t="s">
        <v>80</v>
      </c>
      <c r="Q1" s="5" t="s">
        <v>81</v>
      </c>
      <c r="R1" s="5" t="s">
        <v>82</v>
      </c>
      <c r="S1" s="5" t="s">
        <v>171</v>
      </c>
      <c r="T1" s="5" t="s">
        <v>172</v>
      </c>
    </row>
    <row r="2" spans="1:20" x14ac:dyDescent="0.25">
      <c r="A2" t="s">
        <v>15</v>
      </c>
      <c r="B2" t="s">
        <v>13</v>
      </c>
      <c r="C2" t="s">
        <v>99</v>
      </c>
      <c r="D2" t="s">
        <v>100</v>
      </c>
      <c r="E2" t="s">
        <v>95</v>
      </c>
      <c r="F2" t="s">
        <v>96</v>
      </c>
      <c r="G2">
        <f>COUNTIFS('Raw Data'!$A$2:$A$7383,A2,'Raw Data'!$B$2:$B$7383,B2)</f>
        <v>220</v>
      </c>
      <c r="H2" t="str">
        <f t="shared" ref="H2:H10" si="0">IF(G2&gt;=15,"High",IF(G2&gt;=5,"Medium","Low"))</f>
        <v>High</v>
      </c>
      <c r="I2" s="4">
        <f>IFERROR(AVERAGEIFS('Raw Data'!$E$2:$E$7383,'Raw Data'!$A$2:$A$7383,A2,'Raw Data'!$B$2:$B$7383,B2),0)</f>
        <v>39.940423032407558</v>
      </c>
      <c r="J2" s="4">
        <f t="array" ref="J2">IFERROR(MEDIAN(IF(('Raw Data'!$A$2:$A$7383=A2)*('Raw Data'!$B$2:$B$7383=B2),'Raw Data'!$E$2:$E$7383)),0)</f>
        <v>38.741435185187584</v>
      </c>
      <c r="K2" s="4">
        <f t="array" ref="K2">IFERROR(STDEV(IF(('Raw Data'!$A$2:$A$7383=A2)*('Raw Data'!$B$2:$B$7383=B2),'Raw Data'!$E$2:$E$7383)),0)</f>
        <v>3.9622949843810349</v>
      </c>
      <c r="L2" s="6">
        <f t="shared" ref="L2:L10" si="1">IF(I2=0,0,K2/I2)</f>
        <v>9.9205133134569926E-2</v>
      </c>
      <c r="M2" s="4">
        <f t="array" ref="M2">IFERROR(PERCENTILE(IF(('Raw Data'!$A$2:$A$7383=A2)*('Raw Data'!$B$2:$B$7383=B2),'Raw Data'!$E$2:$E$7383),0.75),0)</f>
        <v>42.084722222240089</v>
      </c>
      <c r="N2" s="4">
        <f t="array" ref="N2">IFERROR(PERCENTILE(IF(('Raw Data'!$A$2:$A$7383=A2)*('Raw Data'!$B$2:$B$7383=B2),'Raw Data'!$E$2:$E$7383),0.9),0)</f>
        <v>45.637499999989814</v>
      </c>
      <c r="O2" s="4">
        <f t="array" ref="O2">IFERROR(PERCENTILE(IF(('Raw Data'!$A$2:$A$7383=A2)*('Raw Data'!$B$2:$B$7383=B2),'Raw Data'!$E$2:$E$7383),0.95),0)</f>
        <v>48.88749999999709</v>
      </c>
      <c r="P2" s="4">
        <f t="shared" ref="P2:P10" si="2">I2+1.2816*K2</f>
        <v>45.018500284390292</v>
      </c>
      <c r="Q2" s="3">
        <f t="shared" ref="Q2:Q10" si="3">N2-P2</f>
        <v>0.61899971559952149</v>
      </c>
      <c r="R2" s="4">
        <f t="shared" ref="R2:R10" si="4">IF(G2&lt;5,J2+K2,N2)</f>
        <v>45.637499999989814</v>
      </c>
      <c r="S2">
        <v>41</v>
      </c>
      <c r="T2" s="4">
        <f>+S2-R2</f>
        <v>-4.6374999999898137</v>
      </c>
    </row>
    <row r="3" spans="1:20" x14ac:dyDescent="0.25">
      <c r="A3" t="s">
        <v>15</v>
      </c>
      <c r="B3" t="s">
        <v>18</v>
      </c>
      <c r="C3" t="s">
        <v>99</v>
      </c>
      <c r="D3" t="s">
        <v>100</v>
      </c>
      <c r="E3" t="s">
        <v>97</v>
      </c>
      <c r="F3" t="s">
        <v>98</v>
      </c>
      <c r="G3">
        <f>COUNTIFS('Raw Data'!$A$2:$A$7383,A3,'Raw Data'!$B$2:$B$7383,B3)</f>
        <v>190</v>
      </c>
      <c r="H3" t="str">
        <f t="shared" si="0"/>
        <v>High</v>
      </c>
      <c r="I3" s="4">
        <f>IFERROR(AVERAGEIFS('Raw Data'!$E$2:$E$7383,'Raw Data'!$A$2:$A$7383,A3,'Raw Data'!$B$2:$B$7383,B3),0)</f>
        <v>50.665181712963076</v>
      </c>
      <c r="J3" s="4">
        <f t="array" ref="J3">IFERROR(MEDIAN(IF(('Raw Data'!$A$2:$A$7383=A3)*('Raw Data'!$B$2:$B$7383=B3),'Raw Data'!$E$2:$E$7383)),0)</f>
        <v>50.98194444444016</v>
      </c>
      <c r="K3" s="4">
        <f t="array" ref="K3">IFERROR(STDEV(IF(('Raw Data'!$A$2:$A$7383=A3)*('Raw Data'!$B$2:$B$7383=B3),'Raw Data'!$E$2:$E$7383)),0)</f>
        <v>7.4303925728658573</v>
      </c>
      <c r="L3" s="6">
        <f t="shared" si="1"/>
        <v>0.14665678325130205</v>
      </c>
      <c r="M3" s="4">
        <f t="array" ref="M3">IFERROR(PERCENTILE(IF(('Raw Data'!$A$2:$A$7383=A3)*('Raw Data'!$B$2:$B$7383=B3),'Raw Data'!$E$2:$E$7383),0.75),0)</f>
        <v>54.622916666667152</v>
      </c>
      <c r="N3" s="4">
        <f t="array" ref="N3">IFERROR(PERCENTILE(IF(('Raw Data'!$A$2:$A$7383=A3)*('Raw Data'!$B$2:$B$7383=B3),'Raw Data'!$E$2:$E$7383),0.9),0)</f>
        <v>60.585416666673694</v>
      </c>
      <c r="O3" s="4">
        <f t="array" ref="O3">IFERROR(PERCENTILE(IF(('Raw Data'!$A$2:$A$7383=A3)*('Raw Data'!$B$2:$B$7383=B3),'Raw Data'!$E$2:$E$7383),0.95),0)</f>
        <v>62.875</v>
      </c>
      <c r="P3" s="4">
        <f t="shared" si="2"/>
        <v>60.18797283434796</v>
      </c>
      <c r="Q3" s="3">
        <f t="shared" si="3"/>
        <v>0.39744383232573455</v>
      </c>
      <c r="R3" s="4">
        <f t="shared" si="4"/>
        <v>60.585416666673694</v>
      </c>
      <c r="S3" s="7">
        <v>46</v>
      </c>
      <c r="T3" s="4">
        <f t="shared" ref="T3:T10" si="5">+S3-R3</f>
        <v>-14.585416666673694</v>
      </c>
    </row>
    <row r="4" spans="1:20" x14ac:dyDescent="0.25">
      <c r="A4" t="s">
        <v>19</v>
      </c>
      <c r="B4" t="s">
        <v>54</v>
      </c>
      <c r="C4" t="s">
        <v>90</v>
      </c>
      <c r="D4" t="s">
        <v>91</v>
      </c>
      <c r="E4" t="s">
        <v>144</v>
      </c>
      <c r="F4" t="s">
        <v>139</v>
      </c>
      <c r="G4">
        <f>COUNTIFS('Raw Data'!$A$2:$A$7383,A4,'Raw Data'!$B$2:$B$7383,B4)</f>
        <v>16</v>
      </c>
      <c r="H4" t="str">
        <f t="shared" si="0"/>
        <v>High</v>
      </c>
      <c r="I4" s="4">
        <f>IFERROR(AVERAGEIFS('Raw Data'!$E$2:$E$7383,'Raw Data'!$A$2:$A$7383,A4,'Raw Data'!$B$2:$B$7383,B4),0)</f>
        <v>38.547048611108494</v>
      </c>
      <c r="J4" s="4">
        <f t="array" ref="J4">IFERROR(MEDIAN(IF(('Raw Data'!$A$2:$A$7383=A4)*('Raw Data'!$B$2:$B$7383=B4),'Raw Data'!$E$2:$E$7383)),0)</f>
        <v>36.721527777779556</v>
      </c>
      <c r="K4" s="4">
        <f t="array" ref="K4">IFERROR(STDEV(IF(('Raw Data'!$A$2:$A$7383=A4)*('Raw Data'!$B$2:$B$7383=B4),'Raw Data'!$E$2:$E$7383)),0)</f>
        <v>5.6789335924706217</v>
      </c>
      <c r="L4" s="6">
        <f t="shared" si="1"/>
        <v>0.14732473164843199</v>
      </c>
      <c r="M4" s="4">
        <f t="array" ref="M4">IFERROR(PERCENTILE(IF(('Raw Data'!$A$2:$A$7383=A4)*('Raw Data'!$B$2:$B$7383=B4),'Raw Data'!$E$2:$E$7383),0.75),0)</f>
        <v>39.766493055554747</v>
      </c>
      <c r="N4" s="4">
        <f t="array" ref="N4">IFERROR(PERCENTILE(IF(('Raw Data'!$A$2:$A$7383=A4)*('Raw Data'!$B$2:$B$7383=B4),'Raw Data'!$E$2:$E$7383),0.9),0)</f>
        <v>43.482291666663514</v>
      </c>
      <c r="O4" s="4">
        <f t="array" ref="O4">IFERROR(PERCENTILE(IF(('Raw Data'!$A$2:$A$7383=A4)*('Raw Data'!$B$2:$B$7383=B4),'Raw Data'!$E$2:$E$7383),0.95),0)</f>
        <v>47.690277777777737</v>
      </c>
      <c r="P4" s="4">
        <f t="shared" si="2"/>
        <v>45.825169903218843</v>
      </c>
      <c r="Q4" s="3">
        <f t="shared" si="3"/>
        <v>-2.3428782365553289</v>
      </c>
      <c r="R4" s="4">
        <f t="shared" si="4"/>
        <v>43.482291666663514</v>
      </c>
      <c r="S4">
        <v>40</v>
      </c>
      <c r="T4" s="4">
        <f t="shared" si="5"/>
        <v>-3.4822916666635138</v>
      </c>
    </row>
    <row r="5" spans="1:20" x14ac:dyDescent="0.25">
      <c r="A5" t="s">
        <v>27</v>
      </c>
      <c r="B5" t="s">
        <v>8</v>
      </c>
      <c r="C5" t="s">
        <v>121</v>
      </c>
      <c r="D5" t="s">
        <v>89</v>
      </c>
      <c r="E5" t="s">
        <v>86</v>
      </c>
      <c r="F5" t="s">
        <v>87</v>
      </c>
      <c r="G5">
        <f>COUNTIFS('Raw Data'!$A$2:$A$7383,A5,'Raw Data'!$B$2:$B$7383,B5)</f>
        <v>80</v>
      </c>
      <c r="H5" t="str">
        <f t="shared" si="0"/>
        <v>High</v>
      </c>
      <c r="I5" s="4">
        <f>IFERROR(AVERAGEIFS('Raw Data'!$E$2:$E$7383,'Raw Data'!$A$2:$A$7383,A5,'Raw Data'!$B$2:$B$7383,B5),0)</f>
        <v>52.205943431713607</v>
      </c>
      <c r="J5" s="4">
        <f t="array" ref="J5">IFERROR(MEDIAN(IF(('Raw Data'!$A$2:$A$7383=A5)*('Raw Data'!$B$2:$B$7383=B5),'Raw Data'!$E$2:$E$7383)),0)</f>
        <v>50.275000000001455</v>
      </c>
      <c r="K5" s="4">
        <f t="array" ref="K5">IFERROR(STDEV(IF(('Raw Data'!$A$2:$A$7383=A5)*('Raw Data'!$B$2:$B$7383=B5),'Raw Data'!$E$2:$E$7383)),0)</f>
        <v>9.2397414980697317</v>
      </c>
      <c r="L5" s="6">
        <f t="shared" si="1"/>
        <v>0.17698639064258065</v>
      </c>
      <c r="M5" s="4">
        <f t="array" ref="M5">IFERROR(PERCENTILE(IF(('Raw Data'!$A$2:$A$7383=A5)*('Raw Data'!$B$2:$B$7383=B5),'Raw Data'!$E$2:$E$7383),0.75),0)</f>
        <v>57.330208333327391</v>
      </c>
      <c r="N5" s="4">
        <f t="array" ref="N5">IFERROR(PERCENTILE(IF(('Raw Data'!$A$2:$A$7383=A5)*('Raw Data'!$B$2:$B$7383=B5),'Raw Data'!$E$2:$E$7383),0.9),0)</f>
        <v>62.413274305572848</v>
      </c>
      <c r="O5" s="4">
        <f t="array" ref="O5">IFERROR(PERCENTILE(IF(('Raw Data'!$A$2:$A$7383=A5)*('Raw Data'!$B$2:$B$7383=B5),'Raw Data'!$E$2:$E$7383),0.95),0)</f>
        <v>63.658645833330581</v>
      </c>
      <c r="P5" s="4">
        <f t="shared" si="2"/>
        <v>64.047596135639779</v>
      </c>
      <c r="Q5" s="3">
        <f t="shared" si="3"/>
        <v>-1.6343218300669307</v>
      </c>
      <c r="R5" s="4">
        <f t="shared" si="4"/>
        <v>62.413274305572848</v>
      </c>
      <c r="S5">
        <v>52</v>
      </c>
      <c r="T5" s="4">
        <f t="shared" si="5"/>
        <v>-10.413274305572848</v>
      </c>
    </row>
    <row r="6" spans="1:20" x14ac:dyDescent="0.25">
      <c r="A6" t="s">
        <v>27</v>
      </c>
      <c r="B6" t="s">
        <v>33</v>
      </c>
      <c r="C6" t="s">
        <v>121</v>
      </c>
      <c r="D6" t="s">
        <v>89</v>
      </c>
      <c r="E6" t="s">
        <v>159</v>
      </c>
      <c r="F6" t="s">
        <v>98</v>
      </c>
      <c r="G6">
        <f>COUNTIFS('Raw Data'!$A$2:$A$7383,A6,'Raw Data'!$B$2:$B$7383,B6)</f>
        <v>6</v>
      </c>
      <c r="H6" t="str">
        <f t="shared" si="0"/>
        <v>Medium</v>
      </c>
      <c r="I6" s="4">
        <f>IFERROR(AVERAGEIFS('Raw Data'!$E$2:$E$7383,'Raw Data'!$A$2:$A$7383,A6,'Raw Data'!$B$2:$B$7383,B6),0)</f>
        <v>54.090277777777374</v>
      </c>
      <c r="J6" s="4">
        <f t="array" ref="J6">IFERROR(MEDIAN(IF(('Raw Data'!$A$2:$A$7383=A6)*('Raw Data'!$B$2:$B$7383=B6),'Raw Data'!$E$2:$E$7383)),0)</f>
        <v>54.518749999991996</v>
      </c>
      <c r="K6" s="4">
        <f t="array" ref="K6">IFERROR(STDEV(IF(('Raw Data'!$A$2:$A$7383=A6)*('Raw Data'!$B$2:$B$7383=B6),'Raw Data'!$E$2:$E$7383)),0)</f>
        <v>2.299945148299936</v>
      </c>
      <c r="L6" s="6">
        <f t="shared" si="1"/>
        <v>4.2520490609217261E-2</v>
      </c>
      <c r="M6" s="4">
        <f t="array" ref="M6">IFERROR(PERCENTILE(IF(('Raw Data'!$A$2:$A$7383=A6)*('Raw Data'!$B$2:$B$7383=B6),'Raw Data'!$E$2:$E$7383),0.75),0)</f>
        <v>54.919791666667152</v>
      </c>
      <c r="N6" s="4">
        <f t="array" ref="N6">IFERROR(PERCENTILE(IF(('Raw Data'!$A$2:$A$7383=A6)*('Raw Data'!$B$2:$B$7383=B6),'Raw Data'!$E$2:$E$7383),0.9),0)</f>
        <v>56.191666666672972</v>
      </c>
      <c r="O6" s="4">
        <f t="array" ref="O6">IFERROR(PERCENTILE(IF(('Raw Data'!$A$2:$A$7383=A6)*('Raw Data'!$B$2:$B$7383=B6),'Raw Data'!$E$2:$E$7383),0.95),0)</f>
        <v>56.7979166666737</v>
      </c>
      <c r="P6" s="4">
        <f t="shared" si="2"/>
        <v>57.037887479838574</v>
      </c>
      <c r="Q6" s="3">
        <f t="shared" si="3"/>
        <v>-0.84622081316560127</v>
      </c>
      <c r="R6" s="4">
        <f t="shared" si="4"/>
        <v>56.191666666672972</v>
      </c>
      <c r="S6">
        <v>55</v>
      </c>
      <c r="T6" s="4">
        <f t="shared" si="5"/>
        <v>-1.1916666666729725</v>
      </c>
    </row>
    <row r="7" spans="1:20" x14ac:dyDescent="0.25">
      <c r="A7" t="s">
        <v>22</v>
      </c>
      <c r="B7" t="s">
        <v>14</v>
      </c>
      <c r="C7" t="s">
        <v>88</v>
      </c>
      <c r="D7" t="s">
        <v>89</v>
      </c>
      <c r="E7" t="s">
        <v>101</v>
      </c>
      <c r="F7" t="s">
        <v>96</v>
      </c>
      <c r="G7">
        <f>COUNTIFS('Raw Data'!$A$2:$A$7383,A7,'Raw Data'!$B$2:$B$7383,B7)</f>
        <v>203</v>
      </c>
      <c r="H7" t="str">
        <f t="shared" si="0"/>
        <v>High</v>
      </c>
      <c r="I7" s="4">
        <f>IFERROR(AVERAGEIFS('Raw Data'!$E$2:$E$7383,'Raw Data'!$A$2:$A$7383,A7,'Raw Data'!$B$2:$B$7383,B7),0)</f>
        <v>52.064274425286527</v>
      </c>
      <c r="J7" s="4">
        <f t="array" ref="J7">IFERROR(MEDIAN(IF(('Raw Data'!$A$2:$A$7383=A7)*('Raw Data'!$B$2:$B$7383=B7),'Raw Data'!$E$2:$E$7383)),0)</f>
        <v>46.688935185193259</v>
      </c>
      <c r="K7" s="4">
        <f t="array" ref="K7">IFERROR(STDEV(IF(('Raw Data'!$A$2:$A$7383=A7)*('Raw Data'!$B$2:$B$7383=B7),'Raw Data'!$E$2:$E$7383)),0)</f>
        <v>12.77242157189268</v>
      </c>
      <c r="L7" s="6">
        <f t="shared" si="1"/>
        <v>0.24532026447850358</v>
      </c>
      <c r="M7" s="4">
        <f t="array" ref="M7">IFERROR(PERCENTILE(IF(('Raw Data'!$A$2:$A$7383=A7)*('Raw Data'!$B$2:$B$7383=B7),'Raw Data'!$E$2:$E$7383),0.75),0)</f>
        <v>55.636817129630799</v>
      </c>
      <c r="N7" s="4">
        <f t="array" ref="N7">IFERROR(PERCENTILE(IF(('Raw Data'!$A$2:$A$7383=A7)*('Raw Data'!$B$2:$B$7383=B7),'Raw Data'!$E$2:$E$7383),0.9),0)</f>
        <v>62.933046296297128</v>
      </c>
      <c r="O7" s="4">
        <f t="array" ref="O7">IFERROR(PERCENTILE(IF(('Raw Data'!$A$2:$A$7383=A7)*('Raw Data'!$B$2:$B$7383=B7),'Raw Data'!$E$2:$E$7383),0.95),0)</f>
        <v>77.349583333326848</v>
      </c>
      <c r="P7" s="4">
        <f t="shared" si="2"/>
        <v>68.433409911824185</v>
      </c>
      <c r="Q7" s="3">
        <f t="shared" si="3"/>
        <v>-5.500363615527057</v>
      </c>
      <c r="R7" s="4">
        <f t="shared" si="4"/>
        <v>62.933046296297128</v>
      </c>
      <c r="S7">
        <v>45</v>
      </c>
      <c r="T7" s="4">
        <f t="shared" si="5"/>
        <v>-17.933046296297128</v>
      </c>
    </row>
    <row r="8" spans="1:20" x14ac:dyDescent="0.25">
      <c r="A8" t="s">
        <v>22</v>
      </c>
      <c r="B8" t="s">
        <v>19</v>
      </c>
      <c r="C8" t="s">
        <v>88</v>
      </c>
      <c r="D8" t="s">
        <v>89</v>
      </c>
      <c r="E8" t="s">
        <v>90</v>
      </c>
      <c r="F8" t="s">
        <v>91</v>
      </c>
      <c r="G8">
        <f>COUNTIFS('Raw Data'!$A$2:$A$7383,A8,'Raw Data'!$B$2:$B$7383,B8)</f>
        <v>504</v>
      </c>
      <c r="H8" t="str">
        <f t="shared" si="0"/>
        <v>High</v>
      </c>
      <c r="I8" s="4">
        <f>IFERROR(AVERAGEIFS('Raw Data'!$E$2:$E$7383,'Raw Data'!$A$2:$A$7383,A8,'Raw Data'!$B$2:$B$7383,B8),0)</f>
        <v>57.489081124154474</v>
      </c>
      <c r="J8" s="4">
        <f t="array" ref="J8">IFERROR(MEDIAN(IF(('Raw Data'!$A$2:$A$7383=A8)*('Raw Data'!$B$2:$B$7383=B8),'Raw Data'!$E$2:$E$7383)),0)</f>
        <v>54.87326388888323</v>
      </c>
      <c r="K8" s="4">
        <f t="array" ref="K8">IFERROR(STDEV(IF(('Raw Data'!$A$2:$A$7383=A8)*('Raw Data'!$B$2:$B$7383=B8),'Raw Data'!$E$2:$E$7383)),0)</f>
        <v>9.0140609035619654</v>
      </c>
      <c r="L8" s="6">
        <f t="shared" si="1"/>
        <v>0.15679605113351933</v>
      </c>
      <c r="M8" s="4">
        <f t="array" ref="M8">IFERROR(PERCENTILE(IF(('Raw Data'!$A$2:$A$7383=A8)*('Raw Data'!$B$2:$B$7383=B8),'Raw Data'!$E$2:$E$7383),0.75),0)</f>
        <v>63.563888888887959</v>
      </c>
      <c r="N8" s="4">
        <f t="array" ref="N8">IFERROR(PERCENTILE(IF(('Raw Data'!$A$2:$A$7383=A8)*('Raw Data'!$B$2:$B$7383=B8),'Raw Data'!$E$2:$E$7383),0.9),0)</f>
        <v>68.641666666670062</v>
      </c>
      <c r="O8" s="4">
        <f t="array" ref="O8">IFERROR(PERCENTILE(IF(('Raw Data'!$A$2:$A$7383=A8)*('Raw Data'!$B$2:$B$7383=B8),'Raw Data'!$E$2:$E$7383),0.95),0)</f>
        <v>74.970833333332848</v>
      </c>
      <c r="P8" s="4">
        <f t="shared" si="2"/>
        <v>69.041501578159483</v>
      </c>
      <c r="Q8" s="3">
        <f t="shared" si="3"/>
        <v>-0.39983491148942107</v>
      </c>
      <c r="R8" s="4">
        <f t="shared" si="4"/>
        <v>68.641666666670062</v>
      </c>
      <c r="S8">
        <v>48</v>
      </c>
      <c r="T8" s="4">
        <f t="shared" si="5"/>
        <v>-20.641666666670062</v>
      </c>
    </row>
    <row r="9" spans="1:20" x14ac:dyDescent="0.25">
      <c r="A9" t="s">
        <v>22</v>
      </c>
      <c r="B9" t="s">
        <v>51</v>
      </c>
      <c r="C9" t="s">
        <v>88</v>
      </c>
      <c r="D9" t="s">
        <v>89</v>
      </c>
      <c r="E9" t="s">
        <v>109</v>
      </c>
      <c r="F9" t="s">
        <v>110</v>
      </c>
      <c r="G9">
        <f>COUNTIFS('Raw Data'!$A$2:$A$7383,A9,'Raw Data'!$B$2:$B$7383,B9)</f>
        <v>140</v>
      </c>
      <c r="H9" t="str">
        <f t="shared" si="0"/>
        <v>High</v>
      </c>
      <c r="I9" s="4">
        <f>IFERROR(AVERAGEIFS('Raw Data'!$E$2:$E$7383,'Raw Data'!$A$2:$A$7383,A9,'Raw Data'!$B$2:$B$7383,B9),0)</f>
        <v>59.898488425926551</v>
      </c>
      <c r="J9" s="4">
        <f t="array" ref="J9">IFERROR(MEDIAN(IF(('Raw Data'!$A$2:$A$7383=A9)*('Raw Data'!$B$2:$B$7383=B9),'Raw Data'!$E$2:$E$7383)),0)</f>
        <v>56.84375</v>
      </c>
      <c r="K9" s="4">
        <f t="array" ref="K9">IFERROR(STDEV(IF(('Raw Data'!$A$2:$A$7383=A9)*('Raw Data'!$B$2:$B$7383=B9),'Raw Data'!$E$2:$E$7383)),0)</f>
        <v>8.8874439430721921</v>
      </c>
      <c r="L9" s="6">
        <f t="shared" si="1"/>
        <v>0.14837509554290085</v>
      </c>
      <c r="M9" s="4">
        <f t="array" ref="M9">IFERROR(PERCENTILE(IF(('Raw Data'!$A$2:$A$7383=A9)*('Raw Data'!$B$2:$B$7383=B9),'Raw Data'!$E$2:$E$7383),0.75),0)</f>
        <v>63.653472222220444</v>
      </c>
      <c r="N9" s="4">
        <f t="array" ref="N9">IFERROR(PERCENTILE(IF(('Raw Data'!$A$2:$A$7383=A9)*('Raw Data'!$B$2:$B$7383=B9),'Raw Data'!$E$2:$E$7383),0.9),0)</f>
        <v>72.689583333340124</v>
      </c>
      <c r="O9" s="4">
        <f t="array" ref="O9">IFERROR(PERCENTILE(IF(('Raw Data'!$A$2:$A$7383=A9)*('Raw Data'!$B$2:$B$7383=B9),'Raw Data'!$E$2:$E$7383),0.95),0)</f>
        <v>77.177083333334934</v>
      </c>
      <c r="P9" s="4">
        <f t="shared" si="2"/>
        <v>71.288636583367875</v>
      </c>
      <c r="Q9" s="3">
        <f t="shared" si="3"/>
        <v>1.400946749972249</v>
      </c>
      <c r="R9" s="4">
        <f t="shared" si="4"/>
        <v>72.689583333340124</v>
      </c>
      <c r="S9">
        <v>50</v>
      </c>
      <c r="T9" s="4">
        <f t="shared" si="5"/>
        <v>-22.689583333340124</v>
      </c>
    </row>
    <row r="10" spans="1:20" x14ac:dyDescent="0.25">
      <c r="A10" t="s">
        <v>22</v>
      </c>
      <c r="B10" t="s">
        <v>6</v>
      </c>
      <c r="C10" t="s">
        <v>88</v>
      </c>
      <c r="D10" t="s">
        <v>89</v>
      </c>
      <c r="E10" t="s">
        <v>114</v>
      </c>
      <c r="F10" t="s">
        <v>115</v>
      </c>
      <c r="G10">
        <f>COUNTIFS('Raw Data'!$A$2:$A$7383,A10,'Raw Data'!$B$2:$B$7383,B10)</f>
        <v>48</v>
      </c>
      <c r="H10" t="str">
        <f t="shared" si="0"/>
        <v>High</v>
      </c>
      <c r="I10" s="4">
        <f>IFERROR(AVERAGEIFS('Raw Data'!$E$2:$E$7383,'Raw Data'!$A$2:$A$7383,A10,'Raw Data'!$B$2:$B$7383,B10),0)</f>
        <v>67.40544825424422</v>
      </c>
      <c r="J10" s="4">
        <f t="array" ref="J10">IFERROR(MEDIAN(IF(('Raw Data'!$A$2:$A$7383=A10)*('Raw Data'!$B$2:$B$7383=B10),'Raw Data'!$E$2:$E$7383)),0)</f>
        <v>64.873084490736801</v>
      </c>
      <c r="K10" s="4">
        <f t="array" ref="K10">IFERROR(STDEV(IF(('Raw Data'!$A$2:$A$7383=A10)*('Raw Data'!$B$2:$B$7383=B10),'Raw Data'!$E$2:$E$7383)),0)</f>
        <v>7.6151066701836267</v>
      </c>
      <c r="L10" s="6">
        <f t="shared" si="1"/>
        <v>0.11297464622533887</v>
      </c>
      <c r="M10" s="4">
        <f t="array" ref="M10">IFERROR(PERCENTILE(IF(('Raw Data'!$A$2:$A$7383=A10)*('Raw Data'!$B$2:$B$7383=B10),'Raw Data'!$E$2:$E$7383),0.75),0)</f>
        <v>72.923593749990687</v>
      </c>
      <c r="N10" s="4">
        <f t="array" ref="N10">IFERROR(PERCENTILE(IF(('Raw Data'!$A$2:$A$7383=A10)*('Raw Data'!$B$2:$B$7383=B10),'Raw Data'!$E$2:$E$7383),0.9),0)</f>
        <v>78.592846064819611</v>
      </c>
      <c r="O10" s="4">
        <f t="array" ref="O10">IFERROR(PERCENTILE(IF(('Raw Data'!$A$2:$A$7383=A10)*('Raw Data'!$B$2:$B$7383=B10),'Raw Data'!$E$2:$E$7383),0.95),0)</f>
        <v>81.627502314826415</v>
      </c>
      <c r="P10" s="4">
        <f t="shared" si="2"/>
        <v>77.164968962751558</v>
      </c>
      <c r="Q10" s="3">
        <f t="shared" si="3"/>
        <v>1.4278771020680523</v>
      </c>
      <c r="R10" s="4">
        <f t="shared" si="4"/>
        <v>78.592846064819611</v>
      </c>
      <c r="S10">
        <v>69</v>
      </c>
      <c r="T10" s="4">
        <f t="shared" si="5"/>
        <v>-9.5928460648196108</v>
      </c>
    </row>
  </sheetData>
  <pageMargins left="0.75" right="0.75" top="1" bottom="1" header="0.5" footer="0.5"/>
  <pageSetup paperSize="9" orientation="portrait" r:id="rId1"/>
  <headerFooter>
    <oddFooter>&amp;C_x000D_&amp;1#&amp;"Aptos"&amp;12&amp;K0000FF Internal Use</oddFooter>
  </headerFooter>
  <legacyDrawing r:id="rId2"/>
</worksheet>
</file>

<file path=docMetadata/LabelInfo.xml><?xml version="1.0" encoding="utf-8"?>
<clbl:labelList xmlns:clbl="http://schemas.microsoft.com/office/2020/mipLabelMetadata">
  <clbl:label id="{9999a5d2-caa4-4f63-bace-dd6824b086db}" enabled="1" method="Standard" siteId="{de415ce7-227e-480f-88c9-c7dab50e161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Raw Data</vt:lpstr>
      <vt:lpstr>All Flows</vt:lpstr>
      <vt:lpstr>Selected Flows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OLMEDO GALVEZ Jorge Luis</cp:lastModifiedBy>
  <dcterms:created xsi:type="dcterms:W3CDTF">2026-09-22T08:33:05Z</dcterms:created>
  <dcterms:modified xsi:type="dcterms:W3CDTF">2026-09-22T09:19:30Z</dcterms:modified>
</cp:coreProperties>
</file>