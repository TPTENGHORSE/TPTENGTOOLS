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workbookPr codeName="ThisWorkbook" hidePivotFieldList="1"/>
  <mc:AlternateContent xmlns:mc="http://schemas.openxmlformats.org/markup-compatibility/2006">
    <mc:Choice Requires="x15">
      <x15ac:absPath xmlns:x15ac="http://schemas.microsoft.com/office/spreadsheetml/2010/11/ac" url="https://horsepowertrain.sharepoint.com/sites/HorseSupplyChain/Shared Documents/Transport &amp; Packaging/Exchange VRAC/02_Engineering Department/04. Tender Process/02 DATA/03 AIRFREIGHT/"/>
    </mc:Choice>
  </mc:AlternateContent>
  <xr:revisionPtr revIDLastSave="1462" documentId="8_{20D7AC0D-2C99-47A0-BBD9-1D2C871B1675}" xr6:coauthVersionLast="47" xr6:coauthVersionMax="47" xr10:uidLastSave="{A2AF2FAD-6587-4D2F-A4A2-E5B5206428CC}"/>
  <bookViews>
    <workbookView xWindow="28680" yWindow="-120" windowWidth="29040" windowHeight="15720" tabRatio="659" firstSheet="3" activeTab="3" xr2:uid="{00000000-000D-0000-FFFF-FFFF00000000}"/>
  </bookViews>
  <sheets>
    <sheet name="1_Consolidated_AIR" sheetId="1" state="hidden" r:id="rId1"/>
    <sheet name="Volumes" sheetId="32" state="hidden" r:id="rId2"/>
    <sheet name="DHL_ADDER" sheetId="31" state="hidden" r:id="rId3"/>
    <sheet name="Calculator_v2" sheetId="37" r:id="rId4"/>
    <sheet name="Hoja2" sheetId="38" state="hidden" r:id="rId5"/>
  </sheets>
  <definedNames>
    <definedName name="_xlnm._FilterDatabase" localSheetId="0" hidden="1">'1_Consolidated_AIR'!$B$4:$BE$4</definedName>
    <definedName name="_xlnm._FilterDatabase" localSheetId="3" hidden="1">Calculator_v2!$C$8:$L$26</definedName>
    <definedName name="_xleta.T" hidden="1" xlm="1">#NAME?</definedName>
    <definedName name="_xlpm.betterPos" hidden="1" xlm="1">#NAME?</definedName>
    <definedName name="_xlpm.betterZero" hidden="1" xlm="1">#NAME?</definedName>
    <definedName name="_xlpm.f" hidden="1" xlm="1">#NAME?</definedName>
    <definedName name="_xlpm.g" hidden="1" xlm="1">#NAME?</definedName>
    <definedName name="_xlpm.grpA" hidden="1" xlm="1">#NAME?</definedName>
    <definedName name="_xlpm.grpBB" hidden="1" xlm="1">#NAME?</definedName>
    <definedName name="_xlpm.id" hidden="1" xlm="1">#NAME?</definedName>
    <definedName name="_xlpm.k" hidden="1" xlm="1">#NAME?</definedName>
    <definedName name="_xlpm.maxT" hidden="1" xlm="1">#NAME?</definedName>
    <definedName name="_xlpm.nBetterPos" hidden="1" xlm="1">#NAME?</definedName>
    <definedName name="_xlpm.nBetterZero" hidden="1" xlm="1">#NAME?</definedName>
    <definedName name="_xlpm.nPos" hidden="1" xlm="1">#NAME?</definedName>
    <definedName name="_xlpm.p" hidden="1" xlm="1">#NAME?</definedName>
    <definedName name="_xlpm.precio" hidden="1" xlm="1">#NAME?</definedName>
    <definedName name="_xlpm.q" hidden="1" xlm="1">#NAME?</definedName>
    <definedName name="_xlpm.r" hidden="1" xlm="1">#NAME?</definedName>
    <definedName name="_xlpm.rankPos" hidden="1" xlm="1">#NAME?</definedName>
    <definedName name="_xlpm.resultado" hidden="1" xlm="1">#NAME?</definedName>
    <definedName name="_xlpm.same" hidden="1" xlm="1">#NAME?</definedName>
    <definedName name="_xlpm.tarifa" hidden="1" xlm="1">#NAME?</definedName>
    <definedName name="_xlpm.x" hidden="1" xlm="1">#NAME?</definedName>
    <definedName name="_xlpm.xn" hidden="1" xlm="1">#NAME?</definedName>
  </definedNames>
  <calcPr calcId="191028"/>
  <pivotCaches>
    <pivotCache cacheId="15" r:id="rId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00" i="1" l="1"/>
  <c r="A201" i="1"/>
  <c r="A202" i="1"/>
  <c r="BA200" i="1"/>
  <c r="BD200" i="1"/>
  <c r="BE200" i="1"/>
  <c r="BA201" i="1"/>
  <c r="BD201" i="1"/>
  <c r="BE201" i="1"/>
  <c r="BA202" i="1"/>
  <c r="BD202" i="1"/>
  <c r="BE202" i="1"/>
  <c r="B5" i="31"/>
  <c r="B6" i="31"/>
  <c r="B7" i="31"/>
  <c r="B8" i="31"/>
  <c r="B9" i="31"/>
  <c r="B10" i="31"/>
  <c r="B11" i="31"/>
  <c r="B12" i="31"/>
  <c r="B13" i="31"/>
  <c r="B14" i="31"/>
  <c r="B15" i="31"/>
  <c r="B16" i="31"/>
  <c r="B17" i="31"/>
  <c r="B18" i="31"/>
  <c r="B19" i="31"/>
  <c r="B20" i="31"/>
  <c r="B21" i="31"/>
  <c r="B22" i="31"/>
  <c r="B23" i="31"/>
  <c r="B24" i="31"/>
  <c r="B25" i="31"/>
  <c r="B26" i="31"/>
  <c r="B4" i="31"/>
  <c r="AQ1" i="1"/>
  <c r="E6" i="37" l="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5" i="1"/>
  <c r="BE5" i="1"/>
  <c r="BE6" i="1"/>
  <c r="BE7" i="1"/>
  <c r="BE8" i="1"/>
  <c r="BE9" i="1"/>
  <c r="BE10" i="1"/>
  <c r="BE11" i="1"/>
  <c r="BE12" i="1"/>
  <c r="BE13" i="1"/>
  <c r="BE14" i="1"/>
  <c r="BE15" i="1"/>
  <c r="BE16" i="1"/>
  <c r="BE17" i="1"/>
  <c r="BE18" i="1"/>
  <c r="BE19" i="1"/>
  <c r="BE20" i="1"/>
  <c r="BE21" i="1"/>
  <c r="BE22" i="1"/>
  <c r="BE23" i="1"/>
  <c r="BE24" i="1"/>
  <c r="BE25" i="1"/>
  <c r="BE26" i="1"/>
  <c r="BE27" i="1"/>
  <c r="BE28" i="1"/>
  <c r="BE29" i="1"/>
  <c r="BE30" i="1"/>
  <c r="BE31" i="1"/>
  <c r="BE32" i="1"/>
  <c r="BE33" i="1"/>
  <c r="BE34" i="1"/>
  <c r="BE35" i="1"/>
  <c r="BE36" i="1"/>
  <c r="BE37" i="1"/>
  <c r="BE38" i="1"/>
  <c r="BE39" i="1"/>
  <c r="BE40" i="1"/>
  <c r="BE41" i="1"/>
  <c r="BE42" i="1"/>
  <c r="BE43" i="1"/>
  <c r="BE44" i="1"/>
  <c r="BE45" i="1"/>
  <c r="BE46" i="1"/>
  <c r="BE47" i="1"/>
  <c r="BE48" i="1"/>
  <c r="BE49" i="1"/>
  <c r="BE50" i="1"/>
  <c r="BE51" i="1"/>
  <c r="BE52" i="1"/>
  <c r="BE53" i="1"/>
  <c r="BE54" i="1"/>
  <c r="BE55" i="1"/>
  <c r="BE56" i="1"/>
  <c r="BE57" i="1"/>
  <c r="BE58" i="1"/>
  <c r="BE59" i="1"/>
  <c r="BE60" i="1"/>
  <c r="BE61" i="1"/>
  <c r="BE62" i="1"/>
  <c r="BE63" i="1"/>
  <c r="BE64" i="1"/>
  <c r="BE65" i="1"/>
  <c r="BE66" i="1"/>
  <c r="BE67" i="1"/>
  <c r="BE68" i="1"/>
  <c r="BE69" i="1"/>
  <c r="BE70" i="1"/>
  <c r="BE71" i="1"/>
  <c r="BE72" i="1"/>
  <c r="BE73" i="1"/>
  <c r="BE74" i="1"/>
  <c r="BE75" i="1"/>
  <c r="BE76" i="1"/>
  <c r="BE77" i="1"/>
  <c r="BE78" i="1"/>
  <c r="BE79" i="1"/>
  <c r="BE80" i="1"/>
  <c r="BE81" i="1"/>
  <c r="BE82" i="1"/>
  <c r="BE83" i="1"/>
  <c r="BE84" i="1"/>
  <c r="BE85" i="1"/>
  <c r="BE86" i="1"/>
  <c r="BE87" i="1"/>
  <c r="BE88" i="1"/>
  <c r="BE89" i="1"/>
  <c r="BE90" i="1"/>
  <c r="BE91" i="1"/>
  <c r="BE92" i="1"/>
  <c r="BE93" i="1"/>
  <c r="BE94" i="1"/>
  <c r="BE95" i="1"/>
  <c r="BE96" i="1"/>
  <c r="BE97" i="1"/>
  <c r="BE98" i="1"/>
  <c r="BE99" i="1"/>
  <c r="BE100" i="1"/>
  <c r="BE101" i="1"/>
  <c r="BE102" i="1"/>
  <c r="BE103" i="1"/>
  <c r="BE104" i="1"/>
  <c r="BE105" i="1"/>
  <c r="BE106" i="1"/>
  <c r="BE107" i="1"/>
  <c r="BE108" i="1"/>
  <c r="BE109" i="1"/>
  <c r="BE110" i="1"/>
  <c r="BE111" i="1"/>
  <c r="BE112" i="1"/>
  <c r="BE113" i="1"/>
  <c r="BE114" i="1"/>
  <c r="BE115" i="1"/>
  <c r="BE116" i="1"/>
  <c r="BE117" i="1"/>
  <c r="BE118" i="1"/>
  <c r="BE119" i="1"/>
  <c r="BE120" i="1"/>
  <c r="BE121" i="1"/>
  <c r="BE122" i="1"/>
  <c r="BE123" i="1"/>
  <c r="BE124" i="1"/>
  <c r="BE125" i="1"/>
  <c r="BE126" i="1"/>
  <c r="BE127" i="1"/>
  <c r="BE128" i="1"/>
  <c r="BE129" i="1"/>
  <c r="BE130" i="1"/>
  <c r="BE131" i="1"/>
  <c r="BE132" i="1"/>
  <c r="BE133" i="1"/>
  <c r="BE134" i="1"/>
  <c r="BE135" i="1"/>
  <c r="BE136" i="1"/>
  <c r="BE137" i="1"/>
  <c r="BE138" i="1"/>
  <c r="BE139" i="1"/>
  <c r="BE140" i="1"/>
  <c r="BE141" i="1"/>
  <c r="BE142" i="1"/>
  <c r="BE143" i="1"/>
  <c r="BE144" i="1"/>
  <c r="BE145" i="1"/>
  <c r="BE146" i="1"/>
  <c r="BE147" i="1"/>
  <c r="BE148" i="1"/>
  <c r="BE149" i="1"/>
  <c r="BE150" i="1"/>
  <c r="BE151" i="1"/>
  <c r="BE152" i="1"/>
  <c r="BE153" i="1"/>
  <c r="BE154" i="1"/>
  <c r="BE155" i="1"/>
  <c r="BE156" i="1"/>
  <c r="BE157" i="1"/>
  <c r="BE158" i="1"/>
  <c r="BE159" i="1"/>
  <c r="BE160" i="1"/>
  <c r="BE161" i="1"/>
  <c r="BE162" i="1"/>
  <c r="BE163" i="1"/>
  <c r="BE164" i="1"/>
  <c r="BE165" i="1"/>
  <c r="BE166" i="1"/>
  <c r="BE167" i="1"/>
  <c r="BE168" i="1"/>
  <c r="BE169" i="1"/>
  <c r="BE170" i="1"/>
  <c r="BE171" i="1"/>
  <c r="BE172" i="1"/>
  <c r="BE173" i="1"/>
  <c r="BE174" i="1"/>
  <c r="BE175" i="1"/>
  <c r="BE176" i="1"/>
  <c r="BE177" i="1"/>
  <c r="BE178" i="1"/>
  <c r="BE179" i="1"/>
  <c r="BE180" i="1"/>
  <c r="BE181" i="1"/>
  <c r="BE182" i="1"/>
  <c r="BE183" i="1"/>
  <c r="BE184" i="1"/>
  <c r="BE185" i="1"/>
  <c r="BE186" i="1"/>
  <c r="BE187" i="1"/>
  <c r="BE188" i="1"/>
  <c r="BE189" i="1"/>
  <c r="BE190" i="1"/>
  <c r="BE191" i="1"/>
  <c r="BE192" i="1"/>
  <c r="BE193" i="1"/>
  <c r="BE194" i="1"/>
  <c r="BE195" i="1"/>
  <c r="BE196" i="1"/>
  <c r="BE197" i="1"/>
  <c r="BE198" i="1"/>
  <c r="BE199" i="1"/>
  <c r="BE203" i="1"/>
  <c r="BE204" i="1"/>
  <c r="BE205" i="1"/>
  <c r="BE206" i="1"/>
  <c r="BE207" i="1"/>
  <c r="BE208" i="1"/>
  <c r="BE209" i="1"/>
  <c r="BE210" i="1"/>
  <c r="BE211" i="1"/>
  <c r="BE212" i="1"/>
  <c r="BE213" i="1"/>
  <c r="BE214" i="1"/>
  <c r="BE215" i="1"/>
  <c r="BE216" i="1"/>
  <c r="BE217" i="1"/>
  <c r="BE218" i="1"/>
  <c r="BE219" i="1"/>
  <c r="BE220" i="1"/>
  <c r="BE221" i="1"/>
  <c r="BE222" i="1"/>
  <c r="BE223" i="1"/>
  <c r="BE224" i="1"/>
  <c r="BE225" i="1"/>
  <c r="BE226" i="1"/>
  <c r="BE227" i="1"/>
  <c r="BE228" i="1"/>
  <c r="BE229" i="1"/>
  <c r="BE230" i="1"/>
  <c r="BE231" i="1"/>
  <c r="BE232" i="1"/>
  <c r="BE233" i="1"/>
  <c r="BE234" i="1"/>
  <c r="BE235" i="1"/>
  <c r="BE236" i="1"/>
  <c r="BE237" i="1"/>
  <c r="BE238" i="1"/>
  <c r="BE239" i="1"/>
  <c r="BE240" i="1"/>
  <c r="BE241" i="1"/>
  <c r="BE242" i="1"/>
  <c r="BE243" i="1"/>
  <c r="BE244" i="1"/>
  <c r="BE245" i="1"/>
  <c r="BE246" i="1"/>
  <c r="BE247" i="1"/>
  <c r="BE248" i="1"/>
  <c r="BE249" i="1"/>
  <c r="BE250" i="1"/>
  <c r="BD250" i="1"/>
  <c r="BA250" i="1"/>
  <c r="BD249" i="1"/>
  <c r="BA249" i="1"/>
  <c r="BD248" i="1"/>
  <c r="BA248" i="1"/>
  <c r="BD247" i="1"/>
  <c r="BA247" i="1"/>
  <c r="BD246" i="1"/>
  <c r="BA246" i="1"/>
  <c r="BD245" i="1"/>
  <c r="BA245" i="1"/>
  <c r="BD244" i="1"/>
  <c r="BA244" i="1"/>
  <c r="BD243" i="1"/>
  <c r="BA243" i="1"/>
  <c r="BD242" i="1"/>
  <c r="BA242" i="1"/>
  <c r="BD241" i="1"/>
  <c r="BA241" i="1"/>
  <c r="BD240" i="1"/>
  <c r="BA240" i="1"/>
  <c r="BD239" i="1"/>
  <c r="BA239" i="1"/>
  <c r="BD238" i="1"/>
  <c r="BA238" i="1"/>
  <c r="BD237" i="1"/>
  <c r="BA237" i="1"/>
  <c r="BD236" i="1"/>
  <c r="BA236" i="1"/>
  <c r="BD235" i="1"/>
  <c r="BA235" i="1"/>
  <c r="BD234" i="1"/>
  <c r="BA234" i="1"/>
  <c r="BD233" i="1"/>
  <c r="BA233" i="1"/>
  <c r="BD232" i="1"/>
  <c r="BA232" i="1"/>
  <c r="BD231" i="1"/>
  <c r="BA231" i="1"/>
  <c r="BD230" i="1"/>
  <c r="BA230" i="1"/>
  <c r="BD229" i="1"/>
  <c r="BA229" i="1"/>
  <c r="BD228" i="1"/>
  <c r="BA228" i="1"/>
  <c r="BD227" i="1"/>
  <c r="BA227" i="1"/>
  <c r="BD226" i="1"/>
  <c r="BA226" i="1"/>
  <c r="BD225" i="1"/>
  <c r="BA225" i="1"/>
  <c r="BD224" i="1"/>
  <c r="BA224" i="1"/>
  <c r="BD223" i="1"/>
  <c r="BA223" i="1"/>
  <c r="BD222" i="1"/>
  <c r="BA222" i="1"/>
  <c r="BD221" i="1"/>
  <c r="BA221" i="1"/>
  <c r="BD220" i="1"/>
  <c r="BA220" i="1"/>
  <c r="BD219" i="1"/>
  <c r="BA219" i="1"/>
  <c r="BD218" i="1"/>
  <c r="BA218" i="1"/>
  <c r="BD217" i="1"/>
  <c r="BA217" i="1"/>
  <c r="BD216" i="1"/>
  <c r="BA216" i="1"/>
  <c r="BD215" i="1"/>
  <c r="BA215" i="1"/>
  <c r="BD214" i="1"/>
  <c r="BA214" i="1"/>
  <c r="BD213" i="1"/>
  <c r="BA213" i="1"/>
  <c r="BD212" i="1"/>
  <c r="BA212" i="1"/>
  <c r="BD211" i="1"/>
  <c r="BA211" i="1"/>
  <c r="BD210" i="1"/>
  <c r="BA210" i="1"/>
  <c r="BD209" i="1"/>
  <c r="BA209" i="1"/>
  <c r="BD208" i="1"/>
  <c r="BA208" i="1"/>
  <c r="BD207" i="1"/>
  <c r="BA207" i="1"/>
  <c r="BD206" i="1"/>
  <c r="BA206" i="1"/>
  <c r="BD205" i="1"/>
  <c r="BA205" i="1"/>
  <c r="BD204" i="1"/>
  <c r="BA204" i="1"/>
  <c r="BD203" i="1"/>
  <c r="BA203" i="1"/>
  <c r="BD199" i="1"/>
  <c r="BA199" i="1"/>
  <c r="BD198" i="1"/>
  <c r="BA198" i="1"/>
  <c r="BD197" i="1"/>
  <c r="BA197" i="1"/>
  <c r="BD196" i="1"/>
  <c r="BA196" i="1"/>
  <c r="BD195" i="1"/>
  <c r="BA195" i="1"/>
  <c r="BD194" i="1"/>
  <c r="BA194" i="1"/>
  <c r="BD193" i="1"/>
  <c r="BA193" i="1"/>
  <c r="BD192" i="1"/>
  <c r="BA192" i="1"/>
  <c r="BD191" i="1"/>
  <c r="BA191" i="1"/>
  <c r="BD190" i="1"/>
  <c r="BA190" i="1"/>
  <c r="BD189" i="1"/>
  <c r="BA189" i="1"/>
  <c r="BD188" i="1"/>
  <c r="BA188" i="1"/>
  <c r="BD187" i="1"/>
  <c r="BA187" i="1"/>
  <c r="BD186" i="1"/>
  <c r="BA186" i="1"/>
  <c r="BD185" i="1"/>
  <c r="BA185" i="1"/>
  <c r="BD184" i="1"/>
  <c r="BA184" i="1"/>
  <c r="BD183" i="1"/>
  <c r="BA183" i="1"/>
  <c r="BD182" i="1"/>
  <c r="BA182" i="1"/>
  <c r="BD181" i="1"/>
  <c r="BA181" i="1"/>
  <c r="BD180" i="1"/>
  <c r="BA180" i="1"/>
  <c r="BD179" i="1"/>
  <c r="BA179" i="1"/>
  <c r="BD178" i="1"/>
  <c r="BA178" i="1"/>
  <c r="BD177" i="1"/>
  <c r="BA177" i="1"/>
  <c r="BD176" i="1"/>
  <c r="BA176" i="1"/>
  <c r="BD175" i="1"/>
  <c r="BA175" i="1"/>
  <c r="BD174" i="1"/>
  <c r="BA174" i="1"/>
  <c r="BD173" i="1"/>
  <c r="BA173" i="1"/>
  <c r="BD172" i="1"/>
  <c r="BA172" i="1"/>
  <c r="BD171" i="1"/>
  <c r="BA171" i="1"/>
  <c r="BD170" i="1"/>
  <c r="BA170" i="1"/>
  <c r="BD169" i="1"/>
  <c r="BA169" i="1"/>
  <c r="BD168" i="1"/>
  <c r="BA168" i="1"/>
  <c r="BD167" i="1"/>
  <c r="BA167" i="1"/>
  <c r="BD166" i="1"/>
  <c r="BA166" i="1"/>
  <c r="BD165" i="1"/>
  <c r="BA165" i="1"/>
  <c r="BD164" i="1"/>
  <c r="BA164" i="1"/>
  <c r="BD163" i="1"/>
  <c r="BA163" i="1"/>
  <c r="BD162" i="1"/>
  <c r="BA162" i="1"/>
  <c r="BD161" i="1"/>
  <c r="BA161" i="1"/>
  <c r="BD160" i="1"/>
  <c r="BA160" i="1"/>
  <c r="BD159" i="1"/>
  <c r="BA159" i="1"/>
  <c r="BD158" i="1"/>
  <c r="BA158" i="1"/>
  <c r="BD157" i="1"/>
  <c r="BA157" i="1"/>
  <c r="BD156" i="1"/>
  <c r="BA156" i="1"/>
  <c r="BD155" i="1"/>
  <c r="BA155" i="1"/>
  <c r="BD154" i="1"/>
  <c r="BA154" i="1"/>
  <c r="BD153" i="1"/>
  <c r="BA153" i="1"/>
  <c r="BD152" i="1"/>
  <c r="BA152" i="1"/>
  <c r="BD151" i="1"/>
  <c r="BA151" i="1"/>
  <c r="BD150" i="1"/>
  <c r="BA150" i="1"/>
  <c r="BD149" i="1"/>
  <c r="BA149" i="1"/>
  <c r="BD148" i="1"/>
  <c r="BA148" i="1"/>
  <c r="BD147" i="1"/>
  <c r="BA147" i="1"/>
  <c r="BD146" i="1"/>
  <c r="BA146" i="1"/>
  <c r="BD145" i="1"/>
  <c r="BA145" i="1"/>
  <c r="BD144" i="1"/>
  <c r="BA144" i="1"/>
  <c r="BD143" i="1"/>
  <c r="BA143" i="1"/>
  <c r="BD142" i="1"/>
  <c r="BA142" i="1"/>
  <c r="BD141" i="1"/>
  <c r="BA141" i="1"/>
  <c r="BD140" i="1"/>
  <c r="BA140" i="1"/>
  <c r="BD139" i="1"/>
  <c r="BA139" i="1"/>
  <c r="BD138" i="1"/>
  <c r="BA138" i="1"/>
  <c r="BD137" i="1"/>
  <c r="BA137" i="1"/>
  <c r="BD136" i="1"/>
  <c r="BA136" i="1"/>
  <c r="BD135" i="1"/>
  <c r="BA135" i="1"/>
  <c r="BD134" i="1"/>
  <c r="BA134" i="1"/>
  <c r="BD133" i="1"/>
  <c r="BA133" i="1"/>
  <c r="BD132" i="1"/>
  <c r="BA132" i="1"/>
  <c r="BD131" i="1"/>
  <c r="BA131" i="1"/>
  <c r="BD130" i="1"/>
  <c r="BA130" i="1"/>
  <c r="BD129" i="1"/>
  <c r="BA129" i="1"/>
  <c r="BD128" i="1"/>
  <c r="BA128" i="1"/>
  <c r="BD127" i="1"/>
  <c r="BA127" i="1"/>
  <c r="BD126" i="1"/>
  <c r="BA126" i="1"/>
  <c r="BD125" i="1"/>
  <c r="BA125" i="1"/>
  <c r="BD124" i="1"/>
  <c r="BA124" i="1"/>
  <c r="BD123" i="1"/>
  <c r="BA123" i="1"/>
  <c r="BD122" i="1"/>
  <c r="BA122" i="1"/>
  <c r="BD121" i="1"/>
  <c r="BA121" i="1"/>
  <c r="BD120" i="1"/>
  <c r="BA120" i="1"/>
  <c r="BD119" i="1"/>
  <c r="BA119" i="1"/>
  <c r="BD118" i="1"/>
  <c r="BA118" i="1"/>
  <c r="BD117" i="1"/>
  <c r="BA117" i="1"/>
  <c r="BD116" i="1"/>
  <c r="BA116" i="1"/>
  <c r="BD115" i="1"/>
  <c r="BA115" i="1"/>
  <c r="BD114" i="1"/>
  <c r="BA114" i="1"/>
  <c r="BD113" i="1"/>
  <c r="BA113" i="1"/>
  <c r="BD112" i="1"/>
  <c r="BA112" i="1"/>
  <c r="BD111" i="1"/>
  <c r="BA111" i="1"/>
  <c r="BD110" i="1"/>
  <c r="BA110" i="1"/>
  <c r="BD109" i="1"/>
  <c r="BA109" i="1"/>
  <c r="BD108" i="1"/>
  <c r="BA108" i="1"/>
  <c r="BD107" i="1"/>
  <c r="BA107" i="1"/>
  <c r="BD106" i="1"/>
  <c r="BA106" i="1"/>
  <c r="BD105" i="1"/>
  <c r="BA105" i="1"/>
  <c r="BD104" i="1"/>
  <c r="BA104" i="1"/>
  <c r="BD103" i="1"/>
  <c r="BA103" i="1"/>
  <c r="BD102" i="1"/>
  <c r="BA102" i="1"/>
  <c r="BD101" i="1"/>
  <c r="BA101" i="1"/>
  <c r="BD100" i="1"/>
  <c r="BA100" i="1"/>
  <c r="BD99" i="1"/>
  <c r="BA99" i="1"/>
  <c r="BD98" i="1"/>
  <c r="BA98" i="1"/>
  <c r="BD97" i="1"/>
  <c r="BA97" i="1"/>
  <c r="BD96" i="1"/>
  <c r="BA96" i="1"/>
  <c r="BD95" i="1"/>
  <c r="BA95" i="1"/>
  <c r="BD94" i="1"/>
  <c r="BA94" i="1"/>
  <c r="BD93" i="1"/>
  <c r="BA93" i="1"/>
  <c r="BD92" i="1"/>
  <c r="BA92" i="1"/>
  <c r="BD91" i="1"/>
  <c r="BA91" i="1"/>
  <c r="BD90" i="1"/>
  <c r="BA90" i="1"/>
  <c r="BD89" i="1"/>
  <c r="BA89" i="1"/>
  <c r="BD88" i="1"/>
  <c r="BA88" i="1"/>
  <c r="BD87" i="1"/>
  <c r="BA87" i="1"/>
  <c r="BD86" i="1"/>
  <c r="BA86" i="1"/>
  <c r="BD85" i="1"/>
  <c r="BA85" i="1"/>
  <c r="BD84" i="1"/>
  <c r="BA84" i="1"/>
  <c r="BD83" i="1"/>
  <c r="BA83" i="1"/>
  <c r="BD82" i="1"/>
  <c r="BA82" i="1"/>
  <c r="BD81" i="1"/>
  <c r="BA81" i="1"/>
  <c r="BD80" i="1"/>
  <c r="BA80" i="1"/>
  <c r="BD79" i="1"/>
  <c r="BA79" i="1"/>
  <c r="BD78" i="1"/>
  <c r="BA78" i="1"/>
  <c r="BD77" i="1"/>
  <c r="BA77" i="1"/>
  <c r="BD76" i="1"/>
  <c r="BA76" i="1"/>
  <c r="BD75" i="1"/>
  <c r="BA75" i="1"/>
  <c r="BD74" i="1"/>
  <c r="BA74" i="1"/>
  <c r="BD73" i="1"/>
  <c r="BA73" i="1"/>
  <c r="BD72" i="1"/>
  <c r="BA72" i="1"/>
  <c r="BD71" i="1"/>
  <c r="BA71" i="1"/>
  <c r="BD70" i="1"/>
  <c r="BA70" i="1"/>
  <c r="BD69" i="1"/>
  <c r="BA69" i="1"/>
  <c r="BD68" i="1"/>
  <c r="BA68" i="1"/>
  <c r="BD67" i="1"/>
  <c r="BA67" i="1"/>
  <c r="BD66" i="1"/>
  <c r="BA66" i="1"/>
  <c r="BD65" i="1"/>
  <c r="BA65" i="1"/>
  <c r="BD64" i="1"/>
  <c r="BA64" i="1"/>
  <c r="BD63" i="1"/>
  <c r="BA63" i="1"/>
  <c r="BD62" i="1"/>
  <c r="BA62" i="1"/>
  <c r="BD61" i="1"/>
  <c r="BA61" i="1"/>
  <c r="BD60" i="1"/>
  <c r="BA60" i="1"/>
  <c r="BD59" i="1"/>
  <c r="BA59" i="1"/>
  <c r="BD58" i="1"/>
  <c r="BA58" i="1"/>
  <c r="BD57" i="1"/>
  <c r="BA57" i="1"/>
  <c r="BD56" i="1"/>
  <c r="BA56" i="1"/>
  <c r="BD55" i="1"/>
  <c r="BA55" i="1"/>
  <c r="BD54" i="1"/>
  <c r="BA54" i="1"/>
  <c r="BD53" i="1"/>
  <c r="BA53" i="1"/>
  <c r="BD52" i="1"/>
  <c r="BA52" i="1"/>
  <c r="BD51" i="1"/>
  <c r="BA51" i="1"/>
  <c r="BD50" i="1"/>
  <c r="BA50" i="1"/>
  <c r="BD49" i="1"/>
  <c r="BA49" i="1"/>
  <c r="BD48" i="1"/>
  <c r="BA48" i="1"/>
  <c r="BD47" i="1"/>
  <c r="BA47" i="1"/>
  <c r="BD46" i="1"/>
  <c r="BA46" i="1"/>
  <c r="BD45" i="1"/>
  <c r="BA45" i="1"/>
  <c r="BD44" i="1"/>
  <c r="BA44" i="1"/>
  <c r="BD43" i="1"/>
  <c r="BA43" i="1"/>
  <c r="BD42" i="1"/>
  <c r="BA42" i="1"/>
  <c r="BD41" i="1"/>
  <c r="BA41" i="1"/>
  <c r="BD40" i="1"/>
  <c r="BA40" i="1"/>
  <c r="BD39" i="1"/>
  <c r="BA39" i="1"/>
  <c r="BD38" i="1"/>
  <c r="BA38" i="1"/>
  <c r="BD37" i="1"/>
  <c r="BA37" i="1"/>
  <c r="BD36" i="1"/>
  <c r="BA36" i="1"/>
  <c r="BD35" i="1"/>
  <c r="BA35" i="1"/>
  <c r="BD34" i="1"/>
  <c r="BA34" i="1"/>
  <c r="BD33" i="1"/>
  <c r="BA33" i="1"/>
  <c r="BD32" i="1"/>
  <c r="BA32" i="1"/>
  <c r="BD31" i="1"/>
  <c r="BA31" i="1"/>
  <c r="BD30" i="1"/>
  <c r="BA30" i="1"/>
  <c r="BD29" i="1"/>
  <c r="BA29" i="1"/>
  <c r="BD28" i="1"/>
  <c r="BA28" i="1"/>
  <c r="BD27" i="1"/>
  <c r="BA27" i="1"/>
  <c r="BD26" i="1"/>
  <c r="BA26" i="1"/>
  <c r="BD25" i="1"/>
  <c r="BA25" i="1"/>
  <c r="BD24" i="1"/>
  <c r="BA24" i="1"/>
  <c r="BD23" i="1"/>
  <c r="BA23" i="1"/>
  <c r="BD22" i="1"/>
  <c r="BA22" i="1"/>
  <c r="BD21" i="1"/>
  <c r="BA21" i="1"/>
  <c r="BD20" i="1"/>
  <c r="BA20" i="1"/>
  <c r="BD19" i="1"/>
  <c r="BA19" i="1"/>
  <c r="BD18" i="1"/>
  <c r="BA18" i="1"/>
  <c r="BD17" i="1"/>
  <c r="BA17" i="1"/>
  <c r="BD16" i="1"/>
  <c r="BA16" i="1"/>
  <c r="BD15" i="1"/>
  <c r="BA15" i="1"/>
  <c r="BD14" i="1"/>
  <c r="BA14" i="1"/>
  <c r="BD13" i="1"/>
  <c r="BA13" i="1"/>
  <c r="BD12" i="1"/>
  <c r="BA12" i="1"/>
  <c r="BD11" i="1"/>
  <c r="BA11" i="1"/>
  <c r="BD10" i="1"/>
  <c r="BA10" i="1"/>
  <c r="BD9" i="1"/>
  <c r="BA9" i="1"/>
  <c r="BD8" i="1"/>
  <c r="BA8" i="1"/>
  <c r="BD7" i="1"/>
  <c r="BA7" i="1"/>
  <c r="BD6" i="1"/>
  <c r="BA6" i="1"/>
  <c r="BD5" i="1"/>
  <c r="BA5" i="1"/>
  <c r="BB200" i="1" l="1"/>
  <c r="BC200" i="1" s="1"/>
  <c r="BB201" i="1"/>
  <c r="BC201" i="1" s="1"/>
  <c r="BB202" i="1"/>
  <c r="BC202" i="1" s="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K9" i="37" a="1"/>
  <c r="K9" i="37" s="1"/>
  <c r="H9" i="37" a="1"/>
  <c r="H9" i="37" s="1"/>
  <c r="G9" i="37" a="1"/>
  <c r="G9" i="37" s="1"/>
  <c r="F9" i="37" a="1"/>
  <c r="F9" i="37" s="1"/>
  <c r="E9" i="37" a="1"/>
  <c r="E9" i="37" s="1"/>
  <c r="D9" i="37" a="1"/>
  <c r="D9" i="37" s="1"/>
  <c r="C9" i="37" a="1"/>
  <c r="C9" i="37" s="1"/>
  <c r="A5" i="32" l="1"/>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 i="32"/>
  <c r="BC18" i="1" l="1"/>
  <c r="BC114" i="1"/>
  <c r="BC179" i="1"/>
  <c r="BC61" i="1"/>
  <c r="BC237" i="1"/>
  <c r="BC15" i="1"/>
  <c r="BC66" i="1"/>
  <c r="BC178" i="1"/>
  <c r="BC95" i="1"/>
  <c r="BC45" i="1"/>
  <c r="BC234" i="1"/>
  <c r="BC112" i="1"/>
  <c r="BC235" i="1"/>
  <c r="BC208" i="1"/>
  <c r="BC7" i="1"/>
  <c r="BC211" i="1"/>
  <c r="BC43" i="1"/>
  <c r="BC184" i="1"/>
  <c r="BC233" i="1"/>
  <c r="BC5" i="1"/>
  <c r="BC139" i="1"/>
  <c r="BC129" i="1"/>
  <c r="BC47" i="1"/>
  <c r="BC149" i="1"/>
  <c r="BC212" i="1"/>
  <c r="BC32" i="1"/>
  <c r="BC49" i="1"/>
  <c r="BC111" i="1"/>
  <c r="BC46" i="1"/>
  <c r="BC26" i="1"/>
  <c r="BC24" i="1"/>
  <c r="BC74" i="1"/>
  <c r="BC182" i="1"/>
  <c r="BC245" i="1"/>
  <c r="BC88" i="1"/>
  <c r="BC213" i="1"/>
  <c r="BC82" i="1"/>
  <c r="BC143" i="1"/>
  <c r="BC109" i="1"/>
  <c r="BC25" i="1"/>
  <c r="BC173" i="1"/>
  <c r="BC60" i="1"/>
  <c r="BC116" i="1"/>
  <c r="BC240" i="1"/>
  <c r="BC162" i="1"/>
  <c r="BC220" i="1"/>
  <c r="BC102" i="1"/>
  <c r="BC241" i="1"/>
  <c r="BC52" i="1"/>
  <c r="BC238" i="1"/>
  <c r="BC123" i="1"/>
  <c r="BC172" i="1"/>
  <c r="BC247" i="1"/>
  <c r="BC20" i="1"/>
  <c r="BC57" i="1"/>
  <c r="BC218" i="1"/>
  <c r="BC34" i="1"/>
  <c r="BC228" i="1"/>
  <c r="BC174" i="1"/>
  <c r="BC62" i="1"/>
  <c r="BC225" i="1"/>
  <c r="BC144" i="1"/>
  <c r="BC76" i="1"/>
  <c r="BC9" i="1"/>
  <c r="BC243" i="1"/>
  <c r="BC132" i="1"/>
  <c r="BC106" i="1"/>
  <c r="BC128" i="1"/>
  <c r="BC236" i="1"/>
  <c r="BC203" i="1"/>
  <c r="BC30" i="1"/>
  <c r="BC215" i="1"/>
  <c r="BC248" i="1"/>
  <c r="BC55" i="1"/>
  <c r="BC209" i="1"/>
  <c r="BC13" i="1"/>
  <c r="BC72" i="1"/>
  <c r="BC121" i="1"/>
  <c r="BC183" i="1"/>
  <c r="BC86" i="1"/>
  <c r="BC224" i="1"/>
  <c r="BC122" i="1"/>
  <c r="BC131" i="1"/>
  <c r="BC244" i="1"/>
  <c r="BC38" i="1"/>
  <c r="BC69" i="1"/>
  <c r="BC19" i="1"/>
  <c r="BC63" i="1"/>
  <c r="BC40" i="1"/>
  <c r="BC171" i="1"/>
  <c r="BC87" i="1"/>
  <c r="BC181" i="1"/>
  <c r="BC192" i="1"/>
  <c r="BC167" i="1"/>
  <c r="BC90" i="1"/>
  <c r="BC100" i="1"/>
  <c r="BC126" i="1"/>
  <c r="BC125" i="1"/>
  <c r="BC110" i="1"/>
  <c r="BC117" i="1"/>
  <c r="BC229" i="1"/>
  <c r="BC204" i="1"/>
  <c r="BC94" i="1"/>
  <c r="BC99" i="1"/>
  <c r="BC51" i="1"/>
  <c r="BC42" i="1"/>
  <c r="BC115" i="1"/>
  <c r="BC48" i="1"/>
  <c r="BC191" i="1"/>
  <c r="BC187" i="1"/>
  <c r="BC108" i="1"/>
  <c r="BC145" i="1"/>
  <c r="BC91" i="1"/>
  <c r="BC127" i="1"/>
  <c r="BC8" i="1"/>
  <c r="BC141" i="1"/>
  <c r="BC79" i="1"/>
  <c r="BC198" i="1"/>
  <c r="BC214" i="1"/>
  <c r="BC75" i="1"/>
  <c r="BC80" i="1"/>
  <c r="BC58" i="1"/>
  <c r="BC223" i="1"/>
  <c r="BC103" i="1"/>
  <c r="BC39" i="1"/>
  <c r="BC158" i="1"/>
  <c r="BC124" i="1"/>
  <c r="BC14" i="1"/>
  <c r="BC6" i="1"/>
  <c r="BC190" i="1"/>
  <c r="BC197" i="1"/>
  <c r="BC148" i="1"/>
  <c r="BC146" i="1"/>
  <c r="BC37" i="1"/>
  <c r="BC188" i="1"/>
  <c r="BC130" i="1"/>
  <c r="BC41" i="1"/>
  <c r="BC84" i="1"/>
  <c r="BC185" i="1"/>
  <c r="BC249" i="1"/>
  <c r="BC155" i="1"/>
  <c r="BC180" i="1"/>
  <c r="BC53" i="1"/>
  <c r="BC31" i="1"/>
  <c r="BC85" i="1"/>
  <c r="BC21" i="1"/>
  <c r="BC96" i="1"/>
  <c r="BC68" i="1"/>
  <c r="BC207" i="1"/>
  <c r="BC152" i="1"/>
  <c r="BC177" i="1"/>
  <c r="BC150" i="1"/>
  <c r="BC105" i="1"/>
  <c r="BC239" i="1"/>
  <c r="BC142" i="1"/>
  <c r="BC93" i="1"/>
  <c r="BC246" i="1"/>
  <c r="BC176" i="1"/>
  <c r="BC186" i="1"/>
  <c r="BC194" i="1"/>
  <c r="BC195" i="1"/>
  <c r="BC138" i="1"/>
  <c r="BC161" i="1"/>
  <c r="BC89" i="1"/>
  <c r="BC227" i="1"/>
  <c r="BC210" i="1"/>
  <c r="BC133" i="1"/>
  <c r="BC22" i="1"/>
  <c r="BC83" i="1"/>
  <c r="BC219" i="1"/>
  <c r="BC134" i="1"/>
  <c r="BC23" i="1"/>
  <c r="BC170" i="1"/>
  <c r="BC159" i="1"/>
  <c r="BC77" i="1"/>
  <c r="BC230" i="1"/>
  <c r="BC193" i="1"/>
  <c r="BC226" i="1"/>
  <c r="BC44" i="1"/>
  <c r="BC16" i="1"/>
  <c r="BC81" i="1"/>
  <c r="BC157" i="1"/>
  <c r="BC54" i="1"/>
  <c r="BC67" i="1"/>
  <c r="BC118" i="1"/>
  <c r="BC113" i="1"/>
  <c r="BC98" i="1"/>
  <c r="BC169" i="1"/>
  <c r="BC135" i="1"/>
  <c r="BC33" i="1"/>
  <c r="BC199" i="1"/>
  <c r="BC137" i="1"/>
  <c r="BC101" i="1"/>
  <c r="BC216" i="1"/>
  <c r="BC104" i="1"/>
  <c r="BC164" i="1"/>
  <c r="BC151" i="1"/>
  <c r="BC232" i="1"/>
  <c r="BC168" i="1"/>
  <c r="BC50" i="1"/>
  <c r="BC10" i="1"/>
  <c r="BC17" i="1"/>
  <c r="BC156" i="1"/>
  <c r="BC11" i="1"/>
  <c r="BC250" i="1"/>
  <c r="BC153" i="1"/>
  <c r="BC120" i="1"/>
  <c r="BC28" i="1"/>
  <c r="BC78" i="1"/>
  <c r="BC97" i="1"/>
  <c r="BC205" i="1"/>
  <c r="BC189" i="1"/>
  <c r="BC27" i="1"/>
  <c r="BC36" i="1"/>
  <c r="BC12" i="1"/>
  <c r="BC70" i="1"/>
  <c r="BC222" i="1"/>
  <c r="BC73" i="1"/>
  <c r="BC71" i="1"/>
  <c r="BC163" i="1"/>
  <c r="BC221" i="1"/>
  <c r="BC166" i="1"/>
  <c r="BC206" i="1"/>
  <c r="BC136" i="1"/>
  <c r="BC242" i="1"/>
  <c r="BC140" i="1"/>
  <c r="BC59" i="1"/>
  <c r="BC175" i="1"/>
  <c r="BC154" i="1"/>
  <c r="BC196" i="1"/>
  <c r="BC65" i="1"/>
  <c r="BC231" i="1"/>
  <c r="BC35" i="1"/>
  <c r="BC160" i="1"/>
  <c r="BC165" i="1"/>
  <c r="BC56" i="1"/>
  <c r="BC92" i="1"/>
  <c r="BC147" i="1"/>
  <c r="BC29" i="1"/>
  <c r="BC119" i="1"/>
  <c r="BC107" i="1"/>
  <c r="BC217" i="1"/>
  <c r="BC64" i="1"/>
  <c r="L9" i="37" a="1"/>
  <c r="L9" i="37" s="1"/>
  <c r="AF1" i="1"/>
  <c r="J9" i="37" l="1" a="1"/>
  <c r="J9" i="37" s="1"/>
  <c r="I9" i="37" a="1"/>
  <c r="I9" i="37" s="1"/>
  <c r="AX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<sst xmlns="http://schemas.openxmlformats.org/spreadsheetml/2006/main" count="4684" uniqueCount="342">
  <si>
    <t xml:space="preserve">AIRFREIGHTS RATES - FINAL </t>
  </si>
  <si>
    <t>Anual</t>
  </si>
  <si>
    <t>Origin</t>
  </si>
  <si>
    <t>Nombre completo</t>
  </si>
  <si>
    <t>Nº Transshipment</t>
  </si>
  <si>
    <t>Destination</t>
  </si>
  <si>
    <t>W</t>
  </si>
  <si>
    <t>Customer RFQ Information</t>
  </si>
  <si>
    <t>Pickup including Fuel Surcharge</t>
  </si>
  <si>
    <t>Terminal Handling at Origin</t>
  </si>
  <si>
    <t>Export Declaration</t>
  </si>
  <si>
    <t>Xray Fee</t>
  </si>
  <si>
    <t>Dangerous Goods Handling</t>
  </si>
  <si>
    <t>Air Freight</t>
  </si>
  <si>
    <t>Delivery including Fuel Surcharge</t>
  </si>
  <si>
    <t>Terminal Handling at Destination</t>
  </si>
  <si>
    <t>Provider_Name</t>
  </si>
  <si>
    <t>AXIS</t>
  </si>
  <si>
    <t>ID</t>
  </si>
  <si>
    <t>Shipper/ILN</t>
  </si>
  <si>
    <t>Type of Flow</t>
  </si>
  <si>
    <t>Country Code</t>
  </si>
  <si>
    <t>City</t>
  </si>
  <si>
    <t>State / Province Code</t>
  </si>
  <si>
    <t>Postal Code</t>
  </si>
  <si>
    <t>Origin Airport</t>
  </si>
  <si>
    <t>Country Code Destin</t>
  </si>
  <si>
    <t>City Destin</t>
  </si>
  <si>
    <t>State / Province Code2</t>
  </si>
  <si>
    <t>Postal Code3</t>
  </si>
  <si>
    <t>Destination Airport</t>
  </si>
  <si>
    <t>Destination Plant</t>
  </si>
  <si>
    <t>Annual #Shipments</t>
  </si>
  <si>
    <t>Customer Anual Weight (kg)</t>
  </si>
  <si>
    <t>Customer Chargeable Weight</t>
  </si>
  <si>
    <t>Customer Avg Shipment/Weight</t>
  </si>
  <si>
    <t>Service Level (Normal, Economy and Express)</t>
  </si>
  <si>
    <t>Total Transit Door-to-Door (days)</t>
  </si>
  <si>
    <t>Min</t>
  </si>
  <si>
    <t>Pickup Flat per kg</t>
  </si>
  <si>
    <t>Max</t>
  </si>
  <si>
    <t>Origin to Airport Transit Time in days</t>
  </si>
  <si>
    <t>Min4</t>
  </si>
  <si>
    <t>Per KG</t>
  </si>
  <si>
    <t>Per Declaration</t>
  </si>
  <si>
    <t>Min5</t>
  </si>
  <si>
    <t>Per Kg6</t>
  </si>
  <si>
    <t>Per Shipment</t>
  </si>
  <si>
    <t>Min7</t>
  </si>
  <si>
    <t>&lt;45 kg</t>
  </si>
  <si>
    <t>&gt;45 kg</t>
  </si>
  <si>
    <t>&gt;100 kg</t>
  </si>
  <si>
    <t>&gt;300 kg</t>
  </si>
  <si>
    <t>&gt;500 kg</t>
  </si>
  <si>
    <t>&gt;1000 kg</t>
  </si>
  <si>
    <t>&gt;2500 kg</t>
  </si>
  <si>
    <t>&gt;5000 kg</t>
  </si>
  <si>
    <t>Airport to Airport Transit Time Days</t>
  </si>
  <si>
    <t>Air Carrier (Complete Name)</t>
  </si>
  <si>
    <t>Flight Frequency (days per week)</t>
  </si>
  <si>
    <t>Min8</t>
  </si>
  <si>
    <t>Delivery Flat per kg</t>
  </si>
  <si>
    <t>Max9</t>
  </si>
  <si>
    <t>Airport to Destination Transit Time Days</t>
  </si>
  <si>
    <t>Min10</t>
  </si>
  <si>
    <t>Per KG11</t>
  </si>
  <si>
    <t>Service Level</t>
  </si>
  <si>
    <t>Total RATE €</t>
  </si>
  <si>
    <t>€/Kg</t>
  </si>
  <si>
    <t>Frequency (days per week)</t>
  </si>
  <si>
    <t>Total TT (days)</t>
  </si>
  <si>
    <t>DHL_B</t>
  </si>
  <si>
    <t>CN&gt;BR</t>
  </si>
  <si>
    <t>A0005</t>
  </si>
  <si>
    <t>ILN China</t>
  </si>
  <si>
    <t>Backup</t>
  </si>
  <si>
    <t>CN</t>
  </si>
  <si>
    <t>Shanghai</t>
  </si>
  <si>
    <t>PVG</t>
  </si>
  <si>
    <t>BR</t>
  </si>
  <si>
    <t>Curitiba</t>
  </si>
  <si>
    <t xml:space="preserve">São José dos Pinhais </t>
  </si>
  <si>
    <t>83070-147</t>
  </si>
  <si>
    <t>VCP</t>
  </si>
  <si>
    <t>Horse Brasil</t>
  </si>
  <si>
    <t>Economy</t>
  </si>
  <si>
    <t>At Cost</t>
  </si>
  <si>
    <t>CX/KE/CHINA AIR/CHINA SOUTHERN/CA/QANTAS/EVA AIR/UNITED AIRLINES</t>
  </si>
  <si>
    <t>KWE China</t>
  </si>
  <si>
    <t>CWB</t>
  </si>
  <si>
    <t>Express</t>
  </si>
  <si>
    <t>Normal</t>
  </si>
  <si>
    <t>Main</t>
  </si>
  <si>
    <t>GRU</t>
  </si>
  <si>
    <t>CHINA AIR/CHINA SOUTHERN/CA/QANTAS/EVA AIR/UNITED AIRLINES</t>
  </si>
  <si>
    <t>CN&gt;ES</t>
  </si>
  <si>
    <t>A0006</t>
  </si>
  <si>
    <t>Infimotion</t>
  </si>
  <si>
    <t>Wuxi</t>
  </si>
  <si>
    <t>Jiangsu</t>
  </si>
  <si>
    <t>ES</t>
  </si>
  <si>
    <t>Sevilla</t>
  </si>
  <si>
    <t>MAD</t>
  </si>
  <si>
    <t>Horse Sevilla</t>
  </si>
  <si>
    <t>TURKISH AIRLINES/EMIRATES/CHINA AIR/CARGOLAT/AERO MEXICO AIRLINESIR EUROPA/ETIHAD/QATAR AIRWAYS</t>
  </si>
  <si>
    <t>ILN China-AS</t>
  </si>
  <si>
    <t>Valladolid</t>
  </si>
  <si>
    <t>Horse Valladolid</t>
  </si>
  <si>
    <t>TURKISH AIRLINES/EMIRATES/CHINA AIR/CARGOLATAERO MEXICO AIRLINESIR EUROPA/ETIHAD/QATAR AIRWAYS</t>
  </si>
  <si>
    <t>CN&gt;PT</t>
  </si>
  <si>
    <t>A0007</t>
  </si>
  <si>
    <t>PT</t>
  </si>
  <si>
    <t>Aveiro</t>
  </si>
  <si>
    <t>Cacia</t>
  </si>
  <si>
    <t xml:space="preserve">3800-640 </t>
  </si>
  <si>
    <t>OPO</t>
  </si>
  <si>
    <t>Horse Romania</t>
  </si>
  <si>
    <t>CN&gt;RO</t>
  </si>
  <si>
    <t>A0008</t>
  </si>
  <si>
    <t>RO</t>
  </si>
  <si>
    <t>Pitesti</t>
  </si>
  <si>
    <t>Mioveni</t>
  </si>
  <si>
    <t>OTP</t>
  </si>
  <si>
    <t>CHINA AIR/CHINA SOUTHERN/CA/LUFTHANSA/ET/CARGOLATAERO MEXICO AIRLINESIR EUROPA</t>
  </si>
  <si>
    <t>CN&gt;TR</t>
  </si>
  <si>
    <t>A0009</t>
  </si>
  <si>
    <t>TR</t>
  </si>
  <si>
    <t>Bursa</t>
  </si>
  <si>
    <t>Istambul</t>
  </si>
  <si>
    <t>IST</t>
  </si>
  <si>
    <t>Horse Turkey</t>
  </si>
  <si>
    <t>TURKISH AIRLINES/EMIRATES/QATAR AIRWAYS/ETIHAD</t>
  </si>
  <si>
    <t>ES&gt;BR</t>
  </si>
  <si>
    <t>A0010</t>
  </si>
  <si>
    <t>ILN Valladolid</t>
  </si>
  <si>
    <t>DHL</t>
  </si>
  <si>
    <t>SFK VALLADOLID</t>
  </si>
  <si>
    <t>ES&gt;CL</t>
  </si>
  <si>
    <t>A0011</t>
  </si>
  <si>
    <t>CDG</t>
  </si>
  <si>
    <t>CL</t>
  </si>
  <si>
    <t>Los Andes</t>
  </si>
  <si>
    <t>Valparaíso</t>
  </si>
  <si>
    <t>SCL</t>
  </si>
  <si>
    <t>Horse Chile</t>
  </si>
  <si>
    <t>-</t>
  </si>
  <si>
    <t>AERO MEXICO</t>
  </si>
  <si>
    <t>AIR FRANCE</t>
  </si>
  <si>
    <t>FR&gt;BR</t>
  </si>
  <si>
    <t>A0012</t>
  </si>
  <si>
    <t>ILN CLEON</t>
  </si>
  <si>
    <t>FR</t>
  </si>
  <si>
    <t>Cleon</t>
  </si>
  <si>
    <t>Seine‑Maritime</t>
  </si>
  <si>
    <t>AZUL AIRLINES</t>
  </si>
  <si>
    <t>SFK FRANCE</t>
  </si>
  <si>
    <t>Saint‑André‑de‑l’Eure</t>
  </si>
  <si>
    <t>Eure</t>
  </si>
  <si>
    <t>TAP PORTUGAL</t>
  </si>
  <si>
    <t>LUFTHANSA</t>
  </si>
  <si>
    <t>LUFTHANSA/CARGOLATAERO MEXICO AIRLINESIR EUROPA</t>
  </si>
  <si>
    <t>AIR EUROPA</t>
  </si>
  <si>
    <t>FR&gt;CL</t>
  </si>
  <si>
    <t>A0013</t>
  </si>
  <si>
    <t>IN&gt;BR</t>
  </si>
  <si>
    <t>A0014</t>
  </si>
  <si>
    <t>ILN India</t>
  </si>
  <si>
    <t>IN</t>
  </si>
  <si>
    <t>Pune</t>
  </si>
  <si>
    <t>Maharashtra</t>
  </si>
  <si>
    <t>BOM</t>
  </si>
  <si>
    <t>DHL CHOICE</t>
  </si>
  <si>
    <t>Chennai</t>
  </si>
  <si>
    <t>Tamil Nadu</t>
  </si>
  <si>
    <t>MAA</t>
  </si>
  <si>
    <t xml:space="preserve">DHL CHOICE </t>
  </si>
  <si>
    <t>IN&gt;CL</t>
  </si>
  <si>
    <t>A0015</t>
  </si>
  <si>
    <t>IN&gt;ES</t>
  </si>
  <si>
    <t>A0016</t>
  </si>
  <si>
    <t>Renault Pune-AS</t>
  </si>
  <si>
    <t>IN&gt;RO</t>
  </si>
  <si>
    <t>A0017</t>
  </si>
  <si>
    <t>ILN INDIA</t>
  </si>
  <si>
    <t>IN&gt;TR</t>
  </si>
  <si>
    <t>A0018</t>
  </si>
  <si>
    <t>JP&gt;BR</t>
  </si>
  <si>
    <t>A0019</t>
  </si>
  <si>
    <t>Aichi Japan</t>
  </si>
  <si>
    <t>JP</t>
  </si>
  <si>
    <t>Aichi</t>
  </si>
  <si>
    <t>Nagoya</t>
  </si>
  <si>
    <t>460-0003</t>
  </si>
  <si>
    <t>KIX</t>
  </si>
  <si>
    <t>AERO MEXICOERICAN AIRLINES,DL,UNITED AIRLINES,etc</t>
  </si>
  <si>
    <t>NGO</t>
  </si>
  <si>
    <t>LUFTHANSA,AERO MEXICOERICAN AIRLINES,DL,UNITED AIRLINES,etc</t>
  </si>
  <si>
    <t>JP&gt;ES</t>
  </si>
  <si>
    <t>A0020</t>
  </si>
  <si>
    <t>NML</t>
  </si>
  <si>
    <t>Yokohama</t>
  </si>
  <si>
    <t>Kanagawa</t>
  </si>
  <si>
    <t>244-0805</t>
  </si>
  <si>
    <t>HND</t>
  </si>
  <si>
    <t>FIN AIR,etc</t>
  </si>
  <si>
    <t>EMIRATES,QATAR AIRWAYS,JAPAN AIRLINES,FIN AIR,etc</t>
  </si>
  <si>
    <t>JAPAN AIRLINES,FIN AIR,etc</t>
  </si>
  <si>
    <t>JP&gt;TR</t>
  </si>
  <si>
    <t>A0021</t>
  </si>
  <si>
    <t>460-0004</t>
  </si>
  <si>
    <t>SILKWFIN AIR / SINGAPORE AIRLINES</t>
  </si>
  <si>
    <t>TURKISH AIRLINES,SILKWAY,SINGAPORE AIRLINES,etc</t>
  </si>
  <si>
    <t>KR&gt;BR</t>
  </si>
  <si>
    <t>A0022</t>
  </si>
  <si>
    <t>ILN Busan</t>
  </si>
  <si>
    <t>KR</t>
  </si>
  <si>
    <t>Busan</t>
  </si>
  <si>
    <t>ICN</t>
  </si>
  <si>
    <t>AERO MEXICOERICAN AIRLINES DL AS</t>
  </si>
  <si>
    <t>DHL AVIATION</t>
  </si>
  <si>
    <t>TURKISH AIRLINES</t>
  </si>
  <si>
    <t>TURKISH AIRLINES DHL AVIATION</t>
  </si>
  <si>
    <t>KR&gt;TR</t>
  </si>
  <si>
    <t>A0023</t>
  </si>
  <si>
    <t>THAI AIRWAYS</t>
  </si>
  <si>
    <t>TURKISH AIRLINES KE</t>
  </si>
  <si>
    <t xml:space="preserve">TURKISH AIRLINES </t>
  </si>
  <si>
    <t>RO&gt;BR</t>
  </si>
  <si>
    <t>A0025</t>
  </si>
  <si>
    <t>ILN Mioveni</t>
  </si>
  <si>
    <t>LUFTHANSA, CARGOLATAERO MEXICO AIRLINESIR EUROPA, AIR FRANCE, KLM, AVIANCA</t>
  </si>
  <si>
    <t>TR&gt;BR</t>
  </si>
  <si>
    <t>A0026</t>
  </si>
  <si>
    <t>ILN Bursa</t>
  </si>
  <si>
    <t>AIR EUROPE, TURKISH AIRLINES, LUFTHANSA, AIR FRANCE, QATAR AIRWFIN AIRS, EMIRATES</t>
  </si>
  <si>
    <t>TR&gt;ES</t>
  </si>
  <si>
    <t>A0027</t>
  </si>
  <si>
    <t>Renault Korea-AS</t>
  </si>
  <si>
    <t>AIR EUROPE, TURKISH AIRLINES</t>
  </si>
  <si>
    <t>JP&gt;RO</t>
  </si>
  <si>
    <t>A0028</t>
  </si>
  <si>
    <t>NRT</t>
  </si>
  <si>
    <t>FR&gt;AR</t>
  </si>
  <si>
    <t>A0029</t>
  </si>
  <si>
    <t>Steep</t>
  </si>
  <si>
    <t>EUROPE</t>
  </si>
  <si>
    <t>Miribel</t>
  </si>
  <si>
    <t>Ain</t>
  </si>
  <si>
    <t>01708</t>
  </si>
  <si>
    <t>LYS</t>
  </si>
  <si>
    <t>AR</t>
  </si>
  <si>
    <t>Cordova</t>
  </si>
  <si>
    <t>EZE</t>
  </si>
  <si>
    <t>Horse Argentina</t>
  </si>
  <si>
    <t>ECONOMY</t>
  </si>
  <si>
    <t>NORMAL</t>
  </si>
  <si>
    <t>AIR EUROPA + IBERIA</t>
  </si>
  <si>
    <t>EXPRESS</t>
  </si>
  <si>
    <t>Back-up</t>
  </si>
  <si>
    <t>TK</t>
  </si>
  <si>
    <t>Rohlig_H</t>
  </si>
  <si>
    <t>BR&gt;RO</t>
  </si>
  <si>
    <t>A0001</t>
  </si>
  <si>
    <t>ILN Brasil</t>
  </si>
  <si>
    <t>Lufthansa</t>
  </si>
  <si>
    <t>Swiss International Air Lines</t>
  </si>
  <si>
    <t>BR&gt;ES</t>
  </si>
  <si>
    <t>A0002</t>
  </si>
  <si>
    <t>Renault Brazil-AS</t>
  </si>
  <si>
    <t>LATAM Airlines</t>
  </si>
  <si>
    <t>BR&gt;TR</t>
  </si>
  <si>
    <t>A0003</t>
  </si>
  <si>
    <t>Turkish Airlines</t>
  </si>
  <si>
    <t>CL&gt;TR</t>
  </si>
  <si>
    <t>A0004</t>
  </si>
  <si>
    <t>İstanbul</t>
  </si>
  <si>
    <t>YEI</t>
  </si>
  <si>
    <t>Air France</t>
  </si>
  <si>
    <t>MX&gt;BR</t>
  </si>
  <si>
    <t>A0024</t>
  </si>
  <si>
    <t>ILN MEXICO</t>
  </si>
  <si>
    <t>MX</t>
  </si>
  <si>
    <t>Lerma de Villada</t>
  </si>
  <si>
    <t>Estado de Mexico</t>
  </si>
  <si>
    <t>MEX</t>
  </si>
  <si>
    <t>DHL Aero Expreso</t>
  </si>
  <si>
    <t>Avianca</t>
  </si>
  <si>
    <t>MasAir</t>
  </si>
  <si>
    <t>Aeromexico</t>
  </si>
  <si>
    <t>Promedio de Customer Chargeable Weight</t>
  </si>
  <si>
    <t>All Sep-2026</t>
  </si>
  <si>
    <t>Origin Country</t>
  </si>
  <si>
    <t>Destination Country</t>
  </si>
  <si>
    <t>Eur/kg</t>
  </si>
  <si>
    <r>
      <t xml:space="preserve">AIRFREIGHT Rates Calculator 
</t>
    </r>
    <r>
      <rPr>
        <sz val="14"/>
        <color theme="1"/>
        <rFont val="Calibri"/>
        <family val="2"/>
        <scheme val="minor"/>
      </rPr>
      <t>All-In</t>
    </r>
    <r>
      <rPr>
        <b/>
        <sz val="14"/>
        <color theme="1"/>
        <rFont val="Calibri"/>
        <family val="2"/>
        <scheme val="minor"/>
      </rPr>
      <t xml:space="preserve">
</t>
    </r>
    <r>
      <rPr>
        <b/>
        <sz val="9"/>
        <color theme="1"/>
        <rFont val="Calibri"/>
        <family val="2"/>
        <scheme val="minor"/>
      </rPr>
      <t>V2.0</t>
    </r>
  </si>
  <si>
    <t>Updated 28/08/26</t>
  </si>
  <si>
    <t>The rates are based on the latest air freight tender 2026. Please note that costs are estimated and may vary in case of additional inspections or operational requirements. Furthermore, geopolitical factors may also impact and increase transportation costs.</t>
  </si>
  <si>
    <t>How to Use it:
1. Select Origin–Destination</t>
  </si>
  <si>
    <t>Choose the correct lane from the dropdown list.</t>
  </si>
  <si>
    <t>Destin Country</t>
  </si>
  <si>
    <t>2. Enter shipment data</t>
  </si>
  <si>
    <t>Input:</t>
  </si>
  <si>
    <t>CBW (kg)</t>
  </si>
  <si>
    <t>Volume m3</t>
  </si>
  <si>
    <t>Weight kg</t>
  </si>
  <si>
    <t>Volume (m³)</t>
  </si>
  <si>
    <t>Weight (kg)</t>
  </si>
  <si>
    <t>ILN/Supplier</t>
  </si>
  <si>
    <t>Lane Type</t>
  </si>
  <si>
    <t xml:space="preserve">Origin Airport </t>
  </si>
  <si>
    <t>Destin Airport</t>
  </si>
  <si>
    <t>Airfreight Carrier</t>
  </si>
  <si>
    <t>Total Airfreight</t>
  </si>
  <si>
    <t>Eur/Kg</t>
  </si>
  <si>
    <t>#TS</t>
  </si>
  <si>
    <t>Transit Time (Days)</t>
  </si>
  <si>
    <t>3. Review results</t>
  </si>
  <si>
    <t>The tool will automatically calculate:</t>
  </si>
  <si>
    <t>CBW (kg): Chargeable weight</t>
  </si>
  <si>
    <t>ILN/Supplier, if applicable</t>
  </si>
  <si>
    <t>Lane Type, some lanes have back ups</t>
  </si>
  <si>
    <t>Origin-destination Airports</t>
  </si>
  <si>
    <t>Total Airfreight: door-to-door cost</t>
  </si>
  <si>
    <t>#TS: Transshipment numbers</t>
  </si>
  <si>
    <t>Transit Time</t>
  </si>
  <si>
    <t>Code</t>
  </si>
  <si>
    <t>Origin_Country</t>
  </si>
  <si>
    <t>Destin_Country</t>
  </si>
  <si>
    <t>Spain</t>
  </si>
  <si>
    <t>Brazil</t>
  </si>
  <si>
    <t>France</t>
  </si>
  <si>
    <t>Chile</t>
  </si>
  <si>
    <t>India</t>
  </si>
  <si>
    <t>Japan</t>
  </si>
  <si>
    <t>Romania</t>
  </si>
  <si>
    <t>Korea</t>
  </si>
  <si>
    <t>Turkey</t>
  </si>
  <si>
    <t>Mexico</t>
  </si>
  <si>
    <t>Argentina</t>
  </si>
  <si>
    <t>Portugal</t>
  </si>
  <si>
    <t>Brasil</t>
  </si>
  <si>
    <t>China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</si>
</sst>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0\ &quot;€&quot;"/>
    <numFmt numFmtId="167" formatCode="#,##0.0\ &quot;€&quot;"/>
    <numFmt numFmtId="168" formatCode="#,##0\ &quot;€&quot;"/>
  </numFmts>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rgb="FF000000"/>
      <name val="Arial"/>
      <family val="2"/>
    </font>
    <font>
      <sz val="9"/>
      <color rgb="FF000000"/>
      <name val="Calibri"/>
      <family val="2"/>
    </font>
    <font>
      <b/>
      <sz val="9"/>
      <color rgb="FF000000"/>
      <name val="Arial"/>
      <family val="2"/>
    </font>
    <font>
      <b/>
      <sz val="8"/>
      <color theme="0"/>
      <name val="Arial"/>
      <family val="2"/>
    </font>
    <font>
      <i/>
      <sz val="11"/>
      <color theme="1"/>
      <name val="Calibri"/>
      <family val="2"/>
      <scheme val="minor"/>
    </font>
    <font>
      <b/>
      <sz val="11"/>
      <name val="Calibri"/>
      <family val="2"/>
      <scheme val="minor"/>
    </font>
    <font>
      <sz val="8"/>
      <name val="Calibri"/>
      <family val="2"/>
      <scheme val="minor"/>
    </font>
    <font>
      <b/>
      <sz val="14"/>
      <color theme="1"/>
      <name val="Calibri"/>
      <family val="2"/>
      <scheme val="minor"/>
    </font>
    <font>
      <sz val="14"/>
      <color theme="1"/>
      <name val="Calibri"/>
      <family val="2"/>
      <scheme val="minor"/>
    </font>
    <font>
      <b/>
      <sz val="9"/>
      <color theme="1"/>
      <name val="Calibri"/>
      <family val="2"/>
      <scheme val="minor"/>
    </font>
    <font>
      <b/>
      <i/>
      <sz val="11"/>
      <color theme="1"/>
      <name val="Calibri"/>
      <family val="2"/>
      <scheme val="minor"/>
    </font>
    <font>
      <sz val="9"/>
      <color theme="1"/>
      <name val="Calibri"/>
      <family val="2"/>
      <scheme val="minor"/>
    </font>
  </fonts>
  <fills count="19">
    <fill>
      <patternFill patternType="none"/>
    </fill>
    <fill>
      <patternFill patternType="gray125"/>
    </fill>
    <fill>
      <patternFill patternType="solid">
        <fgColor rgb="FF00B0F0"/>
        <bgColor indexed="64"/>
      </patternFill>
    </fill>
    <fill>
      <patternFill patternType="solid">
        <fgColor rgb="FF92D050"/>
        <bgColor indexed="64"/>
      </patternFill>
    </fill>
    <fill>
      <patternFill patternType="solid">
        <fgColor theme="1"/>
        <bgColor indexed="64"/>
      </patternFill>
    </fill>
    <fill>
      <patternFill patternType="solid">
        <fgColor rgb="FFFFFF00"/>
        <bgColor indexed="64"/>
      </patternFill>
    </fill>
    <fill>
      <patternFill patternType="solid">
        <fgColor theme="6"/>
        <bgColor indexed="64"/>
      </patternFill>
    </fill>
    <fill>
      <patternFill patternType="solid">
        <fgColor theme="4" tint="0.79998168889431442"/>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0" tint="-4.9989318521683403E-2"/>
        <bgColor indexed="64"/>
      </patternFill>
    </fill>
    <fill>
      <patternFill patternType="solid">
        <fgColor theme="4" tint="0.59999389629810485"/>
        <bgColor theme="4" tint="0.59999389629810485"/>
      </patternFill>
    </fill>
    <fill>
      <patternFill patternType="solid">
        <fgColor theme="0" tint="-4.9989318521683403E-2"/>
        <bgColor theme="4" tint="0.79998168889431442"/>
      </patternFill>
    </fill>
    <fill>
      <patternFill patternType="solid">
        <fgColor theme="8" tint="0.39997558519241921"/>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8" tint="0.79998168889431442"/>
        <bgColor indexed="64"/>
      </patternFill>
    </fill>
  </fills>
  <borders count="21">
    <border>
      <left/>
      <right/>
      <top/>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theme="0"/>
      </right>
      <top style="thin">
        <color indexed="64"/>
      </top>
      <bottom/>
      <diagonal/>
    </border>
    <border>
      <left/>
      <right style="thin">
        <color indexed="64"/>
      </right>
      <top style="thin">
        <color indexed="64"/>
      </top>
      <bottom style="thin">
        <color indexed="64"/>
      </bottom>
      <diagonal/>
    </border>
    <border>
      <left style="thin">
        <color indexed="64"/>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indexed="64"/>
      </left>
      <right/>
      <top style="thin">
        <color indexed="64"/>
      </top>
      <bottom style="thin">
        <color indexed="64"/>
      </bottom>
      <diagonal/>
    </border>
    <border>
      <left style="thin">
        <color theme="0"/>
      </left>
      <right style="thin">
        <color indexed="64"/>
      </right>
      <top style="thin">
        <color theme="0"/>
      </top>
      <bottom style="thin">
        <color theme="0"/>
      </bottom>
      <diagonal/>
    </border>
    <border>
      <left style="thin">
        <color indexed="64"/>
      </left>
      <right style="thin">
        <color indexed="64"/>
      </right>
      <top style="thin">
        <color theme="0"/>
      </top>
      <bottom style="thin">
        <color theme="0"/>
      </bottom>
      <diagonal/>
    </border>
    <border>
      <left/>
      <right/>
      <top style="thin">
        <color indexed="64"/>
      </top>
      <bottom style="thin">
        <color indexed="64"/>
      </bottom>
      <diagonal/>
    </border>
    <border>
      <left style="thin">
        <color theme="0"/>
      </left>
      <right style="thin">
        <color indexed="64"/>
      </right>
      <top style="thin">
        <color indexed="64"/>
      </top>
      <bottom style="thin">
        <color indexed="64"/>
      </bottom>
      <diagonal/>
    </border>
    <border>
      <left/>
      <right/>
      <top style="thin">
        <color theme="4" tint="0.79998168889431442"/>
      </top>
      <bottom style="thin">
        <color theme="4" tint="0.7999816888943144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s>
  <cellStyleXfs count="2">
    <xf numFmtId="0" fontId="0" fillId="0" borderId="0"/>
    <xf numFmtId="43" fontId="1" fillId="0" borderId="0" applyFont="0" applyFill="0" applyBorder="0" applyAlignment="0" applyProtection="0"/>
  </cellStyleXfs>
  <cellXfs count="103">
    <xf numFmtId="0" fontId="0" fillId="0" borderId="0" xfId="0"/>
    <xf numFmtId="1" fontId="0" fillId="0" borderId="0" xfId="0" applyNumberFormat="1"/>
    <xf numFmtId="0" fontId="0" fillId="0" borderId="3" xfId="0" applyBorder="1" applyAlignment="1">
      <alignment horizontal="center"/>
    </xf>
    <xf numFmtId="0" fontId="0" fillId="0" borderId="0" xfId="0" pivotButton="1"/>
    <xf numFmtId="0" fontId="0" fillId="13" borderId="3" xfId="0" applyFill="1" applyBorder="1" applyAlignment="1">
      <alignment horizontal="center"/>
    </xf>
    <xf numFmtId="0" fontId="8" fillId="0" borderId="0" xfId="0" applyFont="1" applyProtection="1">
      <protection locked="0"/>
    </xf>
    <xf numFmtId="0" fontId="8" fillId="0" borderId="0" xfId="0" applyFont="1" applyAlignment="1" applyProtection="1">
      <alignment horizontal="center"/>
      <protection locked="0"/>
    </xf>
    <xf numFmtId="0" fontId="0" fillId="0" borderId="0" xfId="0" applyProtection="1">
      <protection locked="0"/>
    </xf>
    <xf numFmtId="0" fontId="4" fillId="0" borderId="0" xfId="0" applyFont="1" applyProtection="1">
      <protection locked="0"/>
    </xf>
    <xf numFmtId="0" fontId="0" fillId="0" borderId="0" xfId="0" applyAlignment="1" applyProtection="1">
      <alignment horizontal="center"/>
      <protection locked="0"/>
    </xf>
    <xf numFmtId="165" fontId="0" fillId="0" borderId="0" xfId="1" applyNumberFormat="1" applyFont="1" applyAlignment="1" applyProtection="1">
      <alignment horizontal="center"/>
      <protection locked="0"/>
    </xf>
    <xf numFmtId="16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5" fillId="0" borderId="0" xfId="0" applyFont="1" applyAlignment="1" applyProtection="1">
      <alignment horizontal="center" vertical="center"/>
      <protection locked="0"/>
    </xf>
    <xf numFmtId="0" fontId="6" fillId="0" borderId="0" xfId="0" applyFont="1" applyAlignment="1" applyProtection="1">
      <alignment horizontal="center" vertical="center" wrapText="1"/>
      <protection locked="0"/>
    </xf>
    <xf numFmtId="0" fontId="0" fillId="4" borderId="0" xfId="0" applyFill="1" applyProtection="1">
      <protection locked="0"/>
    </xf>
    <xf numFmtId="0" fontId="7" fillId="4" borderId="12" xfId="0" applyFont="1" applyFill="1" applyBorder="1" applyAlignment="1" applyProtection="1">
      <alignment vertical="center" wrapText="1"/>
      <protection locked="0"/>
    </xf>
    <xf numFmtId="0" fontId="7" fillId="4" borderId="5" xfId="0" applyFont="1" applyFill="1" applyBorder="1" applyAlignment="1" applyProtection="1">
      <alignment vertical="center" wrapText="1"/>
      <protection locked="0"/>
    </xf>
    <xf numFmtId="0" fontId="7" fillId="4" borderId="3" xfId="0" applyFont="1" applyFill="1" applyBorder="1" applyAlignment="1" applyProtection="1">
      <alignment vertical="center" wrapText="1"/>
      <protection locked="0"/>
    </xf>
    <xf numFmtId="0" fontId="7" fillId="4" borderId="6" xfId="0" applyFont="1" applyFill="1" applyBorder="1" applyAlignment="1" applyProtection="1">
      <alignment vertical="center" wrapText="1"/>
      <protection locked="0"/>
    </xf>
    <xf numFmtId="0" fontId="7" fillId="4" borderId="11" xfId="0" applyFont="1" applyFill="1" applyBorder="1" applyAlignment="1" applyProtection="1">
      <alignment horizontal="center" vertical="center" wrapText="1"/>
      <protection locked="0"/>
    </xf>
    <xf numFmtId="2" fontId="7" fillId="4" borderId="11" xfId="0" quotePrefix="1" applyNumberFormat="1" applyFont="1" applyFill="1" applyBorder="1" applyAlignment="1" applyProtection="1">
      <alignment horizontal="center" vertical="center" wrapText="1"/>
      <protection locked="0"/>
    </xf>
    <xf numFmtId="2" fontId="7" fillId="4" borderId="7" xfId="0" quotePrefix="1" applyNumberFormat="1" applyFont="1" applyFill="1" applyBorder="1" applyAlignment="1" applyProtection="1">
      <alignment horizontal="center" vertical="center" wrapText="1"/>
      <protection locked="0"/>
    </xf>
    <xf numFmtId="0" fontId="7" fillId="4" borderId="7" xfId="0" applyFont="1" applyFill="1" applyBorder="1" applyAlignment="1" applyProtection="1">
      <alignment horizontal="center" vertical="center" wrapText="1"/>
      <protection locked="0"/>
    </xf>
    <xf numFmtId="0" fontId="7" fillId="4" borderId="5" xfId="0" applyFont="1" applyFill="1" applyBorder="1" applyAlignment="1" applyProtection="1">
      <alignment horizontal="center" vertical="center" wrapText="1"/>
      <protection locked="0"/>
    </xf>
    <xf numFmtId="0" fontId="3" fillId="0" borderId="0" xfId="0" applyFont="1" applyAlignment="1" applyProtection="1">
      <alignment horizontal="center" vertical="center" wrapText="1"/>
      <protection locked="0"/>
    </xf>
    <xf numFmtId="0" fontId="3" fillId="0" borderId="0" xfId="0" applyFont="1" applyAlignment="1" applyProtection="1">
      <alignment horizontal="center" vertical="center"/>
      <protection locked="0"/>
    </xf>
    <xf numFmtId="0" fontId="9" fillId="5" borderId="0" xfId="0" applyFont="1" applyFill="1" applyAlignment="1" applyProtection="1">
      <alignment horizontal="center" vertical="center" wrapText="1"/>
      <protection locked="0"/>
    </xf>
    <xf numFmtId="0" fontId="3" fillId="6" borderId="4" xfId="0" applyFont="1" applyFill="1" applyBorder="1" applyAlignment="1" applyProtection="1">
      <alignment horizontal="center" vertical="center" wrapText="1"/>
      <protection locked="0"/>
    </xf>
    <xf numFmtId="0" fontId="3" fillId="7" borderId="0" xfId="0" applyFont="1" applyFill="1" applyAlignment="1" applyProtection="1">
      <alignment horizontal="center" vertical="center" wrapText="1"/>
      <protection locked="0"/>
    </xf>
    <xf numFmtId="0" fontId="3" fillId="8" borderId="0" xfId="0" applyFont="1" applyFill="1" applyAlignment="1" applyProtection="1">
      <alignment horizontal="center" vertical="center" wrapText="1"/>
      <protection locked="0"/>
    </xf>
    <xf numFmtId="0" fontId="3" fillId="6" borderId="0" xfId="0" applyFont="1" applyFill="1" applyAlignment="1" applyProtection="1">
      <alignment horizontal="center" vertical="center" wrapText="1"/>
      <protection locked="0"/>
    </xf>
    <xf numFmtId="0" fontId="2" fillId="4" borderId="0" xfId="0" applyFont="1" applyFill="1" applyAlignment="1" applyProtection="1">
      <alignment horizontal="center" vertical="center" wrapText="1"/>
      <protection locked="0"/>
    </xf>
    <xf numFmtId="0" fontId="2" fillId="9" borderId="0" xfId="0" applyFont="1" applyFill="1" applyAlignment="1" applyProtection="1">
      <alignment horizontal="center" vertical="center" wrapText="1"/>
      <protection locked="0"/>
    </xf>
    <xf numFmtId="0" fontId="2" fillId="9" borderId="0" xfId="0" applyFont="1" applyFill="1" applyAlignment="1" applyProtection="1">
      <alignment horizontal="center" vertical="center"/>
      <protection locked="0"/>
    </xf>
    <xf numFmtId="43" fontId="0" fillId="0" borderId="0" xfId="1" applyFont="1" applyProtection="1"/>
    <xf numFmtId="0" fontId="0" fillId="0" borderId="3" xfId="0" applyBorder="1" applyAlignment="1" applyProtection="1">
      <alignment horizontal="center"/>
      <protection locked="0"/>
    </xf>
    <xf numFmtId="0" fontId="0" fillId="0" borderId="0" xfId="0" applyAlignment="1" applyProtection="1">
      <alignment horizontal="center" vertical="center" wrapText="1"/>
      <protection locked="0"/>
    </xf>
    <xf numFmtId="0" fontId="3" fillId="13" borderId="3" xfId="0" applyFont="1" applyFill="1" applyBorder="1" applyAlignment="1">
      <alignment horizontal="center" vertical="center" wrapText="1"/>
    </xf>
    <xf numFmtId="0" fontId="3" fillId="14" borderId="3" xfId="0" applyFont="1" applyFill="1" applyBorder="1" applyAlignment="1">
      <alignment horizontal="center" vertical="center" wrapText="1"/>
    </xf>
    <xf numFmtId="0" fontId="0" fillId="0" borderId="3" xfId="0" applyBorder="1" applyAlignment="1">
      <alignment horizontal="center" vertical="center"/>
    </xf>
    <xf numFmtId="168" fontId="0" fillId="0" borderId="3" xfId="0" applyNumberFormat="1" applyBorder="1" applyAlignment="1">
      <alignment horizontal="center"/>
    </xf>
    <xf numFmtId="1" fontId="0" fillId="0" borderId="3" xfId="0" applyNumberFormat="1" applyBorder="1" applyAlignment="1">
      <alignment horizontal="center"/>
    </xf>
    <xf numFmtId="0" fontId="0" fillId="0" borderId="0" xfId="0" applyAlignment="1">
      <alignment horizontal="center"/>
    </xf>
    <xf numFmtId="167" fontId="0" fillId="0" borderId="0" xfId="0" applyNumberFormat="1"/>
    <xf numFmtId="166" fontId="0" fillId="0" borderId="0" xfId="0" applyNumberFormat="1"/>
    <xf numFmtId="168" fontId="0" fillId="0" borderId="0" xfId="0" applyNumberFormat="1" applyAlignment="1">
      <alignment horizontal="center"/>
    </xf>
    <xf numFmtId="2" fontId="0" fillId="0" borderId="0" xfId="0" applyNumberFormat="1" applyAlignment="1">
      <alignment horizontal="center"/>
    </xf>
    <xf numFmtId="1" fontId="0" fillId="0" borderId="0" xfId="0" applyNumberFormat="1" applyAlignment="1">
      <alignment horizontal="center"/>
    </xf>
    <xf numFmtId="164" fontId="0" fillId="0" borderId="0" xfId="0" applyNumberFormat="1"/>
    <xf numFmtId="167" fontId="0" fillId="5" borderId="0" xfId="0" applyNumberFormat="1" applyFill="1"/>
    <xf numFmtId="2" fontId="0" fillId="0" borderId="0" xfId="0" applyNumberFormat="1"/>
    <xf numFmtId="0" fontId="0" fillId="15" borderId="3" xfId="0" applyFill="1" applyBorder="1" applyAlignment="1">
      <alignment horizontal="center"/>
    </xf>
    <xf numFmtId="0" fontId="0" fillId="2" borderId="3" xfId="0" applyFill="1" applyBorder="1" applyAlignment="1" applyProtection="1">
      <alignment horizontal="center"/>
      <protection locked="0"/>
    </xf>
    <xf numFmtId="0" fontId="14" fillId="16" borderId="3" xfId="0" applyFont="1" applyFill="1" applyBorder="1" applyAlignment="1" applyProtection="1">
      <alignment horizontal="center"/>
      <protection locked="0"/>
    </xf>
    <xf numFmtId="0" fontId="14" fillId="17" borderId="3" xfId="0" applyFont="1" applyFill="1" applyBorder="1" applyAlignment="1" applyProtection="1">
      <alignment horizontal="center"/>
      <protection locked="0"/>
    </xf>
    <xf numFmtId="166" fontId="0" fillId="0" borderId="3" xfId="0" applyNumberFormat="1" applyBorder="1" applyAlignment="1" applyProtection="1">
      <alignment horizontal="center"/>
      <protection locked="0"/>
    </xf>
    <xf numFmtId="1" fontId="0" fillId="0" borderId="3" xfId="0" applyNumberFormat="1" applyBorder="1" applyAlignment="1" applyProtection="1">
      <alignment horizontal="center"/>
      <protection locked="0"/>
    </xf>
    <xf numFmtId="166" fontId="0" fillId="0" borderId="3" xfId="0" applyNumberFormat="1" applyBorder="1" applyAlignment="1">
      <alignment horizontal="center"/>
    </xf>
    <xf numFmtId="168" fontId="0" fillId="0" borderId="3" xfId="0" applyNumberFormat="1" applyBorder="1" applyAlignment="1" applyProtection="1">
      <alignment horizontal="center"/>
      <protection locked="0"/>
    </xf>
    <xf numFmtId="0" fontId="3" fillId="11" borderId="13" xfId="0" applyFont="1" applyFill="1" applyBorder="1"/>
    <xf numFmtId="0" fontId="3" fillId="11" borderId="0" xfId="0" applyFont="1" applyFill="1"/>
    <xf numFmtId="0" fontId="0" fillId="10" borderId="0" xfId="0" applyFill="1"/>
    <xf numFmtId="2" fontId="0" fillId="10" borderId="0" xfId="0" applyNumberFormat="1" applyFill="1"/>
    <xf numFmtId="0" fontId="0" fillId="0" borderId="0" xfId="0" applyAlignment="1" applyProtection="1">
      <alignment horizontal="left" indent="2"/>
      <protection locked="0"/>
    </xf>
    <xf numFmtId="0" fontId="3" fillId="0" borderId="0" xfId="0" applyFont="1" applyProtection="1">
      <protection locked="0"/>
    </xf>
    <xf numFmtId="0" fontId="3" fillId="12" borderId="14" xfId="0" applyFont="1" applyFill="1" applyBorder="1" applyAlignment="1">
      <alignment horizontal="center" vertical="center" wrapText="1"/>
    </xf>
    <xf numFmtId="0" fontId="3" fillId="12" borderId="15" xfId="0" applyFont="1" applyFill="1" applyBorder="1" applyAlignment="1">
      <alignment horizontal="center" vertical="center" wrapText="1"/>
    </xf>
    <xf numFmtId="0" fontId="11" fillId="12" borderId="15" xfId="0" applyFont="1" applyFill="1" applyBorder="1" applyAlignment="1">
      <alignment horizontal="center" vertical="top"/>
    </xf>
    <xf numFmtId="0" fontId="3" fillId="12" borderId="16" xfId="0" applyFont="1" applyFill="1" applyBorder="1" applyAlignment="1">
      <alignment horizontal="center" vertical="center" wrapText="1"/>
    </xf>
    <xf numFmtId="0" fontId="3" fillId="12" borderId="17" xfId="0" applyFont="1" applyFill="1" applyBorder="1" applyAlignment="1">
      <alignment horizontal="center" vertical="center" wrapText="1"/>
    </xf>
    <xf numFmtId="0" fontId="3" fillId="12" borderId="18" xfId="0" applyFont="1" applyFill="1" applyBorder="1" applyAlignment="1">
      <alignment horizontal="center" vertical="center" wrapText="1"/>
    </xf>
    <xf numFmtId="0" fontId="3" fillId="18" borderId="14" xfId="0" applyFont="1" applyFill="1" applyBorder="1" applyAlignment="1">
      <alignment wrapText="1"/>
    </xf>
    <xf numFmtId="0" fontId="0" fillId="18" borderId="15" xfId="0" applyFill="1" applyBorder="1"/>
    <xf numFmtId="0" fontId="0" fillId="18" borderId="16" xfId="0" applyFill="1" applyBorder="1"/>
    <xf numFmtId="0" fontId="0" fillId="18" borderId="2" xfId="0" applyFill="1" applyBorder="1"/>
    <xf numFmtId="0" fontId="0" fillId="18" borderId="0" xfId="0" applyFill="1"/>
    <xf numFmtId="0" fontId="0" fillId="18" borderId="20" xfId="0" applyFill="1" applyBorder="1"/>
    <xf numFmtId="0" fontId="3" fillId="18" borderId="2" xfId="0" applyFont="1" applyFill="1" applyBorder="1"/>
    <xf numFmtId="0" fontId="0" fillId="18" borderId="0" xfId="0" applyFill="1" applyAlignment="1">
      <alignment horizontal="center" vertical="center" wrapText="1"/>
    </xf>
    <xf numFmtId="0" fontId="0" fillId="18" borderId="20" xfId="0" applyFill="1" applyBorder="1" applyAlignment="1">
      <alignment horizontal="center" vertical="center" wrapText="1"/>
    </xf>
    <xf numFmtId="0" fontId="0" fillId="18" borderId="2" xfId="0" applyFill="1" applyBorder="1" applyAlignment="1">
      <alignment horizontal="left" indent="2"/>
    </xf>
    <xf numFmtId="0" fontId="0" fillId="18" borderId="17" xfId="0" applyFill="1" applyBorder="1" applyAlignment="1">
      <alignment horizontal="left" indent="2"/>
    </xf>
    <xf numFmtId="0" fontId="0" fillId="18" borderId="18" xfId="0" applyFill="1" applyBorder="1"/>
    <xf numFmtId="0" fontId="0" fillId="18" borderId="19" xfId="0" applyFill="1" applyBorder="1"/>
    <xf numFmtId="14" fontId="0" fillId="5" borderId="0" xfId="0" applyNumberFormat="1" applyFill="1"/>
    <xf numFmtId="2" fontId="6" fillId="2" borderId="1" xfId="0" applyNumberFormat="1" applyFont="1" applyFill="1" applyBorder="1" applyAlignment="1" applyProtection="1">
      <alignment horizontal="center" vertical="center" wrapText="1"/>
      <protection locked="0"/>
    </xf>
    <xf numFmtId="2" fontId="6" fillId="0" borderId="2" xfId="0" applyNumberFormat="1" applyFont="1" applyBorder="1" applyAlignment="1" applyProtection="1">
      <alignment horizontal="center" vertical="center" wrapText="1"/>
      <protection locked="0"/>
    </xf>
    <xf numFmtId="2" fontId="6" fillId="0" borderId="0" xfId="0" applyNumberFormat="1" applyFont="1" applyAlignment="1" applyProtection="1">
      <alignment horizontal="center" vertical="center" wrapText="1"/>
      <protection locked="0"/>
    </xf>
    <xf numFmtId="2" fontId="6" fillId="3" borderId="3" xfId="0" applyNumberFormat="1" applyFont="1" applyFill="1" applyBorder="1" applyAlignment="1" applyProtection="1">
      <alignment horizontal="center" vertical="center" wrapText="1"/>
      <protection locked="0"/>
    </xf>
    <xf numFmtId="0" fontId="7" fillId="4" borderId="3" xfId="0" applyFont="1" applyFill="1" applyBorder="1" applyAlignment="1" applyProtection="1">
      <alignment horizontal="center" vertical="center" wrapText="1"/>
      <protection locked="0"/>
    </xf>
    <xf numFmtId="0" fontId="7" fillId="4" borderId="8" xfId="0" applyFont="1" applyFill="1" applyBorder="1" applyAlignment="1" applyProtection="1">
      <alignment horizontal="center" vertical="center" wrapText="1"/>
      <protection locked="0"/>
    </xf>
    <xf numFmtId="0" fontId="7" fillId="4" borderId="12" xfId="0" applyFont="1" applyFill="1" applyBorder="1" applyAlignment="1" applyProtection="1">
      <alignment horizontal="center" vertical="center" wrapText="1"/>
      <protection locked="0"/>
    </xf>
    <xf numFmtId="2" fontId="7" fillId="4" borderId="12" xfId="0" applyNumberFormat="1" applyFont="1" applyFill="1" applyBorder="1" applyAlignment="1" applyProtection="1">
      <alignment horizontal="center" vertical="center" wrapText="1"/>
      <protection locked="0"/>
    </xf>
    <xf numFmtId="2" fontId="7" fillId="4" borderId="3" xfId="0" applyNumberFormat="1" applyFont="1" applyFill="1" applyBorder="1" applyAlignment="1" applyProtection="1">
      <alignment horizontal="center" vertical="center" wrapText="1"/>
      <protection locked="0"/>
    </xf>
    <xf numFmtId="2" fontId="7" fillId="4" borderId="6" xfId="0" applyNumberFormat="1" applyFont="1" applyFill="1" applyBorder="1" applyAlignment="1" applyProtection="1">
      <alignment horizontal="center" vertical="center" wrapText="1"/>
      <protection locked="0"/>
    </xf>
    <xf numFmtId="2" fontId="7" fillId="4" borderId="9" xfId="0" applyNumberFormat="1" applyFont="1" applyFill="1" applyBorder="1" applyAlignment="1" applyProtection="1">
      <alignment horizontal="center" vertical="center" wrapText="1"/>
      <protection locked="0"/>
    </xf>
    <xf numFmtId="2" fontId="7" fillId="4" borderId="10" xfId="0" applyNumberFormat="1" applyFont="1" applyFill="1" applyBorder="1" applyAlignment="1" applyProtection="1">
      <alignment horizontal="center" vertical="center" wrapText="1"/>
      <protection locked="0"/>
    </xf>
    <xf numFmtId="2" fontId="7" fillId="4" borderId="5" xfId="0" applyNumberFormat="1" applyFont="1" applyFill="1" applyBorder="1" applyAlignment="1" applyProtection="1">
      <alignment horizontal="center" vertical="center" wrapText="1"/>
      <protection locked="0"/>
    </xf>
    <xf numFmtId="0" fontId="8" fillId="0" borderId="0" xfId="0" applyFont="1" applyAlignment="1" applyProtection="1">
      <alignment horizontal="center" wrapText="1"/>
      <protection locked="0"/>
    </xf>
    <xf numFmtId="0" fontId="8" fillId="0" borderId="0" xfId="0" applyFont="1" applyAlignment="1" applyProtection="1">
      <alignment horizontal="center"/>
      <protection locked="0"/>
    </xf>
    <xf numFmtId="0" fontId="15" fillId="12" borderId="18" xfId="0" applyFont="1" applyFill="1" applyBorder="1" applyAlignment="1">
      <alignment horizontal="left" vertical="center" wrapText="1"/>
    </xf>
    <xf numFmtId="0" fontId="15" fillId="12" borderId="19" xfId="0" applyFont="1" applyFill="1" applyBorder="1" applyAlignment="1">
      <alignment horizontal="left" vertical="center" wrapText="1"/>
    </xf>
  </cellXfs>
  <cellStyles count="2">
    <cellStyle name="Millares" xfId="1" builtinId="3"/>
    <cellStyle name="Normal" xfId="0" builtinId="0"/>
  </cellStyles>
  <dxfs count="60">
    <dxf>
      <numFmt numFmtId="1" formatCode="0"/>
    </dxf>
    <dxf>
      <numFmt numFmtId="1" formatCode="0"/>
    </dxf>
    <dxf>
      <numFmt numFmtId="1" formatCode="0"/>
      <alignment horizontal="center" vertical="bottom" textRotation="0" wrapText="0" indent="0" justifyLastLine="0" shrinkToFit="0" readingOrder="0"/>
      <protection locked="1" hidden="0"/>
    </dxf>
    <dxf>
      <numFmt numFmtId="1" formatCode="0"/>
      <alignment horizontal="center" vertical="bottom" textRotation="0" wrapText="0" indent="0" justifyLastLine="0" shrinkToFit="0" readingOrder="0"/>
      <protection locked="1" hidden="0"/>
    </dxf>
    <dxf>
      <numFmt numFmtId="2" formatCode="0.00"/>
      <alignment horizontal="center" vertical="bottom" textRotation="0" wrapText="0" indent="0" justifyLastLine="0" shrinkToFit="0" readingOrder="0"/>
      <protection locked="1" hidden="0"/>
    </dxf>
    <dxf>
      <numFmt numFmtId="168" formatCode="#,##0\ &quot;€&quot;"/>
      <alignment horizontal="center" vertical="bottom" textRotation="0" wrapText="0" indent="0" justifyLastLine="0" shrinkToFit="0" readingOrder="0"/>
      <protection locked="1" hidden="0"/>
    </dxf>
    <dxf>
      <alignment horizontal="center" vertical="bottom"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1" formatCode="0"/>
      <protection locked="1" hidden="0"/>
    </dxf>
    <dxf>
      <numFmt numFmtId="1" formatCode="0"/>
      <protection locked="1" hidden="0"/>
    </dxf>
    <dxf>
      <numFmt numFmtId="1" formatCode="0"/>
      <protection locked="1" hidden="0"/>
    </dxf>
    <dxf>
      <numFmt numFmtId="1" formatCode="0"/>
      <protection locked="1" hidden="0"/>
    </dxf>
    <dxf>
      <numFmt numFmtId="1" formatCode="0"/>
      <protection locked="1" hidden="0"/>
    </dxf>
    <dxf>
      <numFmt numFmtId="1" formatCode="0"/>
      <protection locked="1" hidden="0"/>
    </dxf>
    <dxf>
      <numFmt numFmtId="1" formatCode="0"/>
      <protection locked="1" hidden="0"/>
    </dxf>
    <dxf>
      <numFmt numFmtId="1" formatCode="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0" indent="0" justifyLastLine="0" shrinkToFit="0" readingOrder="0"/>
      <protection locked="1" hidden="0"/>
    </dxf>
    <dxf>
      <protection locked="1" hidden="0"/>
    </dxf>
    <dxf>
      <numFmt numFmtId="1" formatCode="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0" indent="0" justifyLastLine="0" shrinkToFit="0" readingOrder="0"/>
      <protection locked="1" hidden="0"/>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center" vertical="center" textRotation="0" wrapText="1" indent="0" justifyLastLine="0" shrinkToFit="0" readingOrder="0"/>
      <protection locked="0" hidden="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2</xdr:col>
      <xdr:colOff>606425</xdr:colOff>
      <xdr:row>1</xdr:row>
      <xdr:rowOff>450493</xdr:rowOff>
    </xdr:to>
    <xdr:pic>
      <xdr:nvPicPr>
        <xdr:cNvPr id="2" name="Imagen 1">
          <a:extLst>
            <a:ext uri="{FF2B5EF4-FFF2-40B4-BE49-F238E27FC236}">
              <a16:creationId xmlns:a16="http://schemas.microsoft.com/office/drawing/2014/main" id="{75653BE7-3B83-47C8-B518-7AE6F2CAAF5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57150"/>
          <a:ext cx="1295400" cy="5952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SANCHEZ-TELLO Diego" refreshedDate="46281.675676157407" createdVersion="8" refreshedVersion="8" minRefreshableVersion="3" recordCount="246" xr:uid="{0D1AC704-749E-4AB9-B480-A2F79111E7BB}">
  <cacheSource type="worksheet">
    <worksheetSource name="T"/>
  </cacheSource>
  <cacheFields count="56">
    <cacheField name="Provider_Name" numFmtId="0">
      <sharedItems/>
    </cacheField>
    <cacheField name="AXIS" numFmtId="0">
      <sharedItems count="29">
        <s v="CN&gt;BR"/>
        <s v="CN&gt;ES"/>
        <s v="CN&gt;PT"/>
        <s v="CN&gt;RO"/>
        <s v="CN&gt;TR"/>
        <s v="ES&gt;BR"/>
        <s v="ES&gt;CL"/>
        <s v="FR&gt;BR"/>
        <s v="FR&gt;CL"/>
        <s v="IN&gt;BR"/>
        <s v="IN&gt;CL"/>
        <s v="IN&gt;ES"/>
        <s v="IN&gt;RO"/>
        <s v="IN&gt;TR"/>
        <s v="JP&gt;BR"/>
        <s v="JP&gt;ES"/>
        <s v="JP&gt;TR"/>
        <s v="KR&gt;BR"/>
        <s v="KR&gt;TR"/>
        <s v="RO&gt;BR"/>
        <s v="TR&gt;BR"/>
        <s v="TR&gt;ES"/>
        <s v="JP&gt;RO"/>
        <s v="FR&gt;AR"/>
        <s v="BR&gt;RO"/>
        <s v="BR&gt;ES"/>
        <s v="BR&gt;TR"/>
        <s v="CL&gt;TR"/>
        <s v="MX&gt;BR"/>
      </sharedItems>
    </cacheField>
    <cacheField name="ID" numFmtId="0">
      <sharedItems/>
    </cacheField>
    <cacheField name="Shipper/ILN" numFmtId="0">
      <sharedItems count="23">
        <s v="ILN China"/>
        <s v="KWE China"/>
        <s v="Infimotion"/>
        <s v="ILN China-AS"/>
        <s v="ILN Valladolid"/>
        <s v="Horse Valladolid"/>
        <s v="SFK VALLADOLID"/>
        <s v="ILN CLEON"/>
        <s v="SFK FRANCE"/>
        <s v="ILN India"/>
        <s v="Renault Pune-AS"/>
        <s v="Aichi Japan"/>
        <s v="NML"/>
        <s v="ILN Busan"/>
        <s v="ILN Mioveni"/>
        <s v="ILN Bursa"/>
        <s v="Renault Korea-AS"/>
        <s v="Steep"/>
        <s v="ILN Brasil"/>
        <s v="Renault Brazil-AS"/>
        <s v="Horse Chile"/>
        <s v="ILN MEXICO"/>
        <s v="Jinrui" u="1"/>
      </sharedItems>
    </cacheField>
    <cacheField name="Type of Flow" numFmtId="0">
      <sharedItems/>
    </cacheField>
    <cacheField name="Country Code" numFmtId="0">
      <sharedItems/>
    </cacheField>
    <cacheField name="City" numFmtId="0">
      <sharedItems/>
    </cacheField>
    <cacheField name="State / Province Code" numFmtId="0">
      <sharedItems/>
    </cacheField>
    <cacheField name="Postal Code" numFmtId="0">
      <sharedItems containsBlank="1" containsMixedTypes="1" containsNumber="1" containsInteger="1" minValue="27220" maxValue="2100837"/>
    </cacheField>
    <cacheField name="Origin Airport" numFmtId="0">
      <sharedItems/>
    </cacheField>
    <cacheField name="Country Code Destin" numFmtId="0">
      <sharedItems/>
    </cacheField>
    <cacheField name="City Destin" numFmtId="0">
      <sharedItems/>
    </cacheField>
    <cacheField name="State / Province Code2" numFmtId="0">
      <sharedItems/>
    </cacheField>
    <cacheField name="Postal Code3" numFmtId="0">
      <sharedItems containsMixedTypes="1" containsNumber="1" containsInteger="1" minValue="5000" maxValue="2100837"/>
    </cacheField>
    <cacheField name="Destination Airport" numFmtId="0">
      <sharedItems/>
    </cacheField>
    <cacheField name="Destination Plant" numFmtId="0">
      <sharedItems/>
    </cacheField>
    <cacheField name="Annual #Shipments" numFmtId="0">
      <sharedItems containsSemiMixedTypes="0" containsString="0" containsNumber="1" containsInteger="1" minValue="1" maxValue="136"/>
    </cacheField>
    <cacheField name="Customer Anual Weight (kg)" numFmtId="0">
      <sharedItems containsSemiMixedTypes="0" containsString="0" containsNumber="1" minValue="209" maxValue="145321"/>
    </cacheField>
    <cacheField name="Customer Chargeable Weight" numFmtId="0">
      <sharedItems containsSemiMixedTypes="0" containsString="0" containsNumber="1" minValue="209" maxValue="145321"/>
    </cacheField>
    <cacheField name="Customer Avg Shipment/Weight" numFmtId="1">
      <sharedItems containsSemiMixedTypes="0" containsString="0" containsNumber="1" minValue="75.473749999999995" maxValue="5011.0689655172409"/>
    </cacheField>
    <cacheField name="Service Level (Normal, Economy and Express)" numFmtId="0">
      <sharedItems/>
    </cacheField>
    <cacheField name="Total Transit Door-to-Door (days)" numFmtId="0">
      <sharedItems containsSemiMixedTypes="0" containsString="0" containsNumber="1" minValue="3" maxValue="16"/>
    </cacheField>
    <cacheField name="Min" numFmtId="0">
      <sharedItems containsSemiMixedTypes="0" containsString="0" containsNumber="1" minValue="20" maxValue="1197"/>
    </cacheField>
    <cacheField name="Pickup Flat per kg" numFmtId="0">
      <sharedItems containsSemiMixedTypes="0" containsString="0" containsNumber="1" minValue="0" maxValue="1.49"/>
    </cacheField>
    <cacheField name="Max" numFmtId="0">
      <sharedItems containsMixedTypes="1" containsNumber="1" minValue="88.888888888888886" maxValue="2220"/>
    </cacheField>
    <cacheField name="Origin to Airport Transit Time in days" numFmtId="0">
      <sharedItems containsSemiMixedTypes="0" containsString="0" containsNumber="1" minValue="0.5" maxValue="24"/>
    </cacheField>
    <cacheField name="Min4" numFmtId="0">
      <sharedItems containsSemiMixedTypes="0" containsString="0" containsNumber="1" minValue="6.0975609756097562" maxValue="96"/>
    </cacheField>
    <cacheField name="Per KG" numFmtId="0">
      <sharedItems containsSemiMixedTypes="0" containsString="0" containsNumber="1" minValue="0.01" maxValue="0.156"/>
    </cacheField>
    <cacheField name="Per Declaration" numFmtId="0">
      <sharedItems containsSemiMixedTypes="0" containsString="0" containsNumber="1" minValue="0" maxValue="409"/>
    </cacheField>
    <cacheField name="Min5" numFmtId="0">
      <sharedItems containsSemiMixedTypes="0" containsString="0" containsNumber="1" minValue="0" maxValue="66"/>
    </cacheField>
    <cacheField name="Per Kg6" numFmtId="0">
      <sharedItems containsSemiMixedTypes="0" containsString="0" containsNumber="1" minValue="0" maxValue="0.15"/>
    </cacheField>
    <cacheField name="Per Shipment" numFmtId="0">
      <sharedItems containsMixedTypes="1" containsNumber="1" containsInteger="1" minValue="0" maxValue="0"/>
    </cacheField>
    <cacheField name="Min7" numFmtId="0">
      <sharedItems containsSemiMixedTypes="0" containsString="0" containsNumber="1" minValue="7.8125" maxValue="620"/>
    </cacheField>
    <cacheField name="&lt;45 kg" numFmtId="0">
      <sharedItems containsSemiMixedTypes="0" containsString="0" containsNumber="1" minValue="0.18000000000000002" maxValue="21.412500000000001"/>
    </cacheField>
    <cacheField name="&gt;45 kg" numFmtId="0">
      <sharedItems containsSemiMixedTypes="0" containsString="0" containsNumber="1" minValue="0.18000000000000002" maxValue="20.318750000000001"/>
    </cacheField>
    <cacheField name="&gt;100 kg" numFmtId="0">
      <sharedItems containsSemiMixedTypes="0" containsString="0" containsNumber="1" minValue="1.53" maxValue="15.725"/>
    </cacheField>
    <cacheField name="&gt;300 kg" numFmtId="0">
      <sharedItems containsSemiMixedTypes="0" containsString="0" containsNumber="1" minValue="1.341" maxValue="15.725"/>
    </cacheField>
    <cacheField name="&gt;500 kg" numFmtId="0">
      <sharedItems containsSemiMixedTypes="0" containsString="0" containsNumber="1" minValue="1.2240000000000002" maxValue="15.725"/>
    </cacheField>
    <cacheField name="&gt;1000 kg" numFmtId="0">
      <sharedItems containsSemiMixedTypes="0" containsString="0" containsNumber="1" minValue="1.1880000000000002" maxValue="15.725"/>
    </cacheField>
    <cacheField name="&gt;2500 kg" numFmtId="0">
      <sharedItems containsSemiMixedTypes="0" containsString="0" containsNumber="1" minValue="1.161" maxValue="15.725"/>
    </cacheField>
    <cacheField name="&gt;5000 kg" numFmtId="0">
      <sharedItems containsSemiMixedTypes="0" containsString="0" containsNumber="1" minValue="1.1520000000000001" maxValue="15.725"/>
    </cacheField>
    <cacheField name="Airport to Airport Transit Time Days" numFmtId="0">
      <sharedItems containsSemiMixedTypes="0" containsString="0" containsNumber="1" minValue="1" maxValue="12"/>
    </cacheField>
    <cacheField name="Air Carrier (Complete Name)" numFmtId="0">
      <sharedItems/>
    </cacheField>
    <cacheField name="Nº Transshipment" numFmtId="0">
      <sharedItems containsSemiMixedTypes="0" containsString="0" containsNumber="1" containsInteger="1" minValue="0" maxValue="3"/>
    </cacheField>
    <cacheField name="Flight Frequency (days per week)" numFmtId="0">
      <sharedItems containsSemiMixedTypes="0" containsString="0" containsNumber="1" containsInteger="1" minValue="1" maxValue="7"/>
    </cacheField>
    <cacheField name="Min8" numFmtId="0">
      <sharedItems containsString="0" containsBlank="1" containsNumber="1" containsInteger="1" minValue="65" maxValue="1950"/>
    </cacheField>
    <cacheField name="Delivery Flat per kg" numFmtId="0">
      <sharedItems containsString="0" containsBlank="1" containsNumber="1" minValue="0.1" maxValue="1.57"/>
    </cacheField>
    <cacheField name="Max9" numFmtId="0">
      <sharedItems containsString="0" containsBlank="1" containsNumber="1" containsInteger="1" minValue="250" maxValue="5500"/>
    </cacheField>
    <cacheField name="Airport to Destination Transit Time Days" numFmtId="0">
      <sharedItems containsSemiMixedTypes="0" containsString="0" containsNumber="1" containsInteger="1" minValue="1" maxValue="2"/>
    </cacheField>
    <cacheField name="Min10" numFmtId="0">
      <sharedItems containsSemiMixedTypes="0" containsString="0" containsNumber="1" containsInteger="1" minValue="19" maxValue="425"/>
    </cacheField>
    <cacheField name="Per KG11" numFmtId="0">
      <sharedItems containsSemiMixedTypes="0" containsString="0" containsNumber="1" minValue="0.01" maxValue="0.43"/>
    </cacheField>
    <cacheField name="Service Level" numFmtId="0">
      <sharedItems/>
    </cacheField>
    <cacheField name="Total RATE €" numFmtId="168">
      <sharedItems containsSemiMixedTypes="0" containsString="0" containsNumber="1" minValue="1364.1680000000001" maxValue="9665.2799999999988"/>
    </cacheField>
    <cacheField name="€/Kg" numFmtId="2">
      <sharedItems containsSemiMixedTypes="0" containsString="0" containsNumber="1" minValue="2.3043378378378381" maxValue="18.053725490196047"/>
    </cacheField>
    <cacheField name="Frequency (days per week)" numFmtId="1">
      <sharedItems containsSemiMixedTypes="0" containsString="0" containsNumber="1" containsInteger="1" minValue="1" maxValue="7"/>
    </cacheField>
    <cacheField name="Total TT (days)" numFmtId="1">
      <sharedItems containsSemiMixedTypes="0" containsString="0" containsNumber="1" minValue="3" maxValue="35"/>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B5E7D62-65A4-452E-B470-912961E7F62D}" name="TablaDinámica2" cacheId="15" applyNumberFormats="0" applyBorderFormats="0" applyFontFormats="0" applyPatternFormats="0" applyAlignmentFormats="0" applyWidthHeightFormats="1" dataCaption="Valores" updatedVersion="8" minRefreshableVersion="3" useAutoFormatting="1" rowGrandTotals="0" colGrandTotals="0" itemPrintTitles="1" createdVersion="8" indent="0" compact="0" compactData="0" multipleFieldFilters="0">
  <location ref="B3:D43" firstHeaderRow="1" firstDataRow="1" firstDataCol="2"/>
  <pivotFields count="56">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9">
        <item x="25"/>
        <item x="24"/>
        <item x="26"/>
        <item x="27"/>
        <item x="0"/>
        <item x="1"/>
        <item x="2"/>
        <item x="3"/>
        <item x="4"/>
        <item x="5"/>
        <item x="6"/>
        <item x="23"/>
        <item x="7"/>
        <item x="8"/>
        <item x="9"/>
        <item x="10"/>
        <item x="11"/>
        <item x="12"/>
        <item x="13"/>
        <item x="14"/>
        <item x="15"/>
        <item x="22"/>
        <item x="16"/>
        <item x="17"/>
        <item x="18"/>
        <item x="28"/>
        <item x="19"/>
        <item x="20"/>
        <item x="2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3">
        <item x="11"/>
        <item x="20"/>
        <item x="5"/>
        <item x="18"/>
        <item x="15"/>
        <item x="13"/>
        <item x="0"/>
        <item x="7"/>
        <item x="9"/>
        <item x="21"/>
        <item x="14"/>
        <item x="4"/>
        <item x="2"/>
        <item x="1"/>
        <item x="12"/>
        <item x="19"/>
        <item x="16"/>
        <item x="10"/>
        <item x="8"/>
        <item x="6"/>
        <item x="17"/>
        <item m="1" x="22"/>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s>
  <rowFields count="2">
    <field x="1"/>
    <field x="3"/>
  </rowFields>
  <rowItems count="40">
    <i>
      <x/>
      <x v="3"/>
    </i>
    <i r="1">
      <x v="15"/>
    </i>
    <i>
      <x v="1"/>
      <x v="3"/>
    </i>
    <i>
      <x v="2"/>
      <x v="3"/>
    </i>
    <i>
      <x v="3"/>
      <x v="1"/>
    </i>
    <i>
      <x v="4"/>
      <x v="6"/>
    </i>
    <i r="1">
      <x v="13"/>
    </i>
    <i>
      <x v="5"/>
      <x v="12"/>
    </i>
    <i r="1">
      <x v="13"/>
    </i>
    <i r="1">
      <x v="22"/>
    </i>
    <i>
      <x v="6"/>
      <x v="12"/>
    </i>
    <i>
      <x v="7"/>
      <x v="13"/>
    </i>
    <i>
      <x v="8"/>
      <x v="6"/>
    </i>
    <i r="1">
      <x v="13"/>
    </i>
    <i>
      <x v="9"/>
      <x v="2"/>
    </i>
    <i r="1">
      <x v="11"/>
    </i>
    <i r="1">
      <x v="19"/>
    </i>
    <i>
      <x v="10"/>
      <x v="11"/>
    </i>
    <i r="1">
      <x v="19"/>
    </i>
    <i>
      <x v="11"/>
      <x v="20"/>
    </i>
    <i>
      <x v="12"/>
      <x v="7"/>
    </i>
    <i r="1">
      <x v="18"/>
    </i>
    <i>
      <x v="13"/>
      <x v="7"/>
    </i>
    <i r="1">
      <x v="18"/>
    </i>
    <i>
      <x v="14"/>
      <x v="8"/>
    </i>
    <i>
      <x v="15"/>
      <x v="8"/>
    </i>
    <i>
      <x v="16"/>
      <x v="8"/>
    </i>
    <i r="1">
      <x v="17"/>
    </i>
    <i>
      <x v="17"/>
      <x v="8"/>
    </i>
    <i>
      <x v="18"/>
      <x v="8"/>
    </i>
    <i>
      <x v="19"/>
      <x/>
    </i>
    <i>
      <x v="20"/>
      <x v="14"/>
    </i>
    <i>
      <x v="21"/>
      <x v="14"/>
    </i>
    <i>
      <x v="22"/>
      <x/>
    </i>
    <i>
      <x v="23"/>
      <x v="5"/>
    </i>
    <i>
      <x v="24"/>
      <x v="5"/>
    </i>
    <i>
      <x v="25"/>
      <x v="9"/>
    </i>
    <i>
      <x v="26"/>
      <x v="10"/>
    </i>
    <i>
      <x v="27"/>
      <x v="4"/>
    </i>
    <i>
      <x v="28"/>
      <x v="16"/>
    </i>
  </rowItems>
  <colItems count="1">
    <i/>
  </colItems>
  <dataFields count="1">
    <dataField name="Promedio de Customer Chargeable Weight" fld="18" subtotal="average" baseField="4" baseItem="2" numFmtId="1"/>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2C4EFA-ADA7-41AD-8699-527C88D24999}" name="T" displayName="T" ref="B4:BE250" totalsRowShown="0" headerRowDxfId="59" dataDxfId="58">
  <autoFilter ref="B4:BE250" xr:uid="{5A2C4EFA-ADA7-41AD-8699-527C88D24999}"/>
  <tableColumns count="56">
    <tableColumn id="69" xr3:uid="{E69DE4ED-084B-4D5B-A799-CB9D0620997F}" name="Provider_Name" dataDxfId="57"/>
    <tableColumn id="1" xr3:uid="{5FE5D384-0D69-40B5-BEFE-A985AEB9CB59}" name="AXIS" dataDxfId="56"/>
    <tableColumn id="3" xr3:uid="{31E3BD85-29FE-4FF9-92F0-3A75B894B64B}" name="ID" dataDxfId="55"/>
    <tableColumn id="20" xr3:uid="{CAE5C757-65C2-451B-A0E4-D0D18E135159}" name="Shipper/ILN" dataDxfId="54"/>
    <tableColumn id="34" xr3:uid="{0DABE783-E33E-4927-9B3F-ECAAFF7A1B3A}" name="Type of Flow" dataDxfId="53"/>
    <tableColumn id="4" xr3:uid="{E9EF5D6C-01EC-464F-96AC-72DFBF6DA3D4}" name="Country Code" dataDxfId="52"/>
    <tableColumn id="5" xr3:uid="{59B1F9A0-32C0-4F05-AF20-79AD22F99FD7}" name="City" dataDxfId="51"/>
    <tableColumn id="6" xr3:uid="{A7E24F8B-61B2-4091-AA59-6563829273D9}" name="State / Province Code" dataDxfId="50"/>
    <tableColumn id="7" xr3:uid="{8BD55D1F-CD60-40A7-BD9D-3736C74A2138}" name="Postal Code" dataDxfId="49"/>
    <tableColumn id="8" xr3:uid="{F743DCF4-D92F-4110-A73D-2CF121C9B4E0}" name="Origin Airport" dataDxfId="48"/>
    <tableColumn id="10" xr3:uid="{BDE8B9D9-9C07-4DF3-8CEC-7378A066972F}" name="Country Code Destin" dataDxfId="47"/>
    <tableColumn id="11" xr3:uid="{50B1CEDF-836A-4B33-BDE7-FCA5F56BEAAB}" name="City Destin" dataDxfId="46"/>
    <tableColumn id="12" xr3:uid="{F5DB15F3-2B13-4009-BA2A-CD782AC07A03}" name="State / Province Code2" dataDxfId="45"/>
    <tableColumn id="13" xr3:uid="{C5C8087A-F14E-4460-84DB-CC51F10204F1}" name="Postal Code3" dataDxfId="44"/>
    <tableColumn id="14" xr3:uid="{1B65F69A-A029-403B-9912-C507B6E04457}" name="Destination Airport" dataDxfId="43"/>
    <tableColumn id="47" xr3:uid="{E3FB4C00-EFC0-451A-9F61-7168A651DE0F}" name="Destination Plant" dataDxfId="42"/>
    <tableColumn id="15" xr3:uid="{E3089AA8-46EF-4A93-9DF8-AB4054B2F02A}" name="Annual #Shipments" dataDxfId="41"/>
    <tableColumn id="16" xr3:uid="{9B8D299D-DCCC-4CEE-94D1-D9174A742618}" name="Customer Anual Weight (kg)" dataDxfId="40"/>
    <tableColumn id="17" xr3:uid="{EADE54A7-A1DB-4155-90E5-33D268706336}" name="Customer Chargeable Weight" dataDxfId="39"/>
    <tableColumn id="18" xr3:uid="{160AB015-8E74-4ED3-B96A-16C28A3A601F}" name="Customer Avg Shipment/Weight" dataDxfId="38"/>
    <tableColumn id="19" xr3:uid="{E2E8F90D-FE5A-41DD-A29C-C796FFC4CED1}" name="Service Level (Normal, Economy and Express)" dataDxfId="37"/>
    <tableColumn id="21" xr3:uid="{3371951A-E273-47F5-99D9-855296F841B7}" name="Total Transit Door-to-Door (days)" dataDxfId="36"/>
    <tableColumn id="23" xr3:uid="{2D8DD671-4FC5-4246-AD87-AE1F475ED52E}" name="Min" dataDxfId="35"/>
    <tableColumn id="24" xr3:uid="{00506341-B68A-4C2D-815F-4BE467156B2F}" name="Pickup Flat per kg" dataDxfId="34"/>
    <tableColumn id="25" xr3:uid="{BB01D815-8716-43A7-A184-EB0E290670F4}" name="Max" dataDxfId="33"/>
    <tableColumn id="26" xr3:uid="{57094E6A-0FF4-4665-B973-437185ADC4AD}" name="Origin to Airport Transit Time in days" dataDxfId="32"/>
    <tableColumn id="27" xr3:uid="{EE6290C4-96F5-4FE4-A51C-0B4BEA347443}" name="Min4" dataDxfId="31"/>
    <tableColumn id="28" xr3:uid="{31EA7AA1-3028-4A4D-A310-3D7EF22851BE}" name="Per KG" dataDxfId="30"/>
    <tableColumn id="29" xr3:uid="{A43B3D6E-4E82-456A-A787-AF8DC1A129D1}" name="Per Declaration" dataDxfId="29"/>
    <tableColumn id="30" xr3:uid="{3E24BAE2-8C59-4556-A757-7DA4ED31384D}" name="Min5" dataDxfId="28"/>
    <tableColumn id="31" xr3:uid="{72477CC3-4F0F-4E0B-888A-9933E87819DC}" name="Per Kg6" dataDxfId="27"/>
    <tableColumn id="32" xr3:uid="{C55AEA1F-0473-4FBF-8E2C-16619AA1F78A}" name="Per Shipment" dataDxfId="26"/>
    <tableColumn id="33" xr3:uid="{AE59F5DF-EBDB-46FA-B2DC-44CF962B5E1E}" name="Min7" dataDxfId="25"/>
    <tableColumn id="35" xr3:uid="{D543114D-5B24-4D89-8D61-6543E66FBE3D}" name="&lt;45 kg" dataDxfId="24"/>
    <tableColumn id="36" xr3:uid="{D7BD878E-60CC-4A5E-B05F-EE6190318CEC}" name="&gt;45 kg" dataDxfId="23"/>
    <tableColumn id="37" xr3:uid="{B891F981-08AA-409E-B7D4-CEE6EBDC107D}" name="&gt;100 kg" dataDxfId="22"/>
    <tableColumn id="38" xr3:uid="{8FE17D5B-059E-4E81-9CE2-3649A4AC26D4}" name="&gt;300 kg" dataDxfId="21"/>
    <tableColumn id="39" xr3:uid="{FF07218F-FF10-4E63-B8D9-8E3C6A4BFC3B}" name="&gt;500 kg" dataDxfId="20"/>
    <tableColumn id="40" xr3:uid="{6EE11B69-1FD2-491A-8281-F446097B1576}" name="&gt;1000 kg" dataDxfId="19"/>
    <tableColumn id="41" xr3:uid="{B0A2E836-3227-4192-80C5-D3DEA6D31601}" name="&gt;2500 kg" dataDxfId="18"/>
    <tableColumn id="42" xr3:uid="{EE36D374-6E58-4A5D-9A83-E29AFF971447}" name="&gt;5000 kg" dataDxfId="17"/>
    <tableColumn id="43" xr3:uid="{9300C527-32DC-4A63-B60B-03584FFE5499}" name="Airport to Airport Transit Time Days" dataDxfId="16"/>
    <tableColumn id="44" xr3:uid="{A6775F2B-0753-4E02-A6F6-68928D5CD5B2}" name="Air Carrier (Complete Name)" dataDxfId="15"/>
    <tableColumn id="45" xr3:uid="{2FBA7FB7-BF37-4035-B8BB-C712B5E0C662}" name="Nº Transshipment" dataDxfId="14"/>
    <tableColumn id="46" xr3:uid="{9F1D6F7D-FAF1-4B8A-997A-BD9DF4E53E44}" name="Flight Frequency (days per week)" dataDxfId="13"/>
    <tableColumn id="49" xr3:uid="{23A71698-C799-4118-9BF0-3A132BF8CC75}" name="Min8" dataDxfId="12"/>
    <tableColumn id="50" xr3:uid="{8A0A6991-C8C4-4CB7-882B-BB33C94A145C}" name="Delivery Flat per kg" dataDxfId="11"/>
    <tableColumn id="51" xr3:uid="{07DCB737-16AB-4D2F-8C2D-582BF28C13E4}" name="Max9" dataDxfId="10"/>
    <tableColumn id="52" xr3:uid="{0CE4DB12-D619-4650-A336-19DE5320E195}" name="Airport to Destination Transit Time Days" dataDxfId="9"/>
    <tableColumn id="53" xr3:uid="{019B26B3-D28C-4F92-9AF5-5BEC221CB863}" name="Min10" dataDxfId="8"/>
    <tableColumn id="54" xr3:uid="{D17FEAEE-FA7E-46C4-80F0-B4E62EB4DE48}" name="Per KG11" dataDxfId="7"/>
    <tableColumn id="55" xr3:uid="{8FE3FBC8-663B-4C7E-BEE5-0894693614A7}" name="Service Level" dataDxfId="6">
      <calculatedColumnFormula>+IF(V5="","NORMAL",V5)</calculatedColumnFormula>
    </tableColumn>
    <tableColumn id="59" xr3:uid="{B9547953-DDBE-44BE-8730-5E31CC038AD5}" name="Total RATE €" dataDxfId="5">
      <calculatedColumnFormula>IFERROR((AD5+IF(Calculator_v2!$E$6*Y5&lt;X5,X5,IF(Calculator_v2!$E$6*Y5&gt;Z5,Z5,Calculator_v2!$E$6*Y5))+IF(Calculator_v2!$E$6*AC5&lt;AB5,AB5,Calculator_v2!$E$6*AC5)+IFERROR(_xlfn.LET(_xlpm.tarifa,IF(Calculator_v2!$E$6&lt;=$AI$1,AI5,IF(Calculator_v2!$E$6&lt;=$AK$1,AJ5,IF(Calculator_v2!$E$6&lt;=$AL$1,AK5,IF(Calculator_v2!$E$6&lt;=$AM$1,AL5,IF(Calculator_v2!$E$6&lt;=$AN$1,AM5,IF(Calculator_v2!$E$6&lt;=$AO$1,AN5,IF(Calculator_v2!$E$6&lt;=$AP$1,AO5,AP5))))))),_xlpm.resultado,_xlpm.tarifa*Calculator_v2!$E$6,IF(_xlpm.resultado&lt;AH5,AH5,_xlpm.resultado)),0)+IF(Calculator_v2!$E$6*AV5&lt;AU5,AU5,IF(Calculator_v2!$E$6*AV5&gt;AW5,AW5,Calculator_v2!$E$6*AV5))+IF(Calculator_v2!$E$6*AZ5&lt;=AY5,AY5,Calculator_v2!$E$6*AZ5)),0)</calculatedColumnFormula>
    </tableColumn>
    <tableColumn id="60" xr3:uid="{44606992-3B1F-49BF-B9B3-70B4EEB4BB25}" name="€/Kg" dataDxfId="4">
      <calculatedColumnFormula>IFERROR(+BB5/Calculator_v2!$E$6,0)+IFERROR(VLOOKUP(A5,DHL_ADDER!$B$4:$E$26,4,0),0)</calculatedColumnFormula>
    </tableColumn>
    <tableColumn id="57" xr3:uid="{448CC4ED-600D-46C1-9474-7A0AEE7AE307}" name="Frequency (days per week)" dataDxfId="3">
      <calculatedColumnFormula>IF(AT5="",1,IF(OR(NOT(ISERROR(SEARCH("Daily",AT5))),NOT(ISERROR(SEARCH("DAILY",AT5)))),7,IF(AND(ISERROR(FIND(",",AT5)),ISERROR(FIND(" ",AT5))),AT5,LEN(AT5)-LEN(SUBSTITUTE(SUBSTITUTE(AT5,",",""),".",""))+1)))</calculatedColumnFormula>
    </tableColumn>
    <tableColumn id="58" xr3:uid="{0EEBFAC5-DFCE-462A-8A08-733F7FD85E7F}" name="Total TT (days)" dataDxfId="2">
      <calculatedColumnFormula>+T[[#This Row],[Airport to Destination Transit Time Days]]+T[[#This Row],[Airport to Airport Transit Time Days]]+T[[#This Row],[Origin to Airport Transit Time in days]]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92D050"/>
  </sheetPr>
  <dimension ref="A1:BE250"/>
  <sheetViews>
    <sheetView showGridLines="0" zoomScaleNormal="100" workbookViewId="0">
      <pane xSplit="6" ySplit="4" topLeftCell="G206" activePane="bottomRight" state="frozen"/>
      <selection pane="topRight" activeCell="G1" sqref="G1"/>
      <selection pane="bottomLeft" activeCell="A5" sqref="A5"/>
      <selection pane="bottomRight" activeCell="K216" sqref="K216"/>
    </sheetView>
  </sheetViews>
  <sheetFormatPr baseColWidth="10" defaultColWidth="9.1796875" defaultRowHeight="14.5" outlineLevelCol="1" x14ac:dyDescent="0.35"/>
  <cols>
    <col min="1" max="1" width="12.1796875" style="7" customWidth="1"/>
    <col min="2" max="2" width="13.1796875" style="7" customWidth="1"/>
    <col min="3" max="3" width="11.453125" style="7" customWidth="1"/>
    <col min="4" max="4" width="9.1796875" style="7"/>
    <col min="5" max="5" width="14.453125" style="7" customWidth="1"/>
    <col min="6" max="6" width="9.1796875" style="7"/>
    <col min="7" max="7" width="8.7265625" style="7" customWidth="1" outlineLevel="1"/>
    <col min="8" max="8" width="9" style="7" customWidth="1" outlineLevel="1"/>
    <col min="9" max="9" width="21" style="7" customWidth="1" outlineLevel="1"/>
    <col min="10" max="10" width="13.26953125" style="7" customWidth="1" outlineLevel="1"/>
    <col min="11" max="11" width="13.453125" style="7" customWidth="1" outlineLevel="1"/>
    <col min="12" max="12" width="9.26953125" style="7" customWidth="1" outlineLevel="1"/>
    <col min="13" max="13" width="12" style="7" customWidth="1" outlineLevel="1"/>
    <col min="14" max="14" width="13.54296875" style="7" customWidth="1" outlineLevel="1"/>
    <col min="15" max="15" width="10.453125" style="7" customWidth="1" outlineLevel="1"/>
    <col min="16" max="16" width="12.54296875" style="7" customWidth="1" outlineLevel="1"/>
    <col min="17" max="17" width="18.7265625" style="7" customWidth="1" outlineLevel="1"/>
    <col min="18" max="18" width="11.81640625" style="7" customWidth="1" outlineLevel="1"/>
    <col min="19" max="20" width="16" style="7" customWidth="1"/>
    <col min="21" max="21" width="17.1796875" style="7" customWidth="1"/>
    <col min="22" max="22" width="18.1796875" style="7" customWidth="1"/>
    <col min="23" max="23" width="15.1796875" style="9" customWidth="1"/>
    <col min="24" max="24" width="13.453125" style="7" customWidth="1" outlineLevel="1"/>
    <col min="25" max="25" width="9.54296875" style="7" customWidth="1" outlineLevel="1"/>
    <col min="26" max="26" width="18.54296875" style="7" customWidth="1" outlineLevel="1"/>
    <col min="27" max="27" width="18.453125" style="7" bestFit="1" customWidth="1"/>
    <col min="28" max="28" width="16.7265625" style="7" customWidth="1" outlineLevel="1"/>
    <col min="29" max="29" width="9.54296875" style="7" customWidth="1" outlineLevel="1"/>
    <col min="30" max="30" width="12.1796875" style="7" customWidth="1" outlineLevel="1"/>
    <col min="31" max="31" width="16.7265625" style="7" customWidth="1" outlineLevel="1"/>
    <col min="32" max="32" width="7.7265625" style="7" customWidth="1" outlineLevel="1"/>
    <col min="33" max="33" width="12" style="7" customWidth="1" outlineLevel="1"/>
    <col min="34" max="34" width="6.7265625" style="7" customWidth="1" outlineLevel="1"/>
    <col min="35" max="42" width="8" style="7" customWidth="1" outlineLevel="1"/>
    <col min="43" max="43" width="13.453125" style="7" customWidth="1"/>
    <col min="44" max="44" width="55.54296875" style="7" customWidth="1" outlineLevel="1"/>
    <col min="45" max="45" width="21.7265625" style="7" bestFit="1" customWidth="1" outlineLevel="1"/>
    <col min="46" max="46" width="17.1796875" style="7" customWidth="1" outlineLevel="1"/>
    <col min="47" max="47" width="10.1796875" style="7" bestFit="1" customWidth="1" outlineLevel="1"/>
    <col min="48" max="48" width="9.54296875" style="7" customWidth="1" outlineLevel="1"/>
    <col min="49" max="49" width="10.453125" style="7" bestFit="1" customWidth="1" outlineLevel="1"/>
    <col min="50" max="50" width="23" style="7" customWidth="1"/>
    <col min="51" max="51" width="11.1796875" style="7" bestFit="1" customWidth="1"/>
    <col min="52" max="52" width="11.81640625" style="7" customWidth="1"/>
    <col min="53" max="53" width="12" style="7" customWidth="1"/>
    <col min="54" max="54" width="11.7265625" style="9" bestFit="1" customWidth="1"/>
    <col min="55" max="55" width="13" style="7" customWidth="1"/>
    <col min="56" max="56" width="11.1796875" style="9" customWidth="1"/>
    <col min="57" max="57" width="11.7265625" style="9" customWidth="1"/>
    <col min="58" max="58" width="11.26953125" style="7" customWidth="1"/>
    <col min="59" max="59" width="10" style="7" customWidth="1"/>
    <col min="60" max="60" width="10.81640625" style="7" customWidth="1"/>
    <col min="61" max="61" width="12" style="7" bestFit="1" customWidth="1"/>
    <col min="62" max="62" width="10.54296875" style="7" bestFit="1" customWidth="1"/>
    <col min="63" max="63" width="11.1796875" style="7" bestFit="1" customWidth="1"/>
    <col min="64" max="64" width="11.1796875" style="7" customWidth="1"/>
    <col min="65" max="16384" width="9.1796875" style="7"/>
  </cols>
  <sheetData>
    <row r="1" spans="1:57" x14ac:dyDescent="0.35">
      <c r="D1" s="8" t="s">
        <v>0</v>
      </c>
      <c r="E1" s="8"/>
      <c r="F1" s="8"/>
      <c r="Z1" s="9"/>
      <c r="AA1" s="9"/>
      <c r="AB1" s="9"/>
      <c r="AC1" s="9"/>
      <c r="AD1" s="9"/>
      <c r="AE1" s="9"/>
      <c r="AF1" s="9">
        <f>36/24</f>
        <v>1.5</v>
      </c>
      <c r="AG1" s="9"/>
      <c r="AH1" s="9"/>
      <c r="AI1" s="10">
        <v>45</v>
      </c>
      <c r="AJ1" s="10">
        <v>45.0015</v>
      </c>
      <c r="AK1" s="10">
        <v>100</v>
      </c>
      <c r="AL1" s="10">
        <v>300</v>
      </c>
      <c r="AM1" s="10">
        <v>500</v>
      </c>
      <c r="AN1" s="10">
        <v>1000</v>
      </c>
      <c r="AO1" s="10">
        <v>2500</v>
      </c>
      <c r="AP1" s="10">
        <v>5000</v>
      </c>
      <c r="AQ1" s="9">
        <f>1424*1.53+0.35*1424+1424*0.24+137+1424*0.27</f>
        <v>3540.36</v>
      </c>
      <c r="AU1" s="9"/>
      <c r="AV1" s="9"/>
      <c r="AW1" s="9"/>
      <c r="AX1" s="11">
        <f>IFERROR(_xlfn.LET(_xlpm.tarifa,IF(#REF!&lt;=AI1,#REF!,IF(#REF!&lt;=AK1,#REF!,IF(#REF!&lt;=AL1,#REF!,IF(#REF!&lt;=AM1,#REF!,IF(#REF!&lt;=AN1,#REF!,IF(#REF!&lt;=AO1,#REF!,IF(#REF!&lt;=AP1,#REF!,#REF!))))))),_xlpm.resultado,_xlpm.tarifa*#REF!,IF(_xlpm.resultado&lt;#REF!,#REF!,_xlpm.resultado)),0)</f>
        <v>0</v>
      </c>
      <c r="AY1" s="9"/>
      <c r="AZ1" s="9"/>
      <c r="BA1" s="9"/>
      <c r="BC1" s="9"/>
    </row>
    <row r="2" spans="1:57" s="12" customFormat="1" ht="14.25" customHeight="1" x14ac:dyDescent="0.35">
      <c r="D2" s="13"/>
      <c r="E2" s="13"/>
      <c r="F2" s="13"/>
      <c r="G2" s="13"/>
      <c r="H2" s="13"/>
      <c r="I2" s="13"/>
      <c r="J2" s="13"/>
      <c r="K2" s="13"/>
      <c r="L2" s="13"/>
      <c r="M2" s="13"/>
      <c r="N2" s="13"/>
      <c r="O2" s="13"/>
      <c r="P2" s="13"/>
      <c r="Q2" s="13"/>
      <c r="R2" s="13"/>
      <c r="S2" s="13"/>
      <c r="T2" s="13" t="s">
        <v>1</v>
      </c>
      <c r="U2" s="13"/>
      <c r="V2" s="13"/>
      <c r="W2" s="13"/>
      <c r="X2" s="86" t="s">
        <v>2</v>
      </c>
      <c r="Y2" s="86"/>
      <c r="Z2" s="86"/>
      <c r="AA2" s="86"/>
      <c r="AB2" s="86"/>
      <c r="AC2" s="86"/>
      <c r="AD2" s="86"/>
      <c r="AE2" s="86"/>
      <c r="AF2" s="86"/>
      <c r="AG2" s="86"/>
      <c r="AH2" s="87"/>
      <c r="AI2" s="88"/>
      <c r="AJ2" s="88"/>
      <c r="AK2" s="88"/>
      <c r="AL2" s="88"/>
      <c r="AM2" s="88"/>
      <c r="AN2" s="88"/>
      <c r="AO2" s="88"/>
      <c r="AP2" s="88"/>
      <c r="AQ2" s="88"/>
      <c r="AR2" s="14" t="s">
        <v>3</v>
      </c>
      <c r="AS2" s="14" t="s">
        <v>4</v>
      </c>
      <c r="AT2" s="14"/>
      <c r="AU2" s="89" t="s">
        <v>5</v>
      </c>
      <c r="AV2" s="89"/>
      <c r="AW2" s="89"/>
      <c r="AX2" s="89"/>
      <c r="AY2" s="89"/>
      <c r="AZ2" s="89"/>
    </row>
    <row r="3" spans="1:57" ht="36.75" customHeight="1" x14ac:dyDescent="0.35">
      <c r="B3" s="15"/>
      <c r="C3" s="15" t="s">
        <v>6</v>
      </c>
      <c r="D3" s="16" t="s">
        <v>2</v>
      </c>
      <c r="E3" s="17"/>
      <c r="F3" s="17"/>
      <c r="G3" s="18"/>
      <c r="H3" s="18"/>
      <c r="I3" s="18"/>
      <c r="J3" s="18"/>
      <c r="K3" s="19"/>
      <c r="L3" s="90"/>
      <c r="M3" s="90"/>
      <c r="N3" s="90"/>
      <c r="O3" s="90"/>
      <c r="P3" s="91"/>
      <c r="Q3" s="20"/>
      <c r="R3" s="92" t="s">
        <v>7</v>
      </c>
      <c r="S3" s="90"/>
      <c r="T3" s="90"/>
      <c r="U3" s="90"/>
      <c r="V3" s="90"/>
      <c r="W3" s="90"/>
      <c r="X3" s="93" t="s">
        <v>8</v>
      </c>
      <c r="Y3" s="94"/>
      <c r="Z3" s="94"/>
      <c r="AA3" s="95"/>
      <c r="AB3" s="21" t="s">
        <v>9</v>
      </c>
      <c r="AC3" s="22" t="s">
        <v>9</v>
      </c>
      <c r="AD3" s="23" t="s">
        <v>10</v>
      </c>
      <c r="AE3" s="20" t="s">
        <v>11</v>
      </c>
      <c r="AF3" s="23" t="s">
        <v>11</v>
      </c>
      <c r="AG3" s="23" t="s">
        <v>12</v>
      </c>
      <c r="AH3" s="96" t="s">
        <v>13</v>
      </c>
      <c r="AI3" s="97"/>
      <c r="AJ3" s="97"/>
      <c r="AK3" s="97"/>
      <c r="AL3" s="97"/>
      <c r="AM3" s="97"/>
      <c r="AN3" s="97"/>
      <c r="AO3" s="97"/>
      <c r="AP3" s="97"/>
      <c r="AQ3" s="97"/>
      <c r="AR3" s="97"/>
      <c r="AS3" s="97"/>
      <c r="AT3" s="97"/>
      <c r="AU3" s="98" t="s">
        <v>14</v>
      </c>
      <c r="AV3" s="94"/>
      <c r="AW3" s="94"/>
      <c r="AX3" s="95"/>
      <c r="AY3" s="23" t="s">
        <v>15</v>
      </c>
      <c r="AZ3" s="24" t="s">
        <v>15</v>
      </c>
      <c r="BA3" s="9"/>
      <c r="BC3" s="9"/>
    </row>
    <row r="4" spans="1:57" s="26" customFormat="1" ht="48.75" customHeight="1" x14ac:dyDescent="0.35">
      <c r="B4" s="25" t="s">
        <v>16</v>
      </c>
      <c r="C4" s="26" t="s">
        <v>17</v>
      </c>
      <c r="D4" s="25" t="s">
        <v>18</v>
      </c>
      <c r="E4" s="25" t="s">
        <v>19</v>
      </c>
      <c r="F4" s="25" t="s">
        <v>20</v>
      </c>
      <c r="G4" s="25" t="s">
        <v>21</v>
      </c>
      <c r="H4" s="25" t="s">
        <v>22</v>
      </c>
      <c r="I4" s="25" t="s">
        <v>23</v>
      </c>
      <c r="J4" s="25" t="s">
        <v>24</v>
      </c>
      <c r="K4" s="25" t="s">
        <v>25</v>
      </c>
      <c r="L4" s="25" t="s">
        <v>26</v>
      </c>
      <c r="M4" s="25" t="s">
        <v>27</v>
      </c>
      <c r="N4" s="25" t="s">
        <v>28</v>
      </c>
      <c r="O4" s="25" t="s">
        <v>29</v>
      </c>
      <c r="P4" s="25" t="s">
        <v>30</v>
      </c>
      <c r="Q4" s="25" t="s">
        <v>31</v>
      </c>
      <c r="R4" s="25" t="s">
        <v>32</v>
      </c>
      <c r="S4" s="25" t="s">
        <v>33</v>
      </c>
      <c r="T4" s="25" t="s">
        <v>34</v>
      </c>
      <c r="U4" s="27" t="s">
        <v>35</v>
      </c>
      <c r="V4" s="25" t="s">
        <v>36</v>
      </c>
      <c r="W4" s="25" t="s">
        <v>37</v>
      </c>
      <c r="X4" s="25" t="s">
        <v>38</v>
      </c>
      <c r="Y4" s="25" t="s">
        <v>39</v>
      </c>
      <c r="Z4" s="25" t="s">
        <v>40</v>
      </c>
      <c r="AA4" s="28" t="s">
        <v>41</v>
      </c>
      <c r="AB4" s="25" t="s">
        <v>42</v>
      </c>
      <c r="AC4" s="25" t="s">
        <v>43</v>
      </c>
      <c r="AD4" s="29" t="s">
        <v>44</v>
      </c>
      <c r="AE4" s="30" t="s">
        <v>45</v>
      </c>
      <c r="AF4" s="30" t="s">
        <v>46</v>
      </c>
      <c r="AG4" s="30" t="s">
        <v>47</v>
      </c>
      <c r="AH4" s="25" t="s">
        <v>48</v>
      </c>
      <c r="AI4" s="25" t="s">
        <v>49</v>
      </c>
      <c r="AJ4" s="25" t="s">
        <v>50</v>
      </c>
      <c r="AK4" s="25" t="s">
        <v>51</v>
      </c>
      <c r="AL4" s="25" t="s">
        <v>52</v>
      </c>
      <c r="AM4" s="25" t="s">
        <v>53</v>
      </c>
      <c r="AN4" s="25" t="s">
        <v>54</v>
      </c>
      <c r="AO4" s="25" t="s">
        <v>55</v>
      </c>
      <c r="AP4" s="25" t="s">
        <v>56</v>
      </c>
      <c r="AQ4" s="31" t="s">
        <v>57</v>
      </c>
      <c r="AR4" s="25" t="s">
        <v>58</v>
      </c>
      <c r="AS4" s="25" t="s">
        <v>4</v>
      </c>
      <c r="AT4" s="25" t="s">
        <v>59</v>
      </c>
      <c r="AU4" s="25" t="s">
        <v>60</v>
      </c>
      <c r="AV4" s="25" t="s">
        <v>61</v>
      </c>
      <c r="AW4" s="25" t="s">
        <v>62</v>
      </c>
      <c r="AX4" s="28" t="s">
        <v>63</v>
      </c>
      <c r="AY4" s="25" t="s">
        <v>64</v>
      </c>
      <c r="AZ4" s="25" t="s">
        <v>65</v>
      </c>
      <c r="BA4" s="32" t="s">
        <v>66</v>
      </c>
      <c r="BB4" s="33" t="s">
        <v>67</v>
      </c>
      <c r="BC4" s="34" t="s">
        <v>68</v>
      </c>
      <c r="BD4" s="33" t="s">
        <v>69</v>
      </c>
      <c r="BE4" s="33" t="s">
        <v>70</v>
      </c>
    </row>
    <row r="5" spans="1:57" customFormat="1" x14ac:dyDescent="0.35">
      <c r="A5" t="str">
        <f>+T[[#This Row],[Provider_Name]]&amp;"_"&amp;T[[#This Row],[AXIS]]</f>
        <v>DHL_B_CN&gt;BR</v>
      </c>
      <c r="B5" t="s">
        <v>71</v>
      </c>
      <c r="C5" t="s">
        <v>72</v>
      </c>
      <c r="D5" t="s">
        <v>73</v>
      </c>
      <c r="E5" t="s">
        <v>74</v>
      </c>
      <c r="F5" t="s">
        <v>75</v>
      </c>
      <c r="G5" t="s">
        <v>76</v>
      </c>
      <c r="H5" t="s">
        <v>77</v>
      </c>
      <c r="I5" t="s">
        <v>77</v>
      </c>
      <c r="J5">
        <v>200232</v>
      </c>
      <c r="K5" t="s">
        <v>78</v>
      </c>
      <c r="L5" t="s">
        <v>79</v>
      </c>
      <c r="M5" t="s">
        <v>80</v>
      </c>
      <c r="N5" t="s">
        <v>81</v>
      </c>
      <c r="O5" t="s">
        <v>82</v>
      </c>
      <c r="P5" t="s">
        <v>83</v>
      </c>
      <c r="Q5" t="s">
        <v>84</v>
      </c>
      <c r="R5">
        <v>1</v>
      </c>
      <c r="S5">
        <v>209</v>
      </c>
      <c r="T5">
        <v>209</v>
      </c>
      <c r="U5" s="1">
        <v>209</v>
      </c>
      <c r="V5" t="s">
        <v>85</v>
      </c>
      <c r="W5" s="43">
        <v>16</v>
      </c>
      <c r="X5" s="44">
        <v>55.555555555555557</v>
      </c>
      <c r="Y5" s="44">
        <v>6.1728395061728399E-2</v>
      </c>
      <c r="Z5" s="44">
        <v>88.888888888888886</v>
      </c>
      <c r="AA5">
        <v>1</v>
      </c>
      <c r="AB5" s="45">
        <v>6.0975609756097562</v>
      </c>
      <c r="AC5" s="45">
        <v>0.01</v>
      </c>
      <c r="AD5" s="45">
        <v>20.731707317073173</v>
      </c>
      <c r="AE5">
        <v>0</v>
      </c>
      <c r="AF5">
        <v>0</v>
      </c>
      <c r="AG5" t="s">
        <v>86</v>
      </c>
      <c r="AH5" s="44">
        <v>98.76543209876543</v>
      </c>
      <c r="AI5" s="44">
        <v>5.2604938271604933</v>
      </c>
      <c r="AJ5" s="44">
        <v>4.7666666666666666</v>
      </c>
      <c r="AK5" s="44">
        <v>4.272839506172839</v>
      </c>
      <c r="AL5" s="44">
        <v>4.272839506172839</v>
      </c>
      <c r="AM5" s="44">
        <v>4.272839506172839</v>
      </c>
      <c r="AN5" s="44">
        <v>4.272839506172839</v>
      </c>
      <c r="AO5" s="44">
        <v>4.272839506172839</v>
      </c>
      <c r="AP5" s="44">
        <v>4.272839506172839</v>
      </c>
      <c r="AQ5">
        <v>12</v>
      </c>
      <c r="AR5" t="s">
        <v>87</v>
      </c>
      <c r="AS5">
        <v>2</v>
      </c>
      <c r="AT5">
        <v>7</v>
      </c>
      <c r="AX5">
        <v>1</v>
      </c>
      <c r="AY5">
        <v>120</v>
      </c>
      <c r="AZ5">
        <v>0.06</v>
      </c>
      <c r="BA5" s="43" t="str">
        <f t="shared" ref="BA5:BA68" si="0">+IF(V5="","NORMAL",V5)</f>
        <v>Economy</v>
      </c>
      <c r="BB5" s="46">
        <f>IFERROR((AD5+IF(Calculator_v2!$E$6*Y5&lt;X5,X5,IF(Calculator_v2!$E$6*Y5&gt;Z5,Z5,Calculator_v2!$E$6*Y5))+IF(Calculator_v2!$E$6*AC5&lt;AB5,AB5,Calculator_v2!$E$6*AC5)+IFERROR(_xlfn.LET(_xlpm.tarifa,IF(Calculator_v2!$E$6&lt;=$AI$1,AI5,IF(Calculator_v2!$E$6&lt;=$AK$1,AJ5,IF(Calculator_v2!$E$6&lt;=$AL$1,AK5,IF(Calculator_v2!$E$6&lt;=$AM$1,AL5,IF(Calculator_v2!$E$6&lt;=$AN$1,AM5,IF(Calculator_v2!$E$6&lt;=$AO$1,AN5,IF(Calculator_v2!$E$6&lt;=$AP$1,AO5,AP5))))))),_xlpm.resultado,_xlpm.tarifa*Calculator_v2!$E$6,IF(_xlpm.resultado&lt;AH5,AH5,_xlpm.resultado)),0)+IF(Calculator_v2!$E$6*AV5&lt;AU5,AU5,IF(Calculator_v2!$E$6*AV5&gt;AW5,AW5,Calculator_v2!$E$6*AV5))+IF(Calculator_v2!$E$6*AZ5&lt;=AY5,AY5,Calculator_v2!$E$6*AZ5)),0)</f>
        <v>2731.9058115025591</v>
      </c>
      <c r="BC5" s="47">
        <f>IFERROR(+BB5/Calculator_v2!$E$6,0)+IFERROR(VLOOKUP(A5,DHL_ADDER!$B$4:$E$26,4,0),0)</f>
        <v>9.9647057626732423</v>
      </c>
      <c r="BD5" s="48">
        <f t="shared" ref="BD5:BD68" si="1">IF(AT5="",1,IF(OR(NOT(ISERROR(SEARCH("Daily",AT5))),NOT(ISERROR(SEARCH("DAILY",AT5)))),7,IF(AND(ISERROR(FIND(",",AT5)),ISERROR(FIND(" ",AT5))),AT5,LEN(AT5)-LEN(SUBSTITUTE(SUBSTITUTE(AT5,",",""),".",""))+1)))</f>
        <v>7</v>
      </c>
      <c r="BE5" s="48">
        <f>+T[[#This Row],[Airport to Destination Transit Time Days]]+T[[#This Row],[Airport to Airport Transit Time Days]]+T[[#This Row],[Origin to Airport Transit Time in days]]</f>
        <v>14</v>
      </c>
    </row>
    <row r="6" spans="1:57" customFormat="1" x14ac:dyDescent="0.35">
      <c r="A6" t="str">
        <f>+T[[#This Row],[Provider_Name]]&amp;"_"&amp;T[[#This Row],[AXIS]]</f>
        <v>DHL_B_CN&gt;BR</v>
      </c>
      <c r="B6" t="s">
        <v>71</v>
      </c>
      <c r="C6" t="s">
        <v>72</v>
      </c>
      <c r="D6" t="s">
        <v>73</v>
      </c>
      <c r="E6" t="s">
        <v>88</v>
      </c>
      <c r="F6" t="s">
        <v>75</v>
      </c>
      <c r="G6" t="s">
        <v>76</v>
      </c>
      <c r="H6" t="s">
        <v>77</v>
      </c>
      <c r="I6" t="s">
        <v>77</v>
      </c>
      <c r="J6">
        <v>200131</v>
      </c>
      <c r="K6" t="s">
        <v>78</v>
      </c>
      <c r="L6" t="s">
        <v>79</v>
      </c>
      <c r="M6" t="s">
        <v>80</v>
      </c>
      <c r="N6" t="s">
        <v>81</v>
      </c>
      <c r="O6" t="s">
        <v>82</v>
      </c>
      <c r="P6" t="s">
        <v>83</v>
      </c>
      <c r="Q6" t="s">
        <v>84</v>
      </c>
      <c r="R6">
        <v>46</v>
      </c>
      <c r="S6">
        <v>24227</v>
      </c>
      <c r="T6">
        <v>24401</v>
      </c>
      <c r="U6" s="1">
        <v>530.45652173913038</v>
      </c>
      <c r="V6" t="s">
        <v>85</v>
      </c>
      <c r="W6" s="43">
        <v>16</v>
      </c>
      <c r="X6" s="44">
        <v>55.555555555555557</v>
      </c>
      <c r="Y6" s="44">
        <v>6.1728395061728399E-2</v>
      </c>
      <c r="Z6" s="44">
        <v>88.888888888888886</v>
      </c>
      <c r="AA6">
        <v>1</v>
      </c>
      <c r="AB6" s="45">
        <v>6.0975609756097562</v>
      </c>
      <c r="AC6" s="45">
        <v>0.01</v>
      </c>
      <c r="AD6" s="45">
        <v>20.731707317073173</v>
      </c>
      <c r="AE6">
        <v>0</v>
      </c>
      <c r="AF6">
        <v>0</v>
      </c>
      <c r="AG6" t="s">
        <v>86</v>
      </c>
      <c r="AH6" s="44">
        <v>98.76543209876543</v>
      </c>
      <c r="AI6" s="44">
        <v>5.2604938271604933</v>
      </c>
      <c r="AJ6" s="44">
        <v>4.7666666666666666</v>
      </c>
      <c r="AK6" s="44">
        <v>4.272839506172839</v>
      </c>
      <c r="AL6" s="44">
        <v>4.272839506172839</v>
      </c>
      <c r="AM6" s="44">
        <v>4.272839506172839</v>
      </c>
      <c r="AN6" s="44">
        <v>4.272839506172839</v>
      </c>
      <c r="AO6" s="44">
        <v>4.272839506172839</v>
      </c>
      <c r="AP6" s="44">
        <v>4.272839506172839</v>
      </c>
      <c r="AQ6">
        <v>12</v>
      </c>
      <c r="AR6" t="s">
        <v>87</v>
      </c>
      <c r="AS6">
        <v>2</v>
      </c>
      <c r="AT6">
        <v>7</v>
      </c>
      <c r="AX6">
        <v>1</v>
      </c>
      <c r="AY6">
        <v>120</v>
      </c>
      <c r="AZ6">
        <v>0.06</v>
      </c>
      <c r="BA6" s="43" t="str">
        <f t="shared" si="0"/>
        <v>Economy</v>
      </c>
      <c r="BB6" s="46">
        <f>IFERROR((AD6+IF(Calculator_v2!$E$6*Y6&lt;X6,X6,IF(Calculator_v2!$E$6*Y6&gt;Z6,Z6,Calculator_v2!$E$6*Y6))+IF(Calculator_v2!$E$6*AC6&lt;AB6,AB6,Calculator_v2!$E$6*AC6)+IFERROR(_xlfn.LET(_xlpm.tarifa,IF(Calculator_v2!$E$6&lt;=$AI$1,AI6,IF(Calculator_v2!$E$6&lt;=$AK$1,AJ6,IF(Calculator_v2!$E$6&lt;=$AL$1,AK6,IF(Calculator_v2!$E$6&lt;=$AM$1,AL6,IF(Calculator_v2!$E$6&lt;=$AN$1,AM6,IF(Calculator_v2!$E$6&lt;=$AO$1,AN6,IF(Calculator_v2!$E$6&lt;=$AP$1,AO6,AP6))))))),_xlpm.resultado,_xlpm.tarifa*Calculator_v2!$E$6,IF(_xlpm.resultado&lt;AH6,AH6,_xlpm.resultado)),0)+IF(Calculator_v2!$E$6*AV6&lt;AU6,AU6,IF(Calculator_v2!$E$6*AV6&gt;AW6,AW6,Calculator_v2!$E$6*AV6))+IF(Calculator_v2!$E$6*AZ6&lt;=AY6,AY6,Calculator_v2!$E$6*AZ6)),0)</f>
        <v>2731.9058115025591</v>
      </c>
      <c r="BC6" s="47">
        <f>IFERROR(+BB6/Calculator_v2!$E$6,0)+IFERROR(VLOOKUP(A6,DHL_ADDER!$B$4:$E$26,4,0),0)</f>
        <v>9.9647057626732423</v>
      </c>
      <c r="BD6" s="48">
        <f t="shared" si="1"/>
        <v>7</v>
      </c>
      <c r="BE6" s="48">
        <f>+T[[#This Row],[Airport to Destination Transit Time Days]]+T[[#This Row],[Airport to Airport Transit Time Days]]+T[[#This Row],[Origin to Airport Transit Time in days]]</f>
        <v>14</v>
      </c>
    </row>
    <row r="7" spans="1:57" customFormat="1" x14ac:dyDescent="0.35">
      <c r="A7" t="str">
        <f>+T[[#This Row],[Provider_Name]]&amp;"_"&amp;T[[#This Row],[AXIS]]</f>
        <v>DHL_B_CN&gt;BR</v>
      </c>
      <c r="B7" t="s">
        <v>71</v>
      </c>
      <c r="C7" t="s">
        <v>72</v>
      </c>
      <c r="D7" t="s">
        <v>73</v>
      </c>
      <c r="E7" t="s">
        <v>74</v>
      </c>
      <c r="F7" t="s">
        <v>75</v>
      </c>
      <c r="G7" t="s">
        <v>76</v>
      </c>
      <c r="H7" t="s">
        <v>77</v>
      </c>
      <c r="I7" t="s">
        <v>77</v>
      </c>
      <c r="J7">
        <v>200232</v>
      </c>
      <c r="K7" t="s">
        <v>78</v>
      </c>
      <c r="L7" t="s">
        <v>79</v>
      </c>
      <c r="M7" t="s">
        <v>80</v>
      </c>
      <c r="N7" t="s">
        <v>81</v>
      </c>
      <c r="O7" t="s">
        <v>82</v>
      </c>
      <c r="P7" t="s">
        <v>89</v>
      </c>
      <c r="Q7" t="s">
        <v>84</v>
      </c>
      <c r="R7">
        <v>1</v>
      </c>
      <c r="S7">
        <v>209</v>
      </c>
      <c r="T7">
        <v>209</v>
      </c>
      <c r="U7" s="1">
        <v>209</v>
      </c>
      <c r="V7" t="s">
        <v>85</v>
      </c>
      <c r="W7" s="43">
        <v>14</v>
      </c>
      <c r="X7" s="44">
        <v>55.555555555555557</v>
      </c>
      <c r="Y7" s="44">
        <v>6.1728395061728399E-2</v>
      </c>
      <c r="Z7" s="44">
        <v>88.888888888888886</v>
      </c>
      <c r="AA7">
        <v>1</v>
      </c>
      <c r="AB7" s="45">
        <v>6.0975609756097562</v>
      </c>
      <c r="AC7" s="45">
        <v>0.01</v>
      </c>
      <c r="AD7" s="45">
        <v>20.731707317073173</v>
      </c>
      <c r="AE7">
        <v>0</v>
      </c>
      <c r="AF7">
        <v>0</v>
      </c>
      <c r="AG7" t="s">
        <v>86</v>
      </c>
      <c r="AH7" s="44">
        <v>98.76543209876543</v>
      </c>
      <c r="AI7" s="44">
        <v>5.2604938271604933</v>
      </c>
      <c r="AJ7" s="44">
        <v>4.7666666666666666</v>
      </c>
      <c r="AK7" s="44">
        <v>4.272839506172839</v>
      </c>
      <c r="AL7" s="44">
        <v>4.272839506172839</v>
      </c>
      <c r="AM7" s="44">
        <v>4.272839506172839</v>
      </c>
      <c r="AN7" s="44">
        <v>4.272839506172839</v>
      </c>
      <c r="AO7" s="44">
        <v>4.272839506172839</v>
      </c>
      <c r="AP7" s="44">
        <v>4.272839506172839</v>
      </c>
      <c r="AQ7">
        <v>12</v>
      </c>
      <c r="AR7" t="s">
        <v>87</v>
      </c>
      <c r="AS7">
        <v>2</v>
      </c>
      <c r="AT7">
        <v>7</v>
      </c>
      <c r="AX7">
        <v>1</v>
      </c>
      <c r="AY7">
        <v>120</v>
      </c>
      <c r="AZ7">
        <v>0.06</v>
      </c>
      <c r="BA7" s="43" t="str">
        <f t="shared" si="0"/>
        <v>Economy</v>
      </c>
      <c r="BB7" s="46">
        <f>IFERROR((AD7+IF(Calculator_v2!$E$6*Y7&lt;X7,X7,IF(Calculator_v2!$E$6*Y7&gt;Z7,Z7,Calculator_v2!$E$6*Y7))+IF(Calculator_v2!$E$6*AC7&lt;AB7,AB7,Calculator_v2!$E$6*AC7)+IFERROR(_xlfn.LET(_xlpm.tarifa,IF(Calculator_v2!$E$6&lt;=$AI$1,AI7,IF(Calculator_v2!$E$6&lt;=$AK$1,AJ7,IF(Calculator_v2!$E$6&lt;=$AL$1,AK7,IF(Calculator_v2!$E$6&lt;=$AM$1,AL7,IF(Calculator_v2!$E$6&lt;=$AN$1,AM7,IF(Calculator_v2!$E$6&lt;=$AO$1,AN7,IF(Calculator_v2!$E$6&lt;=$AP$1,AO7,AP7))))))),_xlpm.resultado,_xlpm.tarifa*Calculator_v2!$E$6,IF(_xlpm.resultado&lt;AH7,AH7,_xlpm.resultado)),0)+IF(Calculator_v2!$E$6*AV7&lt;AU7,AU7,IF(Calculator_v2!$E$6*AV7&gt;AW7,AW7,Calculator_v2!$E$6*AV7))+IF(Calculator_v2!$E$6*AZ7&lt;=AY7,AY7,Calculator_v2!$E$6*AZ7)),0)</f>
        <v>2731.9058115025591</v>
      </c>
      <c r="BC7" s="47">
        <f>IFERROR(+BB7/Calculator_v2!$E$6,0)+IFERROR(VLOOKUP(A7,DHL_ADDER!$B$4:$E$26,4,0),0)</f>
        <v>9.9647057626732423</v>
      </c>
      <c r="BD7" s="48">
        <f t="shared" si="1"/>
        <v>7</v>
      </c>
      <c r="BE7" s="48">
        <f>+T[[#This Row],[Airport to Destination Transit Time Days]]+T[[#This Row],[Airport to Airport Transit Time Days]]+T[[#This Row],[Origin to Airport Transit Time in days]]</f>
        <v>14</v>
      </c>
    </row>
    <row r="8" spans="1:57" customFormat="1" x14ac:dyDescent="0.35">
      <c r="A8" t="str">
        <f>+T[[#This Row],[Provider_Name]]&amp;"_"&amp;T[[#This Row],[AXIS]]</f>
        <v>DHL_B_CN&gt;BR</v>
      </c>
      <c r="B8" t="s">
        <v>71</v>
      </c>
      <c r="C8" t="s">
        <v>72</v>
      </c>
      <c r="D8" t="s">
        <v>73</v>
      </c>
      <c r="E8" t="s">
        <v>88</v>
      </c>
      <c r="F8" t="s">
        <v>75</v>
      </c>
      <c r="G8" t="s">
        <v>76</v>
      </c>
      <c r="H8" t="s">
        <v>77</v>
      </c>
      <c r="I8" t="s">
        <v>77</v>
      </c>
      <c r="J8">
        <v>200131</v>
      </c>
      <c r="K8" t="s">
        <v>78</v>
      </c>
      <c r="L8" t="s">
        <v>79</v>
      </c>
      <c r="M8" t="s">
        <v>80</v>
      </c>
      <c r="N8" t="s">
        <v>81</v>
      </c>
      <c r="O8" t="s">
        <v>82</v>
      </c>
      <c r="P8" t="s">
        <v>89</v>
      </c>
      <c r="Q8" t="s">
        <v>84</v>
      </c>
      <c r="R8">
        <v>46</v>
      </c>
      <c r="S8">
        <v>24227</v>
      </c>
      <c r="T8">
        <v>24401</v>
      </c>
      <c r="U8" s="1">
        <v>530.45652173913038</v>
      </c>
      <c r="V8" t="s">
        <v>85</v>
      </c>
      <c r="W8" s="43">
        <v>14</v>
      </c>
      <c r="X8">
        <v>55.555555555555557</v>
      </c>
      <c r="Y8">
        <v>6.1728395061728399E-2</v>
      </c>
      <c r="Z8">
        <v>88.888888888888886</v>
      </c>
      <c r="AA8">
        <v>1</v>
      </c>
      <c r="AB8">
        <v>6.0975609756097562</v>
      </c>
      <c r="AC8">
        <v>0.01</v>
      </c>
      <c r="AD8">
        <v>20.731707317073173</v>
      </c>
      <c r="AE8">
        <v>0</v>
      </c>
      <c r="AF8">
        <v>0</v>
      </c>
      <c r="AG8" t="s">
        <v>86</v>
      </c>
      <c r="AH8">
        <v>98.76543209876543</v>
      </c>
      <c r="AI8" s="1">
        <v>5.2604938271604933</v>
      </c>
      <c r="AJ8" s="1">
        <v>4.7666666666666666</v>
      </c>
      <c r="AK8" s="1">
        <v>4.272839506172839</v>
      </c>
      <c r="AL8" s="1">
        <v>4.272839506172839</v>
      </c>
      <c r="AM8" s="1">
        <v>4.272839506172839</v>
      </c>
      <c r="AN8" s="1">
        <v>4.272839506172839</v>
      </c>
      <c r="AO8" s="1">
        <v>4.272839506172839</v>
      </c>
      <c r="AP8" s="1">
        <v>4.272839506172839</v>
      </c>
      <c r="AQ8">
        <v>12</v>
      </c>
      <c r="AR8" t="s">
        <v>87</v>
      </c>
      <c r="AS8">
        <v>2</v>
      </c>
      <c r="AT8">
        <v>7</v>
      </c>
      <c r="AX8">
        <v>1</v>
      </c>
      <c r="AY8">
        <v>120</v>
      </c>
      <c r="AZ8">
        <v>0.06</v>
      </c>
      <c r="BA8" s="43" t="str">
        <f t="shared" si="0"/>
        <v>Economy</v>
      </c>
      <c r="BB8" s="46">
        <f>IFERROR((AD8+IF(Calculator_v2!$E$6*Y8&lt;X8,X8,IF(Calculator_v2!$E$6*Y8&gt;Z8,Z8,Calculator_v2!$E$6*Y8))+IF(Calculator_v2!$E$6*AC8&lt;AB8,AB8,Calculator_v2!$E$6*AC8)+IFERROR(_xlfn.LET(_xlpm.tarifa,IF(Calculator_v2!$E$6&lt;=$AI$1,AI8,IF(Calculator_v2!$E$6&lt;=$AK$1,AJ8,IF(Calculator_v2!$E$6&lt;=$AL$1,AK8,IF(Calculator_v2!$E$6&lt;=$AM$1,AL8,IF(Calculator_v2!$E$6&lt;=$AN$1,AM8,IF(Calculator_v2!$E$6&lt;=$AO$1,AN8,IF(Calculator_v2!$E$6&lt;=$AP$1,AO8,AP8))))))),_xlpm.resultado,_xlpm.tarifa*Calculator_v2!$E$6,IF(_xlpm.resultado&lt;AH8,AH8,_xlpm.resultado)),0)+IF(Calculator_v2!$E$6*AV8&lt;AU8,AU8,IF(Calculator_v2!$E$6*AV8&gt;AW8,AW8,Calculator_v2!$E$6*AV8))+IF(Calculator_v2!$E$6*AZ8&lt;=AY8,AY8,Calculator_v2!$E$6*AZ8)),0)</f>
        <v>2731.9058115025591</v>
      </c>
      <c r="BC8" s="47">
        <f>IFERROR(+BB8/Calculator_v2!$E$6,0)+IFERROR(VLOOKUP(A8,DHL_ADDER!$B$4:$E$26,4,0),0)</f>
        <v>9.9647057626732423</v>
      </c>
      <c r="BD8" s="48">
        <f t="shared" si="1"/>
        <v>7</v>
      </c>
      <c r="BE8" s="48">
        <f>+T[[#This Row],[Airport to Destination Transit Time Days]]+T[[#This Row],[Airport to Airport Transit Time Days]]+T[[#This Row],[Origin to Airport Transit Time in days]]</f>
        <v>14</v>
      </c>
    </row>
    <row r="9" spans="1:57" customFormat="1" x14ac:dyDescent="0.35">
      <c r="A9" t="str">
        <f>+T[[#This Row],[Provider_Name]]&amp;"_"&amp;T[[#This Row],[AXIS]]</f>
        <v>DHL_B_CN&gt;BR</v>
      </c>
      <c r="B9" t="s">
        <v>71</v>
      </c>
      <c r="C9" t="s">
        <v>72</v>
      </c>
      <c r="D9" t="s">
        <v>73</v>
      </c>
      <c r="E9" t="s">
        <v>74</v>
      </c>
      <c r="F9" t="s">
        <v>75</v>
      </c>
      <c r="G9" t="s">
        <v>76</v>
      </c>
      <c r="H9" t="s">
        <v>77</v>
      </c>
      <c r="I9" t="s">
        <v>77</v>
      </c>
      <c r="J9">
        <v>200232</v>
      </c>
      <c r="K9" t="s">
        <v>78</v>
      </c>
      <c r="L9" t="s">
        <v>79</v>
      </c>
      <c r="M9" t="s">
        <v>80</v>
      </c>
      <c r="N9" t="s">
        <v>81</v>
      </c>
      <c r="O9" t="s">
        <v>82</v>
      </c>
      <c r="P9" t="s">
        <v>83</v>
      </c>
      <c r="Q9" t="s">
        <v>84</v>
      </c>
      <c r="R9">
        <v>1</v>
      </c>
      <c r="S9">
        <v>209</v>
      </c>
      <c r="T9">
        <v>209</v>
      </c>
      <c r="U9" s="1">
        <v>209</v>
      </c>
      <c r="V9" t="s">
        <v>90</v>
      </c>
      <c r="W9" s="43">
        <v>12</v>
      </c>
      <c r="X9">
        <v>55.555555555555557</v>
      </c>
      <c r="Y9">
        <v>6.1728395061728399E-2</v>
      </c>
      <c r="Z9">
        <v>88.888888888888886</v>
      </c>
      <c r="AA9">
        <v>1</v>
      </c>
      <c r="AB9">
        <v>6.0975609756097562</v>
      </c>
      <c r="AC9">
        <v>0.01</v>
      </c>
      <c r="AD9">
        <v>20.731707317073173</v>
      </c>
      <c r="AE9">
        <v>0</v>
      </c>
      <c r="AF9">
        <v>0</v>
      </c>
      <c r="AG9" t="s">
        <v>86</v>
      </c>
      <c r="AH9">
        <v>148.14814814814815</v>
      </c>
      <c r="AI9" s="1">
        <v>5.8777777777777773</v>
      </c>
      <c r="AJ9" s="1">
        <v>5.3839506172839497</v>
      </c>
      <c r="AK9" s="1">
        <v>4.8901234567901231</v>
      </c>
      <c r="AL9" s="1">
        <v>4.8901234567901231</v>
      </c>
      <c r="AM9" s="1">
        <v>4.8901234567901231</v>
      </c>
      <c r="AN9" s="1">
        <v>4.8901234567901231</v>
      </c>
      <c r="AO9" s="1">
        <v>4.8901234567901231</v>
      </c>
      <c r="AP9" s="1">
        <v>4.8901234567901231</v>
      </c>
      <c r="AQ9">
        <v>8</v>
      </c>
      <c r="AR9" t="s">
        <v>87</v>
      </c>
      <c r="AS9">
        <v>2</v>
      </c>
      <c r="AT9">
        <v>7</v>
      </c>
      <c r="AX9">
        <v>1</v>
      </c>
      <c r="AY9">
        <v>120</v>
      </c>
      <c r="AZ9">
        <v>0.06</v>
      </c>
      <c r="BA9" s="43" t="str">
        <f t="shared" si="0"/>
        <v>Express</v>
      </c>
      <c r="BB9" s="46">
        <f>IFERROR((AD9+IF(Calculator_v2!$E$6*Y9&lt;X9,X9,IF(Calculator_v2!$E$6*Y9&gt;Z9,Z9,Calculator_v2!$E$6*Y9))+IF(Calculator_v2!$E$6*AC9&lt;AB9,AB9,Calculator_v2!$E$6*AC9)+IFERROR(_xlfn.LET(_xlpm.tarifa,IF(Calculator_v2!$E$6&lt;=$AI$1,AI9,IF(Calculator_v2!$E$6&lt;=$AK$1,AJ9,IF(Calculator_v2!$E$6&lt;=$AL$1,AK9,IF(Calculator_v2!$E$6&lt;=$AM$1,AL9,IF(Calculator_v2!$E$6&lt;=$AN$1,AM9,IF(Calculator_v2!$E$6&lt;=$AO$1,AN9,IF(Calculator_v2!$E$6&lt;=$AP$1,AO9,AP9))))))),_xlpm.resultado,_xlpm.tarifa*Calculator_v2!$E$6,IF(_xlpm.resultado&lt;AH9,AH9,_xlpm.resultado)),0)+IF(Calculator_v2!$E$6*AV9&lt;AU9,AU9,IF(Calculator_v2!$E$6*AV9&gt;AW9,AW9,Calculator_v2!$E$6*AV9))+IF(Calculator_v2!$E$6*AZ9&lt;=AY9,AY9,Calculator_v2!$E$6*AZ9)),0)</f>
        <v>3097.337910267991</v>
      </c>
      <c r="BC9" s="47">
        <f>IFERROR(+BB9/Calculator_v2!$E$6,0)+IFERROR(VLOOKUP(A9,DHL_ADDER!$B$4:$E$26,4,0),0)</f>
        <v>10.581989713290525</v>
      </c>
      <c r="BD9" s="48">
        <f t="shared" si="1"/>
        <v>7</v>
      </c>
      <c r="BE9" s="48">
        <f>+T[[#This Row],[Airport to Destination Transit Time Days]]+T[[#This Row],[Airport to Airport Transit Time Days]]+T[[#This Row],[Origin to Airport Transit Time in days]]</f>
        <v>10</v>
      </c>
    </row>
    <row r="10" spans="1:57" customFormat="1" x14ac:dyDescent="0.35">
      <c r="A10" t="str">
        <f>+T[[#This Row],[Provider_Name]]&amp;"_"&amp;T[[#This Row],[AXIS]]</f>
        <v>DHL_B_CN&gt;BR</v>
      </c>
      <c r="B10" t="s">
        <v>71</v>
      </c>
      <c r="C10" t="s">
        <v>72</v>
      </c>
      <c r="D10" t="s">
        <v>73</v>
      </c>
      <c r="E10" t="s">
        <v>88</v>
      </c>
      <c r="F10" t="s">
        <v>75</v>
      </c>
      <c r="G10" t="s">
        <v>76</v>
      </c>
      <c r="H10" t="s">
        <v>77</v>
      </c>
      <c r="I10" t="s">
        <v>77</v>
      </c>
      <c r="J10">
        <v>200131</v>
      </c>
      <c r="K10" t="s">
        <v>78</v>
      </c>
      <c r="L10" t="s">
        <v>79</v>
      </c>
      <c r="M10" t="s">
        <v>80</v>
      </c>
      <c r="N10" t="s">
        <v>81</v>
      </c>
      <c r="O10" t="s">
        <v>82</v>
      </c>
      <c r="P10" t="s">
        <v>83</v>
      </c>
      <c r="Q10" t="s">
        <v>84</v>
      </c>
      <c r="R10">
        <v>46</v>
      </c>
      <c r="S10">
        <v>24227</v>
      </c>
      <c r="T10">
        <v>24401</v>
      </c>
      <c r="U10" s="1">
        <v>530.45652173913038</v>
      </c>
      <c r="V10" t="s">
        <v>90</v>
      </c>
      <c r="W10" s="43">
        <v>12</v>
      </c>
      <c r="X10">
        <v>55.555555555555557</v>
      </c>
      <c r="Y10">
        <v>6.1728395061728399E-2</v>
      </c>
      <c r="Z10">
        <v>88.888888888888886</v>
      </c>
      <c r="AA10">
        <v>1</v>
      </c>
      <c r="AB10">
        <v>6.0975609756097562</v>
      </c>
      <c r="AC10">
        <v>0.01</v>
      </c>
      <c r="AD10">
        <v>20.731707317073173</v>
      </c>
      <c r="AE10">
        <v>0</v>
      </c>
      <c r="AF10">
        <v>0</v>
      </c>
      <c r="AG10" t="s">
        <v>86</v>
      </c>
      <c r="AH10">
        <v>148.14814814814815</v>
      </c>
      <c r="AI10" s="1">
        <v>5.8777777777777773</v>
      </c>
      <c r="AJ10" s="1">
        <v>5.3839506172839497</v>
      </c>
      <c r="AK10" s="1">
        <v>4.8901234567901231</v>
      </c>
      <c r="AL10" s="1">
        <v>4.8901234567901231</v>
      </c>
      <c r="AM10" s="1">
        <v>4.8901234567901231</v>
      </c>
      <c r="AN10" s="1">
        <v>4.8901234567901231</v>
      </c>
      <c r="AO10" s="1">
        <v>4.8901234567901231</v>
      </c>
      <c r="AP10" s="1">
        <v>4.8901234567901231</v>
      </c>
      <c r="AQ10">
        <v>8</v>
      </c>
      <c r="AR10" t="s">
        <v>87</v>
      </c>
      <c r="AS10">
        <v>2</v>
      </c>
      <c r="AT10">
        <v>7</v>
      </c>
      <c r="AX10">
        <v>1</v>
      </c>
      <c r="AY10">
        <v>120</v>
      </c>
      <c r="AZ10">
        <v>0.06</v>
      </c>
      <c r="BA10" s="43" t="str">
        <f t="shared" si="0"/>
        <v>Express</v>
      </c>
      <c r="BB10" s="46">
        <f>IFERROR((AD10+IF(Calculator_v2!$E$6*Y10&lt;X10,X10,IF(Calculator_v2!$E$6*Y10&gt;Z10,Z10,Calculator_v2!$E$6*Y10))+IF(Calculator_v2!$E$6*AC10&lt;AB10,AB10,Calculator_v2!$E$6*AC10)+IFERROR(_xlfn.LET(_xlpm.tarifa,IF(Calculator_v2!$E$6&lt;=$AI$1,AI10,IF(Calculator_v2!$E$6&lt;=$AK$1,AJ10,IF(Calculator_v2!$E$6&lt;=$AL$1,AK10,IF(Calculator_v2!$E$6&lt;=$AM$1,AL10,IF(Calculator_v2!$E$6&lt;=$AN$1,AM10,IF(Calculator_v2!$E$6&lt;=$AO$1,AN10,IF(Calculator_v2!$E$6&lt;=$AP$1,AO10,AP10))))))),_xlpm.resultado,_xlpm.tarifa*Calculator_v2!$E$6,IF(_xlpm.resultado&lt;AH10,AH10,_xlpm.resultado)),0)+IF(Calculator_v2!$E$6*AV10&lt;AU10,AU10,IF(Calculator_v2!$E$6*AV10&gt;AW10,AW10,Calculator_v2!$E$6*AV10))+IF(Calculator_v2!$E$6*AZ10&lt;=AY10,AY10,Calculator_v2!$E$6*AZ10)),0)</f>
        <v>3097.337910267991</v>
      </c>
      <c r="BC10" s="47">
        <f>IFERROR(+BB10/Calculator_v2!$E$6,0)+IFERROR(VLOOKUP(A10,DHL_ADDER!$B$4:$E$26,4,0),0)</f>
        <v>10.581989713290525</v>
      </c>
      <c r="BD10" s="48">
        <f t="shared" si="1"/>
        <v>7</v>
      </c>
      <c r="BE10" s="48">
        <f>+T[[#This Row],[Airport to Destination Transit Time Days]]+T[[#This Row],[Airport to Airport Transit Time Days]]+T[[#This Row],[Origin to Airport Transit Time in days]]</f>
        <v>10</v>
      </c>
    </row>
    <row r="11" spans="1:57" customFormat="1" x14ac:dyDescent="0.35">
      <c r="A11" t="str">
        <f>+T[[#This Row],[Provider_Name]]&amp;"_"&amp;T[[#This Row],[AXIS]]</f>
        <v>DHL_B_CN&gt;BR</v>
      </c>
      <c r="B11" t="s">
        <v>71</v>
      </c>
      <c r="C11" t="s">
        <v>72</v>
      </c>
      <c r="D11" t="s">
        <v>73</v>
      </c>
      <c r="E11" t="s">
        <v>74</v>
      </c>
      <c r="F11" t="s">
        <v>75</v>
      </c>
      <c r="G11" t="s">
        <v>76</v>
      </c>
      <c r="H11" t="s">
        <v>77</v>
      </c>
      <c r="I11" t="s">
        <v>77</v>
      </c>
      <c r="J11">
        <v>200232</v>
      </c>
      <c r="K11" t="s">
        <v>78</v>
      </c>
      <c r="L11" t="s">
        <v>79</v>
      </c>
      <c r="M11" t="s">
        <v>80</v>
      </c>
      <c r="N11" t="s">
        <v>81</v>
      </c>
      <c r="O11" t="s">
        <v>82</v>
      </c>
      <c r="P11" t="s">
        <v>89</v>
      </c>
      <c r="Q11" t="s">
        <v>84</v>
      </c>
      <c r="R11">
        <v>1</v>
      </c>
      <c r="S11">
        <v>209</v>
      </c>
      <c r="T11">
        <v>209</v>
      </c>
      <c r="U11" s="1">
        <v>209</v>
      </c>
      <c r="V11" t="s">
        <v>90</v>
      </c>
      <c r="W11" s="43">
        <v>10</v>
      </c>
      <c r="X11">
        <v>55.555555555555557</v>
      </c>
      <c r="Y11">
        <v>6.1728395061728399E-2</v>
      </c>
      <c r="Z11">
        <v>88.888888888888886</v>
      </c>
      <c r="AA11">
        <v>1</v>
      </c>
      <c r="AB11">
        <v>6.0975609756097562</v>
      </c>
      <c r="AC11">
        <v>0.01</v>
      </c>
      <c r="AD11">
        <v>20.731707317073173</v>
      </c>
      <c r="AE11">
        <v>0</v>
      </c>
      <c r="AF11">
        <v>0</v>
      </c>
      <c r="AG11" t="s">
        <v>86</v>
      </c>
      <c r="AH11">
        <v>148.14814814814815</v>
      </c>
      <c r="AI11" s="1">
        <v>5.8777777777777773</v>
      </c>
      <c r="AJ11" s="1">
        <v>5.3839506172839497</v>
      </c>
      <c r="AK11" s="1">
        <v>4.8901234567901231</v>
      </c>
      <c r="AL11" s="1">
        <v>4.8901234567901231</v>
      </c>
      <c r="AM11" s="1">
        <v>4.8901234567901231</v>
      </c>
      <c r="AN11" s="1">
        <v>4.8901234567901231</v>
      </c>
      <c r="AO11" s="1">
        <v>4.8901234567901231</v>
      </c>
      <c r="AP11" s="1">
        <v>4.8901234567901231</v>
      </c>
      <c r="AQ11">
        <v>8</v>
      </c>
      <c r="AR11" t="s">
        <v>87</v>
      </c>
      <c r="AS11">
        <v>2</v>
      </c>
      <c r="AT11">
        <v>7</v>
      </c>
      <c r="AX11">
        <v>1</v>
      </c>
      <c r="AY11">
        <v>120</v>
      </c>
      <c r="AZ11">
        <v>0.06</v>
      </c>
      <c r="BA11" s="43" t="str">
        <f t="shared" si="0"/>
        <v>Express</v>
      </c>
      <c r="BB11" s="46">
        <f>IFERROR((AD11+IF(Calculator_v2!$E$6*Y11&lt;X11,X11,IF(Calculator_v2!$E$6*Y11&gt;Z11,Z11,Calculator_v2!$E$6*Y11))+IF(Calculator_v2!$E$6*AC11&lt;AB11,AB11,Calculator_v2!$E$6*AC11)+IFERROR(_xlfn.LET(_xlpm.tarifa,IF(Calculator_v2!$E$6&lt;=$AI$1,AI11,IF(Calculator_v2!$E$6&lt;=$AK$1,AJ11,IF(Calculator_v2!$E$6&lt;=$AL$1,AK11,IF(Calculator_v2!$E$6&lt;=$AM$1,AL11,IF(Calculator_v2!$E$6&lt;=$AN$1,AM11,IF(Calculator_v2!$E$6&lt;=$AO$1,AN11,IF(Calculator_v2!$E$6&lt;=$AP$1,AO11,AP11))))))),_xlpm.resultado,_xlpm.tarifa*Calculator_v2!$E$6,IF(_xlpm.resultado&lt;AH11,AH11,_xlpm.resultado)),0)+IF(Calculator_v2!$E$6*AV11&lt;AU11,AU11,IF(Calculator_v2!$E$6*AV11&gt;AW11,AW11,Calculator_v2!$E$6*AV11))+IF(Calculator_v2!$E$6*AZ11&lt;=AY11,AY11,Calculator_v2!$E$6*AZ11)),0)</f>
        <v>3097.337910267991</v>
      </c>
      <c r="BC11" s="47">
        <f>IFERROR(+BB11/Calculator_v2!$E$6,0)+IFERROR(VLOOKUP(A11,DHL_ADDER!$B$4:$E$26,4,0),0)</f>
        <v>10.581989713290525</v>
      </c>
      <c r="BD11" s="48">
        <f t="shared" si="1"/>
        <v>7</v>
      </c>
      <c r="BE11" s="48">
        <f>+T[[#This Row],[Airport to Destination Transit Time Days]]+T[[#This Row],[Airport to Airport Transit Time Days]]+T[[#This Row],[Origin to Airport Transit Time in days]]</f>
        <v>10</v>
      </c>
    </row>
    <row r="12" spans="1:57" customFormat="1" x14ac:dyDescent="0.35">
      <c r="A12" t="str">
        <f>+T[[#This Row],[Provider_Name]]&amp;"_"&amp;T[[#This Row],[AXIS]]</f>
        <v>DHL_B_CN&gt;BR</v>
      </c>
      <c r="B12" t="s">
        <v>71</v>
      </c>
      <c r="C12" t="s">
        <v>72</v>
      </c>
      <c r="D12" t="s">
        <v>73</v>
      </c>
      <c r="E12" t="s">
        <v>88</v>
      </c>
      <c r="F12" t="s">
        <v>75</v>
      </c>
      <c r="G12" t="s">
        <v>76</v>
      </c>
      <c r="H12" t="s">
        <v>77</v>
      </c>
      <c r="I12" t="s">
        <v>77</v>
      </c>
      <c r="J12">
        <v>200131</v>
      </c>
      <c r="K12" t="s">
        <v>78</v>
      </c>
      <c r="L12" t="s">
        <v>79</v>
      </c>
      <c r="M12" t="s">
        <v>80</v>
      </c>
      <c r="N12" t="s">
        <v>81</v>
      </c>
      <c r="O12" t="s">
        <v>82</v>
      </c>
      <c r="P12" t="s">
        <v>89</v>
      </c>
      <c r="Q12" t="s">
        <v>84</v>
      </c>
      <c r="R12">
        <v>46</v>
      </c>
      <c r="S12">
        <v>24227</v>
      </c>
      <c r="T12">
        <v>24401</v>
      </c>
      <c r="U12" s="1">
        <v>530.45652173913038</v>
      </c>
      <c r="V12" t="s">
        <v>90</v>
      </c>
      <c r="W12" s="43">
        <v>10</v>
      </c>
      <c r="X12">
        <v>55.555555555555557</v>
      </c>
      <c r="Y12">
        <v>6.1728395061728399E-2</v>
      </c>
      <c r="Z12">
        <v>88.888888888888886</v>
      </c>
      <c r="AA12">
        <v>1</v>
      </c>
      <c r="AB12">
        <v>6.0975609756097562</v>
      </c>
      <c r="AC12">
        <v>0.01</v>
      </c>
      <c r="AD12">
        <v>20.731707317073173</v>
      </c>
      <c r="AE12">
        <v>0</v>
      </c>
      <c r="AF12">
        <v>0</v>
      </c>
      <c r="AG12" t="s">
        <v>86</v>
      </c>
      <c r="AH12">
        <v>148.14814814814815</v>
      </c>
      <c r="AI12" s="1">
        <v>5.8777777777777773</v>
      </c>
      <c r="AJ12" s="1">
        <v>5.3839506172839497</v>
      </c>
      <c r="AK12" s="1">
        <v>4.8901234567901231</v>
      </c>
      <c r="AL12" s="1">
        <v>4.8901234567901231</v>
      </c>
      <c r="AM12" s="1">
        <v>4.8901234567901231</v>
      </c>
      <c r="AN12" s="1">
        <v>4.8901234567901231</v>
      </c>
      <c r="AO12" s="1">
        <v>4.8901234567901231</v>
      </c>
      <c r="AP12" s="1">
        <v>4.8901234567901231</v>
      </c>
      <c r="AQ12">
        <v>8</v>
      </c>
      <c r="AR12" t="s">
        <v>87</v>
      </c>
      <c r="AS12">
        <v>2</v>
      </c>
      <c r="AT12">
        <v>7</v>
      </c>
      <c r="AX12">
        <v>1</v>
      </c>
      <c r="AY12">
        <v>120</v>
      </c>
      <c r="AZ12">
        <v>0.06</v>
      </c>
      <c r="BA12" s="43" t="str">
        <f t="shared" si="0"/>
        <v>Express</v>
      </c>
      <c r="BB12" s="46">
        <f>IFERROR((AD12+IF(Calculator_v2!$E$6*Y12&lt;X12,X12,IF(Calculator_v2!$E$6*Y12&gt;Z12,Z12,Calculator_v2!$E$6*Y12))+IF(Calculator_v2!$E$6*AC12&lt;AB12,AB12,Calculator_v2!$E$6*AC12)+IFERROR(_xlfn.LET(_xlpm.tarifa,IF(Calculator_v2!$E$6&lt;=$AI$1,AI12,IF(Calculator_v2!$E$6&lt;=$AK$1,AJ12,IF(Calculator_v2!$E$6&lt;=$AL$1,AK12,IF(Calculator_v2!$E$6&lt;=$AM$1,AL12,IF(Calculator_v2!$E$6&lt;=$AN$1,AM12,IF(Calculator_v2!$E$6&lt;=$AO$1,AN12,IF(Calculator_v2!$E$6&lt;=$AP$1,AO12,AP12))))))),_xlpm.resultado,_xlpm.tarifa*Calculator_v2!$E$6,IF(_xlpm.resultado&lt;AH12,AH12,_xlpm.resultado)),0)+IF(Calculator_v2!$E$6*AV12&lt;AU12,AU12,IF(Calculator_v2!$E$6*AV12&gt;AW12,AW12,Calculator_v2!$E$6*AV12))+IF(Calculator_v2!$E$6*AZ12&lt;=AY12,AY12,Calculator_v2!$E$6*AZ12)),0)</f>
        <v>3097.337910267991</v>
      </c>
      <c r="BC12" s="47">
        <f>IFERROR(+BB12/Calculator_v2!$E$6,0)+IFERROR(VLOOKUP(A12,DHL_ADDER!$B$4:$E$26,4,0),0)</f>
        <v>10.581989713290525</v>
      </c>
      <c r="BD12" s="48">
        <f t="shared" si="1"/>
        <v>7</v>
      </c>
      <c r="BE12" s="48">
        <f>+T[[#This Row],[Airport to Destination Transit Time Days]]+T[[#This Row],[Airport to Airport Transit Time Days]]+T[[#This Row],[Origin to Airport Transit Time in days]]</f>
        <v>10</v>
      </c>
    </row>
    <row r="13" spans="1:57" customFormat="1" x14ac:dyDescent="0.35">
      <c r="A13" t="str">
        <f>+T[[#This Row],[Provider_Name]]&amp;"_"&amp;T[[#This Row],[AXIS]]</f>
        <v>DHL_B_CN&gt;BR</v>
      </c>
      <c r="B13" t="s">
        <v>71</v>
      </c>
      <c r="C13" t="s">
        <v>72</v>
      </c>
      <c r="D13" t="s">
        <v>73</v>
      </c>
      <c r="E13" t="s">
        <v>74</v>
      </c>
      <c r="F13" t="s">
        <v>75</v>
      </c>
      <c r="G13" t="s">
        <v>76</v>
      </c>
      <c r="H13" t="s">
        <v>77</v>
      </c>
      <c r="I13" t="s">
        <v>77</v>
      </c>
      <c r="J13">
        <v>200232</v>
      </c>
      <c r="K13" t="s">
        <v>78</v>
      </c>
      <c r="L13" t="s">
        <v>79</v>
      </c>
      <c r="M13" t="s">
        <v>80</v>
      </c>
      <c r="N13" t="s">
        <v>81</v>
      </c>
      <c r="O13" t="s">
        <v>82</v>
      </c>
      <c r="P13" t="s">
        <v>83</v>
      </c>
      <c r="Q13" t="s">
        <v>84</v>
      </c>
      <c r="R13">
        <v>1</v>
      </c>
      <c r="S13">
        <v>209</v>
      </c>
      <c r="T13">
        <v>209</v>
      </c>
      <c r="U13" s="1">
        <v>209</v>
      </c>
      <c r="V13" t="s">
        <v>91</v>
      </c>
      <c r="W13" s="43">
        <v>14</v>
      </c>
      <c r="X13">
        <v>55.555555555555557</v>
      </c>
      <c r="Y13">
        <v>6.1728395061728399E-2</v>
      </c>
      <c r="Z13">
        <v>88.888888888888886</v>
      </c>
      <c r="AA13">
        <v>1</v>
      </c>
      <c r="AB13">
        <v>6.0975609756097562</v>
      </c>
      <c r="AC13">
        <v>0.01</v>
      </c>
      <c r="AD13">
        <v>20.731707317073173</v>
      </c>
      <c r="AE13">
        <v>0</v>
      </c>
      <c r="AF13">
        <v>0</v>
      </c>
      <c r="AG13" t="s">
        <v>86</v>
      </c>
      <c r="AH13">
        <v>123.4567901234568</v>
      </c>
      <c r="AI13" s="1">
        <v>5.5074074074074071</v>
      </c>
      <c r="AJ13" s="1">
        <v>5.0135802469135795</v>
      </c>
      <c r="AK13" s="1">
        <v>4.5197530864197528</v>
      </c>
      <c r="AL13" s="1">
        <v>4.5197530864197528</v>
      </c>
      <c r="AM13" s="1">
        <v>4.5197530864197528</v>
      </c>
      <c r="AN13" s="1">
        <v>4.5197530864197528</v>
      </c>
      <c r="AO13" s="1">
        <v>4.5197530864197528</v>
      </c>
      <c r="AP13" s="1">
        <v>4.5197530864197528</v>
      </c>
      <c r="AQ13">
        <v>10</v>
      </c>
      <c r="AR13" t="s">
        <v>87</v>
      </c>
      <c r="AS13">
        <v>2</v>
      </c>
      <c r="AT13">
        <v>7</v>
      </c>
      <c r="AX13">
        <v>1</v>
      </c>
      <c r="AY13">
        <v>120</v>
      </c>
      <c r="AZ13">
        <v>0.06</v>
      </c>
      <c r="BA13" s="43" t="str">
        <f t="shared" si="0"/>
        <v>Normal</v>
      </c>
      <c r="BB13" s="46">
        <f>IFERROR((AD13+IF(Calculator_v2!$E$6*Y13&lt;X13,X13,IF(Calculator_v2!$E$6*Y13&gt;Z13,Z13,Calculator_v2!$E$6*Y13))+IF(Calculator_v2!$E$6*AC13&lt;AB13,AB13,Calculator_v2!$E$6*AC13)+IFERROR(_xlfn.LET(_xlpm.tarifa,IF(Calculator_v2!$E$6&lt;=$AI$1,AI13,IF(Calculator_v2!$E$6&lt;=$AK$1,AJ13,IF(Calculator_v2!$E$6&lt;=$AL$1,AK13,IF(Calculator_v2!$E$6&lt;=$AM$1,AL13,IF(Calculator_v2!$E$6&lt;=$AN$1,AM13,IF(Calculator_v2!$E$6&lt;=$AO$1,AN13,IF(Calculator_v2!$E$6&lt;=$AP$1,AO13,AP13))))))),_xlpm.resultado,_xlpm.tarifa*Calculator_v2!$E$6,IF(_xlpm.resultado&lt;AH13,AH13,_xlpm.resultado)),0)+IF(Calculator_v2!$E$6*AV13&lt;AU13,AU13,IF(Calculator_v2!$E$6*AV13&gt;AW13,AW13,Calculator_v2!$E$6*AV13))+IF(Calculator_v2!$E$6*AZ13&lt;=AY13,AY13,Calculator_v2!$E$6*AZ13)),0)</f>
        <v>2878.0786510087319</v>
      </c>
      <c r="BC13" s="47">
        <f>IFERROR(+BB13/Calculator_v2!$E$6,0)+IFERROR(VLOOKUP(A13,DHL_ADDER!$B$4:$E$26,4,0),0)</f>
        <v>10.211619342920155</v>
      </c>
      <c r="BD13" s="48">
        <f t="shared" si="1"/>
        <v>7</v>
      </c>
      <c r="BE13" s="48">
        <f>+T[[#This Row],[Airport to Destination Transit Time Days]]+T[[#This Row],[Airport to Airport Transit Time Days]]+T[[#This Row],[Origin to Airport Transit Time in days]]</f>
        <v>12</v>
      </c>
    </row>
    <row r="14" spans="1:57" customFormat="1" x14ac:dyDescent="0.35">
      <c r="A14" t="str">
        <f>+T[[#This Row],[Provider_Name]]&amp;"_"&amp;T[[#This Row],[AXIS]]</f>
        <v>DHL_B_CN&gt;BR</v>
      </c>
      <c r="B14" t="s">
        <v>71</v>
      </c>
      <c r="C14" t="s">
        <v>72</v>
      </c>
      <c r="D14" t="s">
        <v>73</v>
      </c>
      <c r="E14" t="s">
        <v>88</v>
      </c>
      <c r="F14" t="s">
        <v>75</v>
      </c>
      <c r="G14" t="s">
        <v>76</v>
      </c>
      <c r="H14" t="s">
        <v>77</v>
      </c>
      <c r="I14" t="s">
        <v>77</v>
      </c>
      <c r="J14">
        <v>200131</v>
      </c>
      <c r="K14" t="s">
        <v>78</v>
      </c>
      <c r="L14" t="s">
        <v>79</v>
      </c>
      <c r="M14" t="s">
        <v>80</v>
      </c>
      <c r="N14" t="s">
        <v>81</v>
      </c>
      <c r="O14" t="s">
        <v>82</v>
      </c>
      <c r="P14" t="s">
        <v>83</v>
      </c>
      <c r="Q14" t="s">
        <v>84</v>
      </c>
      <c r="R14">
        <v>46</v>
      </c>
      <c r="S14">
        <v>24227</v>
      </c>
      <c r="T14">
        <v>24401</v>
      </c>
      <c r="U14" s="1">
        <v>530.45652173913038</v>
      </c>
      <c r="V14" t="s">
        <v>91</v>
      </c>
      <c r="W14" s="43">
        <v>14</v>
      </c>
      <c r="X14">
        <v>55.555555555555557</v>
      </c>
      <c r="Y14">
        <v>6.1728395061728399E-2</v>
      </c>
      <c r="Z14">
        <v>88.888888888888886</v>
      </c>
      <c r="AA14">
        <v>1</v>
      </c>
      <c r="AB14">
        <v>6.0975609756097562</v>
      </c>
      <c r="AC14">
        <v>0.01</v>
      </c>
      <c r="AD14">
        <v>20.731707317073173</v>
      </c>
      <c r="AE14">
        <v>0</v>
      </c>
      <c r="AF14">
        <v>0</v>
      </c>
      <c r="AG14" t="s">
        <v>86</v>
      </c>
      <c r="AH14">
        <v>123.4567901234568</v>
      </c>
      <c r="AI14" s="1">
        <v>5.5074074074074071</v>
      </c>
      <c r="AJ14" s="1">
        <v>5.0135802469135795</v>
      </c>
      <c r="AK14" s="1">
        <v>4.5197530864197528</v>
      </c>
      <c r="AL14" s="1">
        <v>4.5197530864197528</v>
      </c>
      <c r="AM14" s="1">
        <v>4.5197530864197528</v>
      </c>
      <c r="AN14" s="1">
        <v>4.5197530864197528</v>
      </c>
      <c r="AO14" s="1">
        <v>4.5197530864197528</v>
      </c>
      <c r="AP14" s="1">
        <v>4.5197530864197528</v>
      </c>
      <c r="AQ14">
        <v>10</v>
      </c>
      <c r="AR14" t="s">
        <v>87</v>
      </c>
      <c r="AS14">
        <v>2</v>
      </c>
      <c r="AT14">
        <v>7</v>
      </c>
      <c r="AX14">
        <v>1</v>
      </c>
      <c r="AY14">
        <v>120</v>
      </c>
      <c r="AZ14">
        <v>0.06</v>
      </c>
      <c r="BA14" s="43" t="str">
        <f t="shared" si="0"/>
        <v>Normal</v>
      </c>
      <c r="BB14" s="46">
        <f>IFERROR((AD14+IF(Calculator_v2!$E$6*Y14&lt;X14,X14,IF(Calculator_v2!$E$6*Y14&gt;Z14,Z14,Calculator_v2!$E$6*Y14))+IF(Calculator_v2!$E$6*AC14&lt;AB14,AB14,Calculator_v2!$E$6*AC14)+IFERROR(_xlfn.LET(_xlpm.tarifa,IF(Calculator_v2!$E$6&lt;=$AI$1,AI14,IF(Calculator_v2!$E$6&lt;=$AK$1,AJ14,IF(Calculator_v2!$E$6&lt;=$AL$1,AK14,IF(Calculator_v2!$E$6&lt;=$AM$1,AL14,IF(Calculator_v2!$E$6&lt;=$AN$1,AM14,IF(Calculator_v2!$E$6&lt;=$AO$1,AN14,IF(Calculator_v2!$E$6&lt;=$AP$1,AO14,AP14))))))),_xlpm.resultado,_xlpm.tarifa*Calculator_v2!$E$6,IF(_xlpm.resultado&lt;AH14,AH14,_xlpm.resultado)),0)+IF(Calculator_v2!$E$6*AV14&lt;AU14,AU14,IF(Calculator_v2!$E$6*AV14&gt;AW14,AW14,Calculator_v2!$E$6*AV14))+IF(Calculator_v2!$E$6*AZ14&lt;=AY14,AY14,Calculator_v2!$E$6*AZ14)),0)</f>
        <v>2878.0786510087319</v>
      </c>
      <c r="BC14" s="47">
        <f>IFERROR(+BB14/Calculator_v2!$E$6,0)+IFERROR(VLOOKUP(A14,DHL_ADDER!$B$4:$E$26,4,0),0)</f>
        <v>10.211619342920155</v>
      </c>
      <c r="BD14" s="48">
        <f t="shared" si="1"/>
        <v>7</v>
      </c>
      <c r="BE14" s="48">
        <f>+T[[#This Row],[Airport to Destination Transit Time Days]]+T[[#This Row],[Airport to Airport Transit Time Days]]+T[[#This Row],[Origin to Airport Transit Time in days]]</f>
        <v>12</v>
      </c>
    </row>
    <row r="15" spans="1:57" customFormat="1" x14ac:dyDescent="0.35">
      <c r="A15" t="str">
        <f>+T[[#This Row],[Provider_Name]]&amp;"_"&amp;T[[#This Row],[AXIS]]</f>
        <v>DHL_B_CN&gt;BR</v>
      </c>
      <c r="B15" t="s">
        <v>71</v>
      </c>
      <c r="C15" t="s">
        <v>72</v>
      </c>
      <c r="D15" t="s">
        <v>73</v>
      </c>
      <c r="E15" t="s">
        <v>74</v>
      </c>
      <c r="F15" t="s">
        <v>75</v>
      </c>
      <c r="G15" t="s">
        <v>76</v>
      </c>
      <c r="H15" t="s">
        <v>77</v>
      </c>
      <c r="I15" t="s">
        <v>77</v>
      </c>
      <c r="J15">
        <v>200232</v>
      </c>
      <c r="K15" t="s">
        <v>78</v>
      </c>
      <c r="L15" t="s">
        <v>79</v>
      </c>
      <c r="M15" t="s">
        <v>80</v>
      </c>
      <c r="N15" t="s">
        <v>81</v>
      </c>
      <c r="O15" t="s">
        <v>82</v>
      </c>
      <c r="P15" t="s">
        <v>89</v>
      </c>
      <c r="Q15" t="s">
        <v>84</v>
      </c>
      <c r="R15">
        <v>1</v>
      </c>
      <c r="S15">
        <v>209</v>
      </c>
      <c r="T15">
        <v>209</v>
      </c>
      <c r="U15" s="1">
        <v>209</v>
      </c>
      <c r="V15" t="s">
        <v>91</v>
      </c>
      <c r="W15" s="43">
        <v>12</v>
      </c>
      <c r="X15">
        <v>55.555555555555557</v>
      </c>
      <c r="Y15">
        <v>6.1728395061728399E-2</v>
      </c>
      <c r="Z15">
        <v>88.888888888888886</v>
      </c>
      <c r="AA15">
        <v>1</v>
      </c>
      <c r="AB15">
        <v>6.0975609756097562</v>
      </c>
      <c r="AC15">
        <v>0.01</v>
      </c>
      <c r="AD15">
        <v>20.731707317073173</v>
      </c>
      <c r="AE15">
        <v>0</v>
      </c>
      <c r="AF15">
        <v>0</v>
      </c>
      <c r="AG15" t="s">
        <v>86</v>
      </c>
      <c r="AH15">
        <v>123.4567901234568</v>
      </c>
      <c r="AI15" s="1">
        <v>5.5074074074074071</v>
      </c>
      <c r="AJ15" s="1">
        <v>5.0135802469135795</v>
      </c>
      <c r="AK15" s="1">
        <v>4.5197530864197528</v>
      </c>
      <c r="AL15" s="1">
        <v>4.5197530864197528</v>
      </c>
      <c r="AM15" s="1">
        <v>4.5197530864197528</v>
      </c>
      <c r="AN15" s="1">
        <v>4.5197530864197528</v>
      </c>
      <c r="AO15" s="1">
        <v>4.5197530864197528</v>
      </c>
      <c r="AP15" s="1">
        <v>4.5197530864197528</v>
      </c>
      <c r="AQ15">
        <v>10</v>
      </c>
      <c r="AR15" t="s">
        <v>87</v>
      </c>
      <c r="AS15">
        <v>2</v>
      </c>
      <c r="AT15">
        <v>7</v>
      </c>
      <c r="AX15">
        <v>1</v>
      </c>
      <c r="AY15">
        <v>120</v>
      </c>
      <c r="AZ15">
        <v>0.06</v>
      </c>
      <c r="BA15" s="43" t="str">
        <f t="shared" si="0"/>
        <v>Normal</v>
      </c>
      <c r="BB15" s="46">
        <f>IFERROR((AD15+IF(Calculator_v2!$E$6*Y15&lt;X15,X15,IF(Calculator_v2!$E$6*Y15&gt;Z15,Z15,Calculator_v2!$E$6*Y15))+IF(Calculator_v2!$E$6*AC15&lt;AB15,AB15,Calculator_v2!$E$6*AC15)+IFERROR(_xlfn.LET(_xlpm.tarifa,IF(Calculator_v2!$E$6&lt;=$AI$1,AI15,IF(Calculator_v2!$E$6&lt;=$AK$1,AJ15,IF(Calculator_v2!$E$6&lt;=$AL$1,AK15,IF(Calculator_v2!$E$6&lt;=$AM$1,AL15,IF(Calculator_v2!$E$6&lt;=$AN$1,AM15,IF(Calculator_v2!$E$6&lt;=$AO$1,AN15,IF(Calculator_v2!$E$6&lt;=$AP$1,AO15,AP15))))))),_xlpm.resultado,_xlpm.tarifa*Calculator_v2!$E$6,IF(_xlpm.resultado&lt;AH15,AH15,_xlpm.resultado)),0)+IF(Calculator_v2!$E$6*AV15&lt;AU15,AU15,IF(Calculator_v2!$E$6*AV15&gt;AW15,AW15,Calculator_v2!$E$6*AV15))+IF(Calculator_v2!$E$6*AZ15&lt;=AY15,AY15,Calculator_v2!$E$6*AZ15)),0)</f>
        <v>2878.0786510087319</v>
      </c>
      <c r="BC15" s="47">
        <f>IFERROR(+BB15/Calculator_v2!$E$6,0)+IFERROR(VLOOKUP(A15,DHL_ADDER!$B$4:$E$26,4,0),0)</f>
        <v>10.211619342920155</v>
      </c>
      <c r="BD15" s="48">
        <f t="shared" si="1"/>
        <v>7</v>
      </c>
      <c r="BE15" s="48">
        <f>+T[[#This Row],[Airport to Destination Transit Time Days]]+T[[#This Row],[Airport to Airport Transit Time Days]]+T[[#This Row],[Origin to Airport Transit Time in days]]</f>
        <v>12</v>
      </c>
    </row>
    <row r="16" spans="1:57" customFormat="1" x14ac:dyDescent="0.35">
      <c r="A16" t="str">
        <f>+T[[#This Row],[Provider_Name]]&amp;"_"&amp;T[[#This Row],[AXIS]]</f>
        <v>DHL_B_CN&gt;BR</v>
      </c>
      <c r="B16" t="s">
        <v>71</v>
      </c>
      <c r="C16" t="s">
        <v>72</v>
      </c>
      <c r="D16" t="s">
        <v>73</v>
      </c>
      <c r="E16" t="s">
        <v>88</v>
      </c>
      <c r="F16" t="s">
        <v>75</v>
      </c>
      <c r="G16" t="s">
        <v>76</v>
      </c>
      <c r="H16" t="s">
        <v>77</v>
      </c>
      <c r="I16" t="s">
        <v>77</v>
      </c>
      <c r="J16">
        <v>200131</v>
      </c>
      <c r="K16" t="s">
        <v>78</v>
      </c>
      <c r="L16" t="s">
        <v>79</v>
      </c>
      <c r="M16" t="s">
        <v>80</v>
      </c>
      <c r="N16" t="s">
        <v>81</v>
      </c>
      <c r="O16" t="s">
        <v>82</v>
      </c>
      <c r="P16" t="s">
        <v>89</v>
      </c>
      <c r="Q16" t="s">
        <v>84</v>
      </c>
      <c r="R16">
        <v>46</v>
      </c>
      <c r="S16">
        <v>24227</v>
      </c>
      <c r="T16">
        <v>24401</v>
      </c>
      <c r="U16" s="1">
        <v>530.45652173913038</v>
      </c>
      <c r="V16" t="s">
        <v>91</v>
      </c>
      <c r="W16" s="43">
        <v>12</v>
      </c>
      <c r="X16">
        <v>55.555555555555557</v>
      </c>
      <c r="Y16">
        <v>6.1728395061728399E-2</v>
      </c>
      <c r="Z16">
        <v>88.888888888888886</v>
      </c>
      <c r="AA16">
        <v>1</v>
      </c>
      <c r="AB16">
        <v>6.0975609756097562</v>
      </c>
      <c r="AC16">
        <v>0.01</v>
      </c>
      <c r="AD16">
        <v>20.731707317073173</v>
      </c>
      <c r="AE16">
        <v>0</v>
      </c>
      <c r="AF16">
        <v>0</v>
      </c>
      <c r="AG16" t="s">
        <v>86</v>
      </c>
      <c r="AH16">
        <v>123.4567901234568</v>
      </c>
      <c r="AI16" s="1">
        <v>5.5074074074074071</v>
      </c>
      <c r="AJ16" s="1">
        <v>5.0135802469135795</v>
      </c>
      <c r="AK16" s="1">
        <v>4.5197530864197528</v>
      </c>
      <c r="AL16" s="1">
        <v>4.5197530864197528</v>
      </c>
      <c r="AM16" s="1">
        <v>4.5197530864197528</v>
      </c>
      <c r="AN16" s="1">
        <v>4.5197530864197528</v>
      </c>
      <c r="AO16" s="1">
        <v>4.5197530864197528</v>
      </c>
      <c r="AP16" s="1">
        <v>4.5197530864197528</v>
      </c>
      <c r="AQ16">
        <v>10</v>
      </c>
      <c r="AR16" t="s">
        <v>87</v>
      </c>
      <c r="AS16">
        <v>2</v>
      </c>
      <c r="AT16">
        <v>7</v>
      </c>
      <c r="AX16">
        <v>1</v>
      </c>
      <c r="AY16">
        <v>120</v>
      </c>
      <c r="AZ16">
        <v>0.06</v>
      </c>
      <c r="BA16" s="43" t="str">
        <f t="shared" si="0"/>
        <v>Normal</v>
      </c>
      <c r="BB16" s="46">
        <f>IFERROR((AD16+IF(Calculator_v2!$E$6*Y16&lt;X16,X16,IF(Calculator_v2!$E$6*Y16&gt;Z16,Z16,Calculator_v2!$E$6*Y16))+IF(Calculator_v2!$E$6*AC16&lt;AB16,AB16,Calculator_v2!$E$6*AC16)+IFERROR(_xlfn.LET(_xlpm.tarifa,IF(Calculator_v2!$E$6&lt;=$AI$1,AI16,IF(Calculator_v2!$E$6&lt;=$AK$1,AJ16,IF(Calculator_v2!$E$6&lt;=$AL$1,AK16,IF(Calculator_v2!$E$6&lt;=$AM$1,AL16,IF(Calculator_v2!$E$6&lt;=$AN$1,AM16,IF(Calculator_v2!$E$6&lt;=$AO$1,AN16,IF(Calculator_v2!$E$6&lt;=$AP$1,AO16,AP16))))))),_xlpm.resultado,_xlpm.tarifa*Calculator_v2!$E$6,IF(_xlpm.resultado&lt;AH16,AH16,_xlpm.resultado)),0)+IF(Calculator_v2!$E$6*AV16&lt;AU16,AU16,IF(Calculator_v2!$E$6*AV16&gt;AW16,AW16,Calculator_v2!$E$6*AV16))+IF(Calculator_v2!$E$6*AZ16&lt;=AY16,AY16,Calculator_v2!$E$6*AZ16)),0)</f>
        <v>2878.0786510087319</v>
      </c>
      <c r="BC16" s="47">
        <f>IFERROR(+BB16/Calculator_v2!$E$6,0)+IFERROR(VLOOKUP(A16,DHL_ADDER!$B$4:$E$26,4,0),0)</f>
        <v>10.211619342920155</v>
      </c>
      <c r="BD16" s="48">
        <f t="shared" si="1"/>
        <v>7</v>
      </c>
      <c r="BE16" s="48">
        <f>+T[[#This Row],[Airport to Destination Transit Time Days]]+T[[#This Row],[Airport to Airport Transit Time Days]]+T[[#This Row],[Origin to Airport Transit Time in days]]</f>
        <v>12</v>
      </c>
    </row>
    <row r="17" spans="1:57" customFormat="1" x14ac:dyDescent="0.35">
      <c r="A17" t="str">
        <f>+T[[#This Row],[Provider_Name]]&amp;"_"&amp;T[[#This Row],[AXIS]]</f>
        <v>DHL_B_CN&gt;BR</v>
      </c>
      <c r="B17" t="s">
        <v>71</v>
      </c>
      <c r="C17" t="s">
        <v>72</v>
      </c>
      <c r="D17" t="s">
        <v>73</v>
      </c>
      <c r="E17" t="s">
        <v>74</v>
      </c>
      <c r="F17" t="s">
        <v>92</v>
      </c>
      <c r="G17" t="s">
        <v>76</v>
      </c>
      <c r="H17" t="s">
        <v>77</v>
      </c>
      <c r="I17" t="s">
        <v>77</v>
      </c>
      <c r="J17">
        <v>200232</v>
      </c>
      <c r="K17" t="s">
        <v>78</v>
      </c>
      <c r="L17" t="s">
        <v>79</v>
      </c>
      <c r="M17" t="s">
        <v>80</v>
      </c>
      <c r="N17" t="s">
        <v>81</v>
      </c>
      <c r="O17" t="s">
        <v>82</v>
      </c>
      <c r="P17" t="s">
        <v>93</v>
      </c>
      <c r="Q17" t="s">
        <v>84</v>
      </c>
      <c r="R17">
        <v>1</v>
      </c>
      <c r="S17">
        <v>209</v>
      </c>
      <c r="T17">
        <v>209</v>
      </c>
      <c r="U17" s="1">
        <v>209</v>
      </c>
      <c r="V17" t="s">
        <v>85</v>
      </c>
      <c r="W17" s="43">
        <v>16</v>
      </c>
      <c r="X17">
        <v>55.555555555555557</v>
      </c>
      <c r="Y17">
        <v>6.1728395061728399E-2</v>
      </c>
      <c r="Z17">
        <v>88.888888888888886</v>
      </c>
      <c r="AA17">
        <v>1</v>
      </c>
      <c r="AB17">
        <v>6.0975609756097562</v>
      </c>
      <c r="AC17">
        <v>0.01</v>
      </c>
      <c r="AD17">
        <v>20.731707317073173</v>
      </c>
      <c r="AE17">
        <v>0</v>
      </c>
      <c r="AF17">
        <v>0</v>
      </c>
      <c r="AG17" t="s">
        <v>86</v>
      </c>
      <c r="AH17">
        <v>98.76543209876543</v>
      </c>
      <c r="AI17" s="1">
        <v>4.6432098765432093</v>
      </c>
      <c r="AJ17" s="1">
        <v>4.1493827160493826</v>
      </c>
      <c r="AK17" s="1">
        <v>3.6555555555555559</v>
      </c>
      <c r="AL17" s="1">
        <v>3.6555555555555559</v>
      </c>
      <c r="AM17" s="1">
        <v>3.6555555555555559</v>
      </c>
      <c r="AN17" s="1">
        <v>3.6555555555555559</v>
      </c>
      <c r="AO17" s="1">
        <v>3.6555555555555559</v>
      </c>
      <c r="AP17" s="1">
        <v>3.6555555555555559</v>
      </c>
      <c r="AQ17">
        <v>12</v>
      </c>
      <c r="AR17" t="s">
        <v>94</v>
      </c>
      <c r="AS17">
        <v>2</v>
      </c>
      <c r="AT17">
        <v>7</v>
      </c>
      <c r="AX17">
        <v>1</v>
      </c>
      <c r="AY17">
        <v>120</v>
      </c>
      <c r="AZ17">
        <v>0.06</v>
      </c>
      <c r="BA17" s="43" t="str">
        <f t="shared" si="0"/>
        <v>Economy</v>
      </c>
      <c r="BB17" s="46">
        <f>IFERROR((AD17+IF(Calculator_v2!$E$6*Y17&lt;X17,X17,IF(Calculator_v2!$E$6*Y17&gt;Z17,Z17,Calculator_v2!$E$6*Y17))+IF(Calculator_v2!$E$6*AC17&lt;AB17,AB17,Calculator_v2!$E$6*AC17)+IFERROR(_xlfn.LET(_xlpm.tarifa,IF(Calculator_v2!$E$6&lt;=$AI$1,AI17,IF(Calculator_v2!$E$6&lt;=$AK$1,AJ17,IF(Calculator_v2!$E$6&lt;=$AL$1,AK17,IF(Calculator_v2!$E$6&lt;=$AM$1,AL17,IF(Calculator_v2!$E$6&lt;=$AN$1,AM17,IF(Calculator_v2!$E$6&lt;=$AO$1,AN17,IF(Calculator_v2!$E$6&lt;=$AP$1,AO17,AP17))))))),_xlpm.resultado,_xlpm.tarifa*Calculator_v2!$E$6,IF(_xlpm.resultado&lt;AH17,AH17,_xlpm.resultado)),0)+IF(Calculator_v2!$E$6*AV17&lt;AU17,AU17,IF(Calculator_v2!$E$6*AV17&gt;AW17,AW17,Calculator_v2!$E$6*AV17))+IF(Calculator_v2!$E$6*AZ17&lt;=AY17,AY17,Calculator_v2!$E$6*AZ17)),0)</f>
        <v>2366.4737127371272</v>
      </c>
      <c r="BC17" s="47">
        <f>IFERROR(+BB17/Calculator_v2!$E$6,0)+IFERROR(VLOOKUP(A17,DHL_ADDER!$B$4:$E$26,4,0),0)</f>
        <v>9.3474218120559591</v>
      </c>
      <c r="BD17" s="48">
        <f t="shared" si="1"/>
        <v>7</v>
      </c>
      <c r="BE17" s="48">
        <f>+T[[#This Row],[Airport to Destination Transit Time Days]]+T[[#This Row],[Airport to Airport Transit Time Days]]+T[[#This Row],[Origin to Airport Transit Time in days]]</f>
        <v>14</v>
      </c>
    </row>
    <row r="18" spans="1:57" customFormat="1" x14ac:dyDescent="0.35">
      <c r="A18" t="str">
        <f>+T[[#This Row],[Provider_Name]]&amp;"_"&amp;T[[#This Row],[AXIS]]</f>
        <v>DHL_B_CN&gt;BR</v>
      </c>
      <c r="B18" t="s">
        <v>71</v>
      </c>
      <c r="C18" t="s">
        <v>72</v>
      </c>
      <c r="D18" t="s">
        <v>73</v>
      </c>
      <c r="E18" t="s">
        <v>88</v>
      </c>
      <c r="F18" t="s">
        <v>92</v>
      </c>
      <c r="G18" t="s">
        <v>76</v>
      </c>
      <c r="H18" t="s">
        <v>77</v>
      </c>
      <c r="I18" t="s">
        <v>77</v>
      </c>
      <c r="J18">
        <v>200131</v>
      </c>
      <c r="K18" t="s">
        <v>78</v>
      </c>
      <c r="L18" t="s">
        <v>79</v>
      </c>
      <c r="M18" t="s">
        <v>80</v>
      </c>
      <c r="N18" t="s">
        <v>81</v>
      </c>
      <c r="O18" t="s">
        <v>82</v>
      </c>
      <c r="P18" t="s">
        <v>93</v>
      </c>
      <c r="Q18" t="s">
        <v>84</v>
      </c>
      <c r="R18">
        <v>46</v>
      </c>
      <c r="S18">
        <v>24227</v>
      </c>
      <c r="T18">
        <v>24401</v>
      </c>
      <c r="U18" s="1">
        <v>530.45652173913038</v>
      </c>
      <c r="V18" t="s">
        <v>85</v>
      </c>
      <c r="W18" s="43">
        <v>16</v>
      </c>
      <c r="X18">
        <v>55.555555555555557</v>
      </c>
      <c r="Y18">
        <v>6.1728395061728399E-2</v>
      </c>
      <c r="Z18">
        <v>88.888888888888886</v>
      </c>
      <c r="AA18">
        <v>1</v>
      </c>
      <c r="AB18">
        <v>6.0975609756097562</v>
      </c>
      <c r="AC18">
        <v>0.01</v>
      </c>
      <c r="AD18">
        <v>20.731707317073173</v>
      </c>
      <c r="AE18">
        <v>0</v>
      </c>
      <c r="AF18">
        <v>0</v>
      </c>
      <c r="AG18" t="s">
        <v>86</v>
      </c>
      <c r="AH18">
        <v>98.76543209876543</v>
      </c>
      <c r="AI18" s="1">
        <v>4.6432098765432093</v>
      </c>
      <c r="AJ18" s="1">
        <v>4.1493827160493826</v>
      </c>
      <c r="AK18" s="1">
        <v>3.6555555555555559</v>
      </c>
      <c r="AL18" s="1">
        <v>3.6555555555555559</v>
      </c>
      <c r="AM18" s="1">
        <v>3.6555555555555559</v>
      </c>
      <c r="AN18" s="1">
        <v>3.6555555555555559</v>
      </c>
      <c r="AO18" s="1">
        <v>3.6555555555555559</v>
      </c>
      <c r="AP18" s="1">
        <v>3.6555555555555559</v>
      </c>
      <c r="AQ18">
        <v>12</v>
      </c>
      <c r="AR18" t="s">
        <v>94</v>
      </c>
      <c r="AS18">
        <v>2</v>
      </c>
      <c r="AT18">
        <v>7</v>
      </c>
      <c r="AX18">
        <v>1</v>
      </c>
      <c r="AY18">
        <v>120</v>
      </c>
      <c r="AZ18">
        <v>0.06</v>
      </c>
      <c r="BA18" s="43" t="str">
        <f t="shared" si="0"/>
        <v>Economy</v>
      </c>
      <c r="BB18" s="46">
        <f>IFERROR((AD18+IF(Calculator_v2!$E$6*Y18&lt;X18,X18,IF(Calculator_v2!$E$6*Y18&gt;Z18,Z18,Calculator_v2!$E$6*Y18))+IF(Calculator_v2!$E$6*AC18&lt;AB18,AB18,Calculator_v2!$E$6*AC18)+IFERROR(_xlfn.LET(_xlpm.tarifa,IF(Calculator_v2!$E$6&lt;=$AI$1,AI18,IF(Calculator_v2!$E$6&lt;=$AK$1,AJ18,IF(Calculator_v2!$E$6&lt;=$AL$1,AK18,IF(Calculator_v2!$E$6&lt;=$AM$1,AL18,IF(Calculator_v2!$E$6&lt;=$AN$1,AM18,IF(Calculator_v2!$E$6&lt;=$AO$1,AN18,IF(Calculator_v2!$E$6&lt;=$AP$1,AO18,AP18))))))),_xlpm.resultado,_xlpm.tarifa*Calculator_v2!$E$6,IF(_xlpm.resultado&lt;AH18,AH18,_xlpm.resultado)),0)+IF(Calculator_v2!$E$6*AV18&lt;AU18,AU18,IF(Calculator_v2!$E$6*AV18&gt;AW18,AW18,Calculator_v2!$E$6*AV18))+IF(Calculator_v2!$E$6*AZ18&lt;=AY18,AY18,Calculator_v2!$E$6*AZ18)),0)</f>
        <v>2366.4737127371272</v>
      </c>
      <c r="BC18" s="47">
        <f>IFERROR(+BB18/Calculator_v2!$E$6,0)+IFERROR(VLOOKUP(A18,DHL_ADDER!$B$4:$E$26,4,0),0)</f>
        <v>9.3474218120559591</v>
      </c>
      <c r="BD18" s="48">
        <f t="shared" si="1"/>
        <v>7</v>
      </c>
      <c r="BE18" s="48">
        <f>+T[[#This Row],[Airport to Destination Transit Time Days]]+T[[#This Row],[Airport to Airport Transit Time Days]]+T[[#This Row],[Origin to Airport Transit Time in days]]</f>
        <v>14</v>
      </c>
    </row>
    <row r="19" spans="1:57" customFormat="1" x14ac:dyDescent="0.35">
      <c r="A19" t="str">
        <f>+T[[#This Row],[Provider_Name]]&amp;"_"&amp;T[[#This Row],[AXIS]]</f>
        <v>DHL_B_CN&gt;BR</v>
      </c>
      <c r="B19" t="s">
        <v>71</v>
      </c>
      <c r="C19" t="s">
        <v>72</v>
      </c>
      <c r="D19" t="s">
        <v>73</v>
      </c>
      <c r="E19" t="s">
        <v>74</v>
      </c>
      <c r="F19" t="s">
        <v>92</v>
      </c>
      <c r="G19" t="s">
        <v>76</v>
      </c>
      <c r="H19" t="s">
        <v>77</v>
      </c>
      <c r="I19" t="s">
        <v>77</v>
      </c>
      <c r="J19">
        <v>200232</v>
      </c>
      <c r="K19" t="s">
        <v>78</v>
      </c>
      <c r="L19" t="s">
        <v>79</v>
      </c>
      <c r="M19" t="s">
        <v>80</v>
      </c>
      <c r="N19" t="s">
        <v>81</v>
      </c>
      <c r="O19" t="s">
        <v>82</v>
      </c>
      <c r="P19" t="s">
        <v>93</v>
      </c>
      <c r="Q19" t="s">
        <v>84</v>
      </c>
      <c r="R19">
        <v>1</v>
      </c>
      <c r="S19">
        <v>209</v>
      </c>
      <c r="T19">
        <v>209</v>
      </c>
      <c r="U19" s="1">
        <v>209</v>
      </c>
      <c r="V19" t="s">
        <v>90</v>
      </c>
      <c r="W19" s="43">
        <v>12</v>
      </c>
      <c r="X19">
        <v>55.555555555555557</v>
      </c>
      <c r="Y19">
        <v>6.1728395061728399E-2</v>
      </c>
      <c r="Z19">
        <v>88.888888888888886</v>
      </c>
      <c r="AA19">
        <v>1</v>
      </c>
      <c r="AB19">
        <v>6.0975609756097562</v>
      </c>
      <c r="AC19">
        <v>0.01</v>
      </c>
      <c r="AD19">
        <v>20.731707317073173</v>
      </c>
      <c r="AE19">
        <v>0</v>
      </c>
      <c r="AF19">
        <v>0</v>
      </c>
      <c r="AG19" t="s">
        <v>86</v>
      </c>
      <c r="AH19">
        <v>148.14814814814815</v>
      </c>
      <c r="AI19" s="1">
        <v>5.2604938271604933</v>
      </c>
      <c r="AJ19" s="1">
        <v>4.7666666666666666</v>
      </c>
      <c r="AK19" s="1">
        <v>4.272839506172839</v>
      </c>
      <c r="AL19" s="1">
        <v>4.272839506172839</v>
      </c>
      <c r="AM19" s="1">
        <v>4.272839506172839</v>
      </c>
      <c r="AN19" s="1">
        <v>4.272839506172839</v>
      </c>
      <c r="AO19" s="1">
        <v>4.272839506172839</v>
      </c>
      <c r="AP19" s="1">
        <v>4.272839506172839</v>
      </c>
      <c r="AQ19">
        <v>8</v>
      </c>
      <c r="AR19" t="s">
        <v>94</v>
      </c>
      <c r="AS19">
        <v>2</v>
      </c>
      <c r="AT19">
        <v>7</v>
      </c>
      <c r="AX19">
        <v>1</v>
      </c>
      <c r="AY19">
        <v>120</v>
      </c>
      <c r="AZ19">
        <v>0.06</v>
      </c>
      <c r="BA19" s="43" t="str">
        <f t="shared" si="0"/>
        <v>Express</v>
      </c>
      <c r="BB19" s="46">
        <f>IFERROR((AD19+IF(Calculator_v2!$E$6*Y19&lt;X19,X19,IF(Calculator_v2!$E$6*Y19&gt;Z19,Z19,Calculator_v2!$E$6*Y19))+IF(Calculator_v2!$E$6*AC19&lt;AB19,AB19,Calculator_v2!$E$6*AC19)+IFERROR(_xlfn.LET(_xlpm.tarifa,IF(Calculator_v2!$E$6&lt;=$AI$1,AI19,IF(Calculator_v2!$E$6&lt;=$AK$1,AJ19,IF(Calculator_v2!$E$6&lt;=$AL$1,AK19,IF(Calculator_v2!$E$6&lt;=$AM$1,AL19,IF(Calculator_v2!$E$6&lt;=$AN$1,AM19,IF(Calculator_v2!$E$6&lt;=$AO$1,AN19,IF(Calculator_v2!$E$6&lt;=$AP$1,AO19,AP19))))))),_xlpm.resultado,_xlpm.tarifa*Calculator_v2!$E$6,IF(_xlpm.resultado&lt;AH19,AH19,_xlpm.resultado)),0)+IF(Calculator_v2!$E$6*AV19&lt;AU19,AU19,IF(Calculator_v2!$E$6*AV19&gt;AW19,AW19,Calculator_v2!$E$6*AV19))+IF(Calculator_v2!$E$6*AZ19&lt;=AY19,AY19,Calculator_v2!$E$6*AZ19)),0)</f>
        <v>2731.9058115025591</v>
      </c>
      <c r="BC19" s="47">
        <f>IFERROR(+BB19/Calculator_v2!$E$6,0)+IFERROR(VLOOKUP(A19,DHL_ADDER!$B$4:$E$26,4,0),0)</f>
        <v>9.9647057626732423</v>
      </c>
      <c r="BD19" s="48">
        <f t="shared" si="1"/>
        <v>7</v>
      </c>
      <c r="BE19" s="48">
        <f>+T[[#This Row],[Airport to Destination Transit Time Days]]+T[[#This Row],[Airport to Airport Transit Time Days]]+T[[#This Row],[Origin to Airport Transit Time in days]]</f>
        <v>10</v>
      </c>
    </row>
    <row r="20" spans="1:57" customFormat="1" x14ac:dyDescent="0.35">
      <c r="A20" t="str">
        <f>+T[[#This Row],[Provider_Name]]&amp;"_"&amp;T[[#This Row],[AXIS]]</f>
        <v>DHL_B_CN&gt;BR</v>
      </c>
      <c r="B20" t="s">
        <v>71</v>
      </c>
      <c r="C20" t="s">
        <v>72</v>
      </c>
      <c r="D20" t="s">
        <v>73</v>
      </c>
      <c r="E20" t="s">
        <v>88</v>
      </c>
      <c r="F20" t="s">
        <v>92</v>
      </c>
      <c r="G20" t="s">
        <v>76</v>
      </c>
      <c r="H20" t="s">
        <v>77</v>
      </c>
      <c r="I20" t="s">
        <v>77</v>
      </c>
      <c r="J20">
        <v>200131</v>
      </c>
      <c r="K20" t="s">
        <v>78</v>
      </c>
      <c r="L20" t="s">
        <v>79</v>
      </c>
      <c r="M20" t="s">
        <v>80</v>
      </c>
      <c r="N20" t="s">
        <v>81</v>
      </c>
      <c r="O20" t="s">
        <v>82</v>
      </c>
      <c r="P20" t="s">
        <v>93</v>
      </c>
      <c r="Q20" t="s">
        <v>84</v>
      </c>
      <c r="R20">
        <v>46</v>
      </c>
      <c r="S20">
        <v>24227</v>
      </c>
      <c r="T20">
        <v>24401</v>
      </c>
      <c r="U20" s="1">
        <v>530.45652173913038</v>
      </c>
      <c r="V20" t="s">
        <v>90</v>
      </c>
      <c r="W20" s="43">
        <v>12</v>
      </c>
      <c r="X20">
        <v>55.555555555555557</v>
      </c>
      <c r="Y20">
        <v>6.1728395061728399E-2</v>
      </c>
      <c r="Z20">
        <v>88.888888888888886</v>
      </c>
      <c r="AA20">
        <v>1</v>
      </c>
      <c r="AB20">
        <v>6.0975609756097562</v>
      </c>
      <c r="AC20">
        <v>0.01</v>
      </c>
      <c r="AD20">
        <v>20.731707317073173</v>
      </c>
      <c r="AE20">
        <v>0</v>
      </c>
      <c r="AF20">
        <v>0</v>
      </c>
      <c r="AG20" t="s">
        <v>86</v>
      </c>
      <c r="AH20">
        <v>148.14814814814815</v>
      </c>
      <c r="AI20" s="1">
        <v>5.2604938271604933</v>
      </c>
      <c r="AJ20" s="1">
        <v>4.7666666666666666</v>
      </c>
      <c r="AK20" s="1">
        <v>4.272839506172839</v>
      </c>
      <c r="AL20" s="1">
        <v>4.272839506172839</v>
      </c>
      <c r="AM20" s="1">
        <v>4.272839506172839</v>
      </c>
      <c r="AN20" s="1">
        <v>4.272839506172839</v>
      </c>
      <c r="AO20" s="1">
        <v>4.272839506172839</v>
      </c>
      <c r="AP20" s="1">
        <v>4.272839506172839</v>
      </c>
      <c r="AQ20">
        <v>8</v>
      </c>
      <c r="AR20" t="s">
        <v>94</v>
      </c>
      <c r="AS20">
        <v>2</v>
      </c>
      <c r="AT20">
        <v>7</v>
      </c>
      <c r="AX20">
        <v>1</v>
      </c>
      <c r="AY20">
        <v>120</v>
      </c>
      <c r="AZ20">
        <v>0.06</v>
      </c>
      <c r="BA20" s="43" t="str">
        <f t="shared" si="0"/>
        <v>Express</v>
      </c>
      <c r="BB20" s="46">
        <f>IFERROR((AD20+IF(Calculator_v2!$E$6*Y20&lt;X20,X20,IF(Calculator_v2!$E$6*Y20&gt;Z20,Z20,Calculator_v2!$E$6*Y20))+IF(Calculator_v2!$E$6*AC20&lt;AB20,AB20,Calculator_v2!$E$6*AC20)+IFERROR(_xlfn.LET(_xlpm.tarifa,IF(Calculator_v2!$E$6&lt;=$AI$1,AI20,IF(Calculator_v2!$E$6&lt;=$AK$1,AJ20,IF(Calculator_v2!$E$6&lt;=$AL$1,AK20,IF(Calculator_v2!$E$6&lt;=$AM$1,AL20,IF(Calculator_v2!$E$6&lt;=$AN$1,AM20,IF(Calculator_v2!$E$6&lt;=$AO$1,AN20,IF(Calculator_v2!$E$6&lt;=$AP$1,AO20,AP20))))))),_xlpm.resultado,_xlpm.tarifa*Calculator_v2!$E$6,IF(_xlpm.resultado&lt;AH20,AH20,_xlpm.resultado)),0)+IF(Calculator_v2!$E$6*AV20&lt;AU20,AU20,IF(Calculator_v2!$E$6*AV20&gt;AW20,AW20,Calculator_v2!$E$6*AV20))+IF(Calculator_v2!$E$6*AZ20&lt;=AY20,AY20,Calculator_v2!$E$6*AZ20)),0)</f>
        <v>2731.9058115025591</v>
      </c>
      <c r="BC20" s="47">
        <f>IFERROR(+BB20/Calculator_v2!$E$6,0)+IFERROR(VLOOKUP(A20,DHL_ADDER!$B$4:$E$26,4,0),0)</f>
        <v>9.9647057626732423</v>
      </c>
      <c r="BD20" s="48">
        <f t="shared" si="1"/>
        <v>7</v>
      </c>
      <c r="BE20" s="48">
        <f>+T[[#This Row],[Airport to Destination Transit Time Days]]+T[[#This Row],[Airport to Airport Transit Time Days]]+T[[#This Row],[Origin to Airport Transit Time in days]]</f>
        <v>10</v>
      </c>
    </row>
    <row r="21" spans="1:57" customFormat="1" x14ac:dyDescent="0.35">
      <c r="A21" t="str">
        <f>+T[[#This Row],[Provider_Name]]&amp;"_"&amp;T[[#This Row],[AXIS]]</f>
        <v>DHL_B_CN&gt;BR</v>
      </c>
      <c r="B21" t="s">
        <v>71</v>
      </c>
      <c r="C21" t="s">
        <v>72</v>
      </c>
      <c r="D21" t="s">
        <v>73</v>
      </c>
      <c r="E21" t="s">
        <v>74</v>
      </c>
      <c r="F21" t="s">
        <v>92</v>
      </c>
      <c r="G21" t="s">
        <v>76</v>
      </c>
      <c r="H21" t="s">
        <v>77</v>
      </c>
      <c r="I21" t="s">
        <v>77</v>
      </c>
      <c r="J21">
        <v>200232</v>
      </c>
      <c r="K21" t="s">
        <v>78</v>
      </c>
      <c r="L21" t="s">
        <v>79</v>
      </c>
      <c r="M21" t="s">
        <v>80</v>
      </c>
      <c r="N21" t="s">
        <v>81</v>
      </c>
      <c r="O21" t="s">
        <v>82</v>
      </c>
      <c r="P21" t="s">
        <v>93</v>
      </c>
      <c r="Q21" t="s">
        <v>84</v>
      </c>
      <c r="R21">
        <v>1</v>
      </c>
      <c r="S21">
        <v>209</v>
      </c>
      <c r="T21">
        <v>209</v>
      </c>
      <c r="U21" s="1">
        <v>209</v>
      </c>
      <c r="V21" t="s">
        <v>91</v>
      </c>
      <c r="W21" s="43">
        <v>14</v>
      </c>
      <c r="X21">
        <v>55.555555555555557</v>
      </c>
      <c r="Y21">
        <v>6.1728395061728399E-2</v>
      </c>
      <c r="Z21">
        <v>88.888888888888886</v>
      </c>
      <c r="AA21">
        <v>1</v>
      </c>
      <c r="AB21">
        <v>6.0975609756097562</v>
      </c>
      <c r="AC21">
        <v>0.01</v>
      </c>
      <c r="AD21">
        <v>20.731707317073173</v>
      </c>
      <c r="AE21">
        <v>0</v>
      </c>
      <c r="AF21">
        <v>0</v>
      </c>
      <c r="AG21" t="s">
        <v>86</v>
      </c>
      <c r="AH21">
        <v>123.4567901234568</v>
      </c>
      <c r="AI21" s="1">
        <v>4.8901234567901231</v>
      </c>
      <c r="AJ21" s="1">
        <v>4.3962962962962955</v>
      </c>
      <c r="AK21" s="1">
        <v>3.9024691358024697</v>
      </c>
      <c r="AL21" s="1">
        <v>3.9024691358024697</v>
      </c>
      <c r="AM21" s="1">
        <v>3.9024691358024697</v>
      </c>
      <c r="AN21" s="1">
        <v>3.9024691358024697</v>
      </c>
      <c r="AO21" s="1">
        <v>3.9024691358024697</v>
      </c>
      <c r="AP21" s="1">
        <v>3.9024691358024697</v>
      </c>
      <c r="AQ21">
        <v>10</v>
      </c>
      <c r="AR21" t="s">
        <v>94</v>
      </c>
      <c r="AS21">
        <v>2</v>
      </c>
      <c r="AT21">
        <v>7</v>
      </c>
      <c r="AX21">
        <v>1</v>
      </c>
      <c r="AY21">
        <v>120</v>
      </c>
      <c r="AZ21">
        <v>0.06</v>
      </c>
      <c r="BA21" s="43" t="str">
        <f t="shared" si="0"/>
        <v>Normal</v>
      </c>
      <c r="BB21" s="46">
        <f>IFERROR((AD21+IF(Calculator_v2!$E$6*Y21&lt;X21,X21,IF(Calculator_v2!$E$6*Y21&gt;Z21,Z21,Calculator_v2!$E$6*Y21))+IF(Calculator_v2!$E$6*AC21&lt;AB21,AB21,Calculator_v2!$E$6*AC21)+IFERROR(_xlfn.LET(_xlpm.tarifa,IF(Calculator_v2!$E$6&lt;=$AI$1,AI21,IF(Calculator_v2!$E$6&lt;=$AK$1,AJ21,IF(Calculator_v2!$E$6&lt;=$AL$1,AK21,IF(Calculator_v2!$E$6&lt;=$AM$1,AL21,IF(Calculator_v2!$E$6&lt;=$AN$1,AM21,IF(Calculator_v2!$E$6&lt;=$AO$1,AN21,IF(Calculator_v2!$E$6&lt;=$AP$1,AO21,AP21))))))),_xlpm.resultado,_xlpm.tarifa*Calculator_v2!$E$6,IF(_xlpm.resultado&lt;AH21,AH21,_xlpm.resultado)),0)+IF(Calculator_v2!$E$6*AV21&lt;AU21,AU21,IF(Calculator_v2!$E$6*AV21&gt;AW21,AW21,Calculator_v2!$E$6*AV21))+IF(Calculator_v2!$E$6*AZ21&lt;=AY21,AY21,Calculator_v2!$E$6*AZ21)),0)</f>
        <v>2512.6465522433004</v>
      </c>
      <c r="BC21" s="47">
        <f>IFERROR(+BB21/Calculator_v2!$E$6,0)+IFERROR(VLOOKUP(A21,DHL_ADDER!$B$4:$E$26,4,0),0)</f>
        <v>9.5943353923028738</v>
      </c>
      <c r="BD21" s="48">
        <f t="shared" si="1"/>
        <v>7</v>
      </c>
      <c r="BE21" s="48">
        <f>+T[[#This Row],[Airport to Destination Transit Time Days]]+T[[#This Row],[Airport to Airport Transit Time Days]]+T[[#This Row],[Origin to Airport Transit Time in days]]</f>
        <v>12</v>
      </c>
    </row>
    <row r="22" spans="1:57" customFormat="1" x14ac:dyDescent="0.35">
      <c r="A22" t="str">
        <f>+T[[#This Row],[Provider_Name]]&amp;"_"&amp;T[[#This Row],[AXIS]]</f>
        <v>DHL_B_CN&gt;BR</v>
      </c>
      <c r="B22" t="s">
        <v>71</v>
      </c>
      <c r="C22" t="s">
        <v>72</v>
      </c>
      <c r="D22" t="s">
        <v>73</v>
      </c>
      <c r="E22" t="s">
        <v>88</v>
      </c>
      <c r="F22" t="s">
        <v>92</v>
      </c>
      <c r="G22" t="s">
        <v>76</v>
      </c>
      <c r="H22" t="s">
        <v>77</v>
      </c>
      <c r="I22" t="s">
        <v>77</v>
      </c>
      <c r="J22">
        <v>200131</v>
      </c>
      <c r="K22" t="s">
        <v>78</v>
      </c>
      <c r="L22" t="s">
        <v>79</v>
      </c>
      <c r="M22" t="s">
        <v>80</v>
      </c>
      <c r="N22" t="s">
        <v>81</v>
      </c>
      <c r="O22" t="s">
        <v>82</v>
      </c>
      <c r="P22" t="s">
        <v>93</v>
      </c>
      <c r="Q22" t="s">
        <v>84</v>
      </c>
      <c r="R22">
        <v>46</v>
      </c>
      <c r="S22">
        <v>24227</v>
      </c>
      <c r="T22">
        <v>24401</v>
      </c>
      <c r="U22" s="1">
        <v>530.45652173913038</v>
      </c>
      <c r="V22" t="s">
        <v>91</v>
      </c>
      <c r="W22" s="43">
        <v>14</v>
      </c>
      <c r="X22">
        <v>55.555555555555557</v>
      </c>
      <c r="Y22">
        <v>6.1728395061728399E-2</v>
      </c>
      <c r="Z22">
        <v>88.888888888888886</v>
      </c>
      <c r="AA22">
        <v>1</v>
      </c>
      <c r="AB22">
        <v>6.0975609756097562</v>
      </c>
      <c r="AC22">
        <v>0.01</v>
      </c>
      <c r="AD22">
        <v>20.731707317073173</v>
      </c>
      <c r="AE22">
        <v>0</v>
      </c>
      <c r="AF22">
        <v>0</v>
      </c>
      <c r="AG22" t="s">
        <v>86</v>
      </c>
      <c r="AH22">
        <v>123.4567901234568</v>
      </c>
      <c r="AI22" s="1">
        <v>4.8901234567901231</v>
      </c>
      <c r="AJ22" s="1">
        <v>4.3962962962962955</v>
      </c>
      <c r="AK22" s="1">
        <v>3.9024691358024697</v>
      </c>
      <c r="AL22" s="1">
        <v>3.9024691358024697</v>
      </c>
      <c r="AM22" s="1">
        <v>3.9024691358024697</v>
      </c>
      <c r="AN22" s="1">
        <v>3.9024691358024697</v>
      </c>
      <c r="AO22" s="1">
        <v>3.9024691358024697</v>
      </c>
      <c r="AP22" s="1">
        <v>3.9024691358024697</v>
      </c>
      <c r="AQ22">
        <v>10</v>
      </c>
      <c r="AR22" t="s">
        <v>94</v>
      </c>
      <c r="AS22">
        <v>2</v>
      </c>
      <c r="AT22">
        <v>7</v>
      </c>
      <c r="AX22">
        <v>1</v>
      </c>
      <c r="AY22">
        <v>120</v>
      </c>
      <c r="AZ22">
        <v>0.06</v>
      </c>
      <c r="BA22" s="43" t="str">
        <f t="shared" si="0"/>
        <v>Normal</v>
      </c>
      <c r="BB22" s="46">
        <f>IFERROR((AD22+IF(Calculator_v2!$E$6*Y22&lt;X22,X22,IF(Calculator_v2!$E$6*Y22&gt;Z22,Z22,Calculator_v2!$E$6*Y22))+IF(Calculator_v2!$E$6*AC22&lt;AB22,AB22,Calculator_v2!$E$6*AC22)+IFERROR(_xlfn.LET(_xlpm.tarifa,IF(Calculator_v2!$E$6&lt;=$AI$1,AI22,IF(Calculator_v2!$E$6&lt;=$AK$1,AJ22,IF(Calculator_v2!$E$6&lt;=$AL$1,AK22,IF(Calculator_v2!$E$6&lt;=$AM$1,AL22,IF(Calculator_v2!$E$6&lt;=$AN$1,AM22,IF(Calculator_v2!$E$6&lt;=$AO$1,AN22,IF(Calculator_v2!$E$6&lt;=$AP$1,AO22,AP22))))))),_xlpm.resultado,_xlpm.tarifa*Calculator_v2!$E$6,IF(_xlpm.resultado&lt;AH22,AH22,_xlpm.resultado)),0)+IF(Calculator_v2!$E$6*AV22&lt;AU22,AU22,IF(Calculator_v2!$E$6*AV22&gt;AW22,AW22,Calculator_v2!$E$6*AV22))+IF(Calculator_v2!$E$6*AZ22&lt;=AY22,AY22,Calculator_v2!$E$6*AZ22)),0)</f>
        <v>2512.6465522433004</v>
      </c>
      <c r="BC22" s="47">
        <f>IFERROR(+BB22/Calculator_v2!$E$6,0)+IFERROR(VLOOKUP(A22,DHL_ADDER!$B$4:$E$26,4,0),0)</f>
        <v>9.5943353923028738</v>
      </c>
      <c r="BD22" s="48">
        <f t="shared" si="1"/>
        <v>7</v>
      </c>
      <c r="BE22" s="48">
        <f>+T[[#This Row],[Airport to Destination Transit Time Days]]+T[[#This Row],[Airport to Airport Transit Time Days]]+T[[#This Row],[Origin to Airport Transit Time in days]]</f>
        <v>12</v>
      </c>
    </row>
    <row r="23" spans="1:57" customFormat="1" x14ac:dyDescent="0.35">
      <c r="A23" t="str">
        <f>+T[[#This Row],[Provider_Name]]&amp;"_"&amp;T[[#This Row],[AXIS]]</f>
        <v>DHL_B_CN&gt;ES</v>
      </c>
      <c r="B23" t="s">
        <v>71</v>
      </c>
      <c r="C23" t="s">
        <v>95</v>
      </c>
      <c r="D23" t="s">
        <v>96</v>
      </c>
      <c r="E23" t="s">
        <v>97</v>
      </c>
      <c r="F23" t="s">
        <v>92</v>
      </c>
      <c r="G23" t="s">
        <v>76</v>
      </c>
      <c r="H23" t="s">
        <v>98</v>
      </c>
      <c r="I23" t="s">
        <v>99</v>
      </c>
      <c r="J23">
        <v>214072</v>
      </c>
      <c r="K23" t="s">
        <v>78</v>
      </c>
      <c r="L23" t="s">
        <v>100</v>
      </c>
      <c r="M23" t="s">
        <v>101</v>
      </c>
      <c r="N23" t="s">
        <v>101</v>
      </c>
      <c r="O23">
        <v>41015</v>
      </c>
      <c r="P23" t="s">
        <v>102</v>
      </c>
      <c r="Q23" t="s">
        <v>103</v>
      </c>
      <c r="R23">
        <v>12</v>
      </c>
      <c r="S23">
        <v>3000</v>
      </c>
      <c r="T23">
        <v>3000</v>
      </c>
      <c r="U23" s="1">
        <v>250</v>
      </c>
      <c r="V23" t="s">
        <v>85</v>
      </c>
      <c r="W23" s="43">
        <v>11</v>
      </c>
      <c r="X23">
        <v>67.073170731707322</v>
      </c>
      <c r="Y23">
        <v>9.1463414634146353E-2</v>
      </c>
      <c r="Z23">
        <v>130</v>
      </c>
      <c r="AA23">
        <v>2</v>
      </c>
      <c r="AB23">
        <v>6.0975609756097562</v>
      </c>
      <c r="AC23">
        <v>0.01</v>
      </c>
      <c r="AD23">
        <v>20.731707317073173</v>
      </c>
      <c r="AE23">
        <v>0</v>
      </c>
      <c r="AF23">
        <v>0</v>
      </c>
      <c r="AG23" t="s">
        <v>86</v>
      </c>
      <c r="AH23">
        <v>67.073170731707322</v>
      </c>
      <c r="AI23" s="1">
        <v>4.2692261367058126</v>
      </c>
      <c r="AJ23" s="1">
        <v>3.7814212586570317</v>
      </c>
      <c r="AK23" s="1">
        <v>3.2936163806082512</v>
      </c>
      <c r="AL23" s="1">
        <v>3.2936163806082512</v>
      </c>
      <c r="AM23" s="1">
        <v>3.2936163806082512</v>
      </c>
      <c r="AN23" s="1">
        <v>3.2936163806082512</v>
      </c>
      <c r="AO23" s="1">
        <v>3.2936163806082512</v>
      </c>
      <c r="AP23" s="1">
        <v>3.2936163806082512</v>
      </c>
      <c r="AQ23">
        <v>7</v>
      </c>
      <c r="AR23" t="s">
        <v>104</v>
      </c>
      <c r="AS23">
        <v>2</v>
      </c>
      <c r="AT23">
        <v>7</v>
      </c>
      <c r="AU23">
        <v>741</v>
      </c>
      <c r="AV23">
        <v>0.46</v>
      </c>
      <c r="AW23">
        <v>890</v>
      </c>
      <c r="AX23">
        <v>2</v>
      </c>
      <c r="AY23">
        <v>49</v>
      </c>
      <c r="AZ23">
        <v>0.19</v>
      </c>
      <c r="BA23" s="43" t="str">
        <f t="shared" si="0"/>
        <v>Economy</v>
      </c>
      <c r="BB23" s="46">
        <f>IFERROR((AD23+IF(Calculator_v2!$E$6*Y23&lt;X23,X23,IF(Calculator_v2!$E$6*Y23&gt;Z23,Z23,Calculator_v2!$E$6*Y23))+IF(Calculator_v2!$E$6*AC23&lt;AB23,AB23,Calculator_v2!$E$6*AC23)+IFERROR(_xlfn.LET(_xlpm.tarifa,IF(Calculator_v2!$E$6&lt;=$AI$1,AI23,IF(Calculator_v2!$E$6&lt;=$AK$1,AJ23,IF(Calculator_v2!$E$6&lt;=$AL$1,AK23,IF(Calculator_v2!$E$6&lt;=$AM$1,AL23,IF(Calculator_v2!$E$6&lt;=$AN$1,AM23,IF(Calculator_v2!$E$6&lt;=$AO$1,AN23,IF(Calculator_v2!$E$6&lt;=$AP$1,AO23,AP23))))))),_xlpm.resultado,_xlpm.tarifa*Calculator_v2!$E$6,IF(_xlpm.resultado&lt;AH23,AH23,_xlpm.resultado)),0)+IF(Calculator_v2!$E$6*AV23&lt;AU23,AU23,IF(Calculator_v2!$E$6*AV23&gt;AW23,AW23,Calculator_v2!$E$6*AV23))+IF(Calculator_v2!$E$6*AZ23&lt;=AY23,AY23,Calculator_v2!$E$6*AZ23)),0)</f>
        <v>2897.2033363444748</v>
      </c>
      <c r="BC23" s="47">
        <f>IFERROR(+BB23/Calculator_v2!$E$6,0)+IFERROR(VLOOKUP(A23,DHL_ADDER!$B$4:$E$26,4,0),0)</f>
        <v>9.0139245546359383</v>
      </c>
      <c r="BD23" s="48">
        <f t="shared" si="1"/>
        <v>7</v>
      </c>
      <c r="BE23" s="48">
        <f>+T[[#This Row],[Airport to Destination Transit Time Days]]+T[[#This Row],[Airport to Airport Transit Time Days]]+T[[#This Row],[Origin to Airport Transit Time in days]]</f>
        <v>11</v>
      </c>
    </row>
    <row r="24" spans="1:57" customFormat="1" x14ac:dyDescent="0.35">
      <c r="A24" t="str">
        <f>+T[[#This Row],[Provider_Name]]&amp;"_"&amp;T[[#This Row],[AXIS]]</f>
        <v>DHL_B_CN&gt;ES</v>
      </c>
      <c r="B24" t="s">
        <v>71</v>
      </c>
      <c r="C24" t="s">
        <v>95</v>
      </c>
      <c r="D24" t="s">
        <v>96</v>
      </c>
      <c r="E24" t="s">
        <v>105</v>
      </c>
      <c r="F24" t="s">
        <v>92</v>
      </c>
      <c r="G24" t="s">
        <v>76</v>
      </c>
      <c r="H24" t="s">
        <v>77</v>
      </c>
      <c r="I24" t="s">
        <v>77</v>
      </c>
      <c r="J24">
        <v>200232</v>
      </c>
      <c r="K24" t="s">
        <v>78</v>
      </c>
      <c r="L24" t="s">
        <v>100</v>
      </c>
      <c r="M24" t="s">
        <v>106</v>
      </c>
      <c r="N24" t="s">
        <v>106</v>
      </c>
      <c r="O24">
        <v>48008</v>
      </c>
      <c r="P24" t="s">
        <v>102</v>
      </c>
      <c r="Q24" t="s">
        <v>107</v>
      </c>
      <c r="R24">
        <v>4</v>
      </c>
      <c r="S24">
        <v>1043.75</v>
      </c>
      <c r="T24">
        <v>1043.75</v>
      </c>
      <c r="U24" s="1">
        <v>260.9375</v>
      </c>
      <c r="V24" t="s">
        <v>85</v>
      </c>
      <c r="W24" s="43">
        <v>10</v>
      </c>
      <c r="X24">
        <v>55.555555555555557</v>
      </c>
      <c r="Y24">
        <v>6.1728395061728399E-2</v>
      </c>
      <c r="Z24">
        <v>88.888888888888886</v>
      </c>
      <c r="AA24">
        <v>1</v>
      </c>
      <c r="AB24">
        <v>6.0975609756097562</v>
      </c>
      <c r="AC24">
        <v>0.01</v>
      </c>
      <c r="AD24">
        <v>20.731707317073173</v>
      </c>
      <c r="AE24">
        <v>0</v>
      </c>
      <c r="AF24">
        <v>0</v>
      </c>
      <c r="AG24" t="s">
        <v>86</v>
      </c>
      <c r="AH24">
        <v>67.073170731707322</v>
      </c>
      <c r="AI24" s="1">
        <v>4.2692261367058126</v>
      </c>
      <c r="AJ24" s="1">
        <v>3.7814212586570317</v>
      </c>
      <c r="AK24" s="1">
        <v>3.2936163806082512</v>
      </c>
      <c r="AL24" s="1">
        <v>3.2936163806082512</v>
      </c>
      <c r="AM24" s="1">
        <v>3.2936163806082512</v>
      </c>
      <c r="AN24" s="1">
        <v>3.2936163806082512</v>
      </c>
      <c r="AO24" s="1">
        <v>3.2936163806082512</v>
      </c>
      <c r="AP24" s="1">
        <v>3.2936163806082512</v>
      </c>
      <c r="AQ24">
        <v>7</v>
      </c>
      <c r="AR24" t="s">
        <v>108</v>
      </c>
      <c r="AS24">
        <v>2</v>
      </c>
      <c r="AT24">
        <v>7</v>
      </c>
      <c r="AU24">
        <v>315</v>
      </c>
      <c r="AV24">
        <v>0.45</v>
      </c>
      <c r="AW24">
        <v>490</v>
      </c>
      <c r="AX24">
        <v>2</v>
      </c>
      <c r="AY24">
        <v>49</v>
      </c>
      <c r="AZ24">
        <v>0.19</v>
      </c>
      <c r="BA24" s="43" t="str">
        <f t="shared" si="0"/>
        <v>Economy</v>
      </c>
      <c r="BB24" s="46">
        <f>IFERROR((AD24+IF(Calculator_v2!$E$6*Y24&lt;X24,X24,IF(Calculator_v2!$E$6*Y24&gt;Z24,Z24,Calculator_v2!$E$6*Y24))+IF(Calculator_v2!$E$6*AC24&lt;AB24,AB24,Calculator_v2!$E$6*AC24)+IFERROR(_xlfn.LET(_xlpm.tarifa,IF(Calculator_v2!$E$6&lt;=$AI$1,AI24,IF(Calculator_v2!$E$6&lt;=$AK$1,AJ24,IF(Calculator_v2!$E$6&lt;=$AL$1,AK24,IF(Calculator_v2!$E$6&lt;=$AM$1,AL24,IF(Calculator_v2!$E$6&lt;=$AN$1,AM24,IF(Calculator_v2!$E$6&lt;=$AO$1,AN24,IF(Calculator_v2!$E$6&lt;=$AP$1,AO24,AP24))))))),_xlpm.resultado,_xlpm.tarifa*Calculator_v2!$E$6,IF(_xlpm.resultado&lt;AH24,AH24,_xlpm.resultado)),0)+IF(Calculator_v2!$E$6*AV24&lt;AU24,AU24,IF(Calculator_v2!$E$6*AV24&gt;AW24,AW24,Calculator_v2!$E$6*AV24))+IF(Calculator_v2!$E$6*AZ24&lt;=AY24,AY24,Calculator_v2!$E$6*AZ24)),0)</f>
        <v>2459.6857211683232</v>
      </c>
      <c r="BC24" s="47">
        <f>IFERROR(+BB24/Calculator_v2!$E$6,0)+IFERROR(VLOOKUP(A24,DHL_ADDER!$B$4:$E$26,4,0),0)</f>
        <v>8.2748745290005452</v>
      </c>
      <c r="BD24" s="48">
        <f t="shared" si="1"/>
        <v>7</v>
      </c>
      <c r="BE24" s="48">
        <f>+T[[#This Row],[Airport to Destination Transit Time Days]]+T[[#This Row],[Airport to Airport Transit Time Days]]+T[[#This Row],[Origin to Airport Transit Time in days]]</f>
        <v>10</v>
      </c>
    </row>
    <row r="25" spans="1:57" customFormat="1" x14ac:dyDescent="0.35">
      <c r="A25" t="str">
        <f>+T[[#This Row],[Provider_Name]]&amp;"_"&amp;T[[#This Row],[AXIS]]</f>
        <v>DHL_B_CN&gt;ES</v>
      </c>
      <c r="B25" t="s">
        <v>71</v>
      </c>
      <c r="C25" t="s">
        <v>95</v>
      </c>
      <c r="D25" t="s">
        <v>96</v>
      </c>
      <c r="E25" t="s">
        <v>88</v>
      </c>
      <c r="F25" t="s">
        <v>92</v>
      </c>
      <c r="G25" t="s">
        <v>76</v>
      </c>
      <c r="H25" t="s">
        <v>77</v>
      </c>
      <c r="I25" t="s">
        <v>77</v>
      </c>
      <c r="J25">
        <v>200131</v>
      </c>
      <c r="K25" t="s">
        <v>78</v>
      </c>
      <c r="L25" t="s">
        <v>100</v>
      </c>
      <c r="M25" t="s">
        <v>106</v>
      </c>
      <c r="N25" t="s">
        <v>106</v>
      </c>
      <c r="O25">
        <v>48008</v>
      </c>
      <c r="P25" t="s">
        <v>102</v>
      </c>
      <c r="Q25" t="s">
        <v>107</v>
      </c>
      <c r="R25">
        <v>3</v>
      </c>
      <c r="S25">
        <v>1471</v>
      </c>
      <c r="T25">
        <v>1471</v>
      </c>
      <c r="U25" s="1">
        <v>490.33333333333331</v>
      </c>
      <c r="V25" t="s">
        <v>85</v>
      </c>
      <c r="W25" s="43">
        <v>10</v>
      </c>
      <c r="X25">
        <v>55.555555555555557</v>
      </c>
      <c r="Y25">
        <v>6.1728395061728399E-2</v>
      </c>
      <c r="Z25">
        <v>88.888888888888886</v>
      </c>
      <c r="AA25">
        <v>1</v>
      </c>
      <c r="AB25">
        <v>6.0975609756097562</v>
      </c>
      <c r="AC25">
        <v>0.01</v>
      </c>
      <c r="AD25">
        <v>20.731707317073173</v>
      </c>
      <c r="AE25">
        <v>0</v>
      </c>
      <c r="AF25">
        <v>0</v>
      </c>
      <c r="AG25" t="s">
        <v>86</v>
      </c>
      <c r="AH25">
        <v>67.073170731707322</v>
      </c>
      <c r="AI25" s="1">
        <v>4.2692261367058126</v>
      </c>
      <c r="AJ25" s="1">
        <v>3.7814212586570317</v>
      </c>
      <c r="AK25" s="1">
        <v>3.2936163806082512</v>
      </c>
      <c r="AL25" s="1">
        <v>3.2936163806082512</v>
      </c>
      <c r="AM25" s="1">
        <v>3.2936163806082512</v>
      </c>
      <c r="AN25" s="1">
        <v>3.2936163806082512</v>
      </c>
      <c r="AO25" s="1">
        <v>3.2936163806082512</v>
      </c>
      <c r="AP25" s="1">
        <v>3.2936163806082512</v>
      </c>
      <c r="AQ25">
        <v>7</v>
      </c>
      <c r="AR25" t="s">
        <v>108</v>
      </c>
      <c r="AS25">
        <v>2</v>
      </c>
      <c r="AT25">
        <v>7</v>
      </c>
      <c r="AU25">
        <v>315</v>
      </c>
      <c r="AV25">
        <v>0.45</v>
      </c>
      <c r="AW25">
        <v>490</v>
      </c>
      <c r="AX25">
        <v>2</v>
      </c>
      <c r="AY25">
        <v>49</v>
      </c>
      <c r="AZ25">
        <v>0.19</v>
      </c>
      <c r="BA25" s="43" t="str">
        <f t="shared" si="0"/>
        <v>Economy</v>
      </c>
      <c r="BB25" s="46">
        <f>IFERROR((AD25+IF(Calculator_v2!$E$6*Y25&lt;X25,X25,IF(Calculator_v2!$E$6*Y25&gt;Z25,Z25,Calculator_v2!$E$6*Y25))+IF(Calculator_v2!$E$6*AC25&lt;AB25,AB25,Calculator_v2!$E$6*AC25)+IFERROR(_xlfn.LET(_xlpm.tarifa,IF(Calculator_v2!$E$6&lt;=$AI$1,AI25,IF(Calculator_v2!$E$6&lt;=$AK$1,AJ25,IF(Calculator_v2!$E$6&lt;=$AL$1,AK25,IF(Calculator_v2!$E$6&lt;=$AM$1,AL25,IF(Calculator_v2!$E$6&lt;=$AN$1,AM25,IF(Calculator_v2!$E$6&lt;=$AO$1,AN25,IF(Calculator_v2!$E$6&lt;=$AP$1,AO25,AP25))))))),_xlpm.resultado,_xlpm.tarifa*Calculator_v2!$E$6,IF(_xlpm.resultado&lt;AH25,AH25,_xlpm.resultado)),0)+IF(Calculator_v2!$E$6*AV25&lt;AU25,AU25,IF(Calculator_v2!$E$6*AV25&gt;AW25,AW25,Calculator_v2!$E$6*AV25))+IF(Calculator_v2!$E$6*AZ25&lt;=AY25,AY25,Calculator_v2!$E$6*AZ25)),0)</f>
        <v>2459.6857211683232</v>
      </c>
      <c r="BC25" s="47">
        <f>IFERROR(+BB25/Calculator_v2!$E$6,0)+IFERROR(VLOOKUP(A25,DHL_ADDER!$B$4:$E$26,4,0),0)</f>
        <v>8.2748745290005452</v>
      </c>
      <c r="BD25" s="48">
        <f t="shared" si="1"/>
        <v>7</v>
      </c>
      <c r="BE25" s="48">
        <f>+T[[#This Row],[Airport to Destination Transit Time Days]]+T[[#This Row],[Airport to Airport Transit Time Days]]+T[[#This Row],[Origin to Airport Transit Time in days]]</f>
        <v>10</v>
      </c>
    </row>
    <row r="26" spans="1:57" customFormat="1" x14ac:dyDescent="0.35">
      <c r="A26" t="str">
        <f>+T[[#This Row],[Provider_Name]]&amp;"_"&amp;T[[#This Row],[AXIS]]</f>
        <v>DHL_B_CN&gt;ES</v>
      </c>
      <c r="B26" t="s">
        <v>71</v>
      </c>
      <c r="C26" t="s">
        <v>95</v>
      </c>
      <c r="D26" t="s">
        <v>96</v>
      </c>
      <c r="E26" t="s">
        <v>97</v>
      </c>
      <c r="F26" t="s">
        <v>92</v>
      </c>
      <c r="G26" t="s">
        <v>76</v>
      </c>
      <c r="H26" t="s">
        <v>98</v>
      </c>
      <c r="I26" t="s">
        <v>99</v>
      </c>
      <c r="J26">
        <v>214072</v>
      </c>
      <c r="K26" t="s">
        <v>78</v>
      </c>
      <c r="L26" t="s">
        <v>100</v>
      </c>
      <c r="M26" t="s">
        <v>101</v>
      </c>
      <c r="N26" t="s">
        <v>101</v>
      </c>
      <c r="O26">
        <v>41015</v>
      </c>
      <c r="P26" t="s">
        <v>102</v>
      </c>
      <c r="Q26" t="s">
        <v>103</v>
      </c>
      <c r="R26">
        <v>12</v>
      </c>
      <c r="S26">
        <v>3000</v>
      </c>
      <c r="T26">
        <v>3000</v>
      </c>
      <c r="U26" s="1">
        <v>250</v>
      </c>
      <c r="V26" t="s">
        <v>90</v>
      </c>
      <c r="W26" s="43">
        <v>8</v>
      </c>
      <c r="X26">
        <v>67.073170731707322</v>
      </c>
      <c r="Y26">
        <v>9.1463414634146353E-2</v>
      </c>
      <c r="Z26">
        <v>130</v>
      </c>
      <c r="AA26">
        <v>2</v>
      </c>
      <c r="AB26">
        <v>6.0975609756097562</v>
      </c>
      <c r="AC26">
        <v>0.01</v>
      </c>
      <c r="AD26">
        <v>20.731707317073173</v>
      </c>
      <c r="AE26">
        <v>0</v>
      </c>
      <c r="AF26">
        <v>0</v>
      </c>
      <c r="AG26" t="s">
        <v>86</v>
      </c>
      <c r="AH26">
        <v>115.85365853658537</v>
      </c>
      <c r="AI26" s="1">
        <v>4.8789822342667879</v>
      </c>
      <c r="AJ26" s="1">
        <v>4.3911773562180061</v>
      </c>
      <c r="AK26" s="1">
        <v>3.9033724781692269</v>
      </c>
      <c r="AL26" s="1">
        <v>3.9033724781692269</v>
      </c>
      <c r="AM26" s="1">
        <v>3.9033724781692269</v>
      </c>
      <c r="AN26" s="1">
        <v>3.9033724781692269</v>
      </c>
      <c r="AO26" s="1">
        <v>3.9033724781692269</v>
      </c>
      <c r="AP26" s="1">
        <v>3.9033724781692269</v>
      </c>
      <c r="AQ26">
        <v>4</v>
      </c>
      <c r="AR26" t="s">
        <v>108</v>
      </c>
      <c r="AS26">
        <v>1</v>
      </c>
      <c r="AT26">
        <v>7</v>
      </c>
      <c r="AU26">
        <v>741</v>
      </c>
      <c r="AV26">
        <v>0.46</v>
      </c>
      <c r="AW26">
        <v>890</v>
      </c>
      <c r="AX26">
        <v>2</v>
      </c>
      <c r="AY26">
        <v>49</v>
      </c>
      <c r="AZ26">
        <v>0.19</v>
      </c>
      <c r="BA26" s="43" t="str">
        <f t="shared" si="0"/>
        <v>Express</v>
      </c>
      <c r="BB26" s="46">
        <f>IFERROR((AD26+IF(Calculator_v2!$E$6*Y26&lt;X26,X26,IF(Calculator_v2!$E$6*Y26&gt;Z26,Z26,Calculator_v2!$E$6*Y26))+IF(Calculator_v2!$E$6*AC26&lt;AB26,AB26,Calculator_v2!$E$6*AC26)+IFERROR(_xlfn.LET(_xlpm.tarifa,IF(Calculator_v2!$E$6&lt;=$AI$1,AI26,IF(Calculator_v2!$E$6&lt;=$AK$1,AJ26,IF(Calculator_v2!$E$6&lt;=$AL$1,AK26,IF(Calculator_v2!$E$6&lt;=$AM$1,AL26,IF(Calculator_v2!$E$6&lt;=$AN$1,AM26,IF(Calculator_v2!$E$6&lt;=$AO$1,AN26,IF(Calculator_v2!$E$6&lt;=$AP$1,AO26,AP26))))))),_xlpm.resultado,_xlpm.tarifa*Calculator_v2!$E$6,IF(_xlpm.resultado&lt;AH26,AH26,_xlpm.resultado)),0)+IF(Calculator_v2!$E$6*AV26&lt;AU26,AU26,IF(Calculator_v2!$E$6*AV26&gt;AW26,AW26,Calculator_v2!$E$6*AV26))+IF(Calculator_v2!$E$6*AZ26&lt;=AY26,AY26,Calculator_v2!$E$6*AZ26)),0)</f>
        <v>3258.1789461005728</v>
      </c>
      <c r="BC26" s="47">
        <f>IFERROR(+BB26/Calculator_v2!$E$6,0)+IFERROR(VLOOKUP(A26,DHL_ADDER!$B$4:$E$26,4,0),0)</f>
        <v>9.6236806521969136</v>
      </c>
      <c r="BD26" s="48">
        <f t="shared" si="1"/>
        <v>7</v>
      </c>
      <c r="BE26" s="48">
        <f>+T[[#This Row],[Airport to Destination Transit Time Days]]+T[[#This Row],[Airport to Airport Transit Time Days]]+T[[#This Row],[Origin to Airport Transit Time in days]]</f>
        <v>8</v>
      </c>
    </row>
    <row r="27" spans="1:57" customFormat="1" x14ac:dyDescent="0.35">
      <c r="A27" t="str">
        <f>+T[[#This Row],[Provider_Name]]&amp;"_"&amp;T[[#This Row],[AXIS]]</f>
        <v>DHL_B_CN&gt;ES</v>
      </c>
      <c r="B27" t="s">
        <v>71</v>
      </c>
      <c r="C27" t="s">
        <v>95</v>
      </c>
      <c r="D27" t="s">
        <v>96</v>
      </c>
      <c r="E27" t="s">
        <v>105</v>
      </c>
      <c r="F27" t="s">
        <v>92</v>
      </c>
      <c r="G27" t="s">
        <v>76</v>
      </c>
      <c r="H27" t="s">
        <v>77</v>
      </c>
      <c r="I27" t="s">
        <v>77</v>
      </c>
      <c r="J27">
        <v>200232</v>
      </c>
      <c r="K27" t="s">
        <v>78</v>
      </c>
      <c r="L27" t="s">
        <v>100</v>
      </c>
      <c r="M27" t="s">
        <v>106</v>
      </c>
      <c r="N27" t="s">
        <v>106</v>
      </c>
      <c r="O27">
        <v>48008</v>
      </c>
      <c r="P27" t="s">
        <v>102</v>
      </c>
      <c r="Q27" t="s">
        <v>107</v>
      </c>
      <c r="R27">
        <v>4</v>
      </c>
      <c r="S27">
        <v>1043.75</v>
      </c>
      <c r="T27">
        <v>1043.75</v>
      </c>
      <c r="U27" s="1">
        <v>260.9375</v>
      </c>
      <c r="V27" t="s">
        <v>90</v>
      </c>
      <c r="W27" s="43">
        <v>7</v>
      </c>
      <c r="X27">
        <v>55.555555555555557</v>
      </c>
      <c r="Y27">
        <v>6.1728395061728399E-2</v>
      </c>
      <c r="Z27">
        <v>88.888888888888886</v>
      </c>
      <c r="AA27">
        <v>1</v>
      </c>
      <c r="AB27">
        <v>6.0975609756097562</v>
      </c>
      <c r="AC27">
        <v>0.01</v>
      </c>
      <c r="AD27">
        <v>20.731707317073173</v>
      </c>
      <c r="AE27">
        <v>0</v>
      </c>
      <c r="AF27">
        <v>0</v>
      </c>
      <c r="AG27" t="s">
        <v>86</v>
      </c>
      <c r="AH27">
        <v>115.85365853658537</v>
      </c>
      <c r="AI27" s="1">
        <v>4.8789822342667879</v>
      </c>
      <c r="AJ27" s="1">
        <v>4.3911773562180061</v>
      </c>
      <c r="AK27" s="1">
        <v>3.9033724781692269</v>
      </c>
      <c r="AL27" s="1">
        <v>3.9033724781692269</v>
      </c>
      <c r="AM27" s="1">
        <v>3.9033724781692269</v>
      </c>
      <c r="AN27" s="1">
        <v>3.9033724781692269</v>
      </c>
      <c r="AO27" s="1">
        <v>3.9033724781692269</v>
      </c>
      <c r="AP27" s="1">
        <v>3.9033724781692269</v>
      </c>
      <c r="AQ27">
        <v>4</v>
      </c>
      <c r="AR27" t="s">
        <v>108</v>
      </c>
      <c r="AS27">
        <v>1</v>
      </c>
      <c r="AT27">
        <v>7</v>
      </c>
      <c r="AU27">
        <v>315</v>
      </c>
      <c r="AV27">
        <v>0.45</v>
      </c>
      <c r="AW27">
        <v>490</v>
      </c>
      <c r="AX27">
        <v>2</v>
      </c>
      <c r="AY27">
        <v>49</v>
      </c>
      <c r="AZ27">
        <v>0.19</v>
      </c>
      <c r="BA27" s="43" t="str">
        <f t="shared" si="0"/>
        <v>Express</v>
      </c>
      <c r="BB27" s="46">
        <f>IFERROR((AD27+IF(Calculator_v2!$E$6*Y27&lt;X27,X27,IF(Calculator_v2!$E$6*Y27&gt;Z27,Z27,Calculator_v2!$E$6*Y27))+IF(Calculator_v2!$E$6*AC27&lt;AB27,AB27,Calculator_v2!$E$6*AC27)+IFERROR(_xlfn.LET(_xlpm.tarifa,IF(Calculator_v2!$E$6&lt;=$AI$1,AI27,IF(Calculator_v2!$E$6&lt;=$AK$1,AJ27,IF(Calculator_v2!$E$6&lt;=$AL$1,AK27,IF(Calculator_v2!$E$6&lt;=$AM$1,AL27,IF(Calculator_v2!$E$6&lt;=$AN$1,AM27,IF(Calculator_v2!$E$6&lt;=$AO$1,AN27,IF(Calculator_v2!$E$6&lt;=$AP$1,AO27,AP27))))))),_xlpm.resultado,_xlpm.tarifa*Calculator_v2!$E$6,IF(_xlpm.resultado&lt;AH27,AH27,_xlpm.resultado)),0)+IF(Calculator_v2!$E$6*AV27&lt;AU27,AU27,IF(Calculator_v2!$E$6*AV27&gt;AW27,AW27,Calculator_v2!$E$6*AV27))+IF(Calculator_v2!$E$6*AZ27&lt;=AY27,AY27,Calculator_v2!$E$6*AZ27)),0)</f>
        <v>2820.6613309244208</v>
      </c>
      <c r="BC27" s="47">
        <f>IFERROR(+BB27/Calculator_v2!$E$6,0)+IFERROR(VLOOKUP(A27,DHL_ADDER!$B$4:$E$26,4,0),0)</f>
        <v>8.8846306265615205</v>
      </c>
      <c r="BD27" s="48">
        <f t="shared" si="1"/>
        <v>7</v>
      </c>
      <c r="BE27" s="48">
        <f>+T[[#This Row],[Airport to Destination Transit Time Days]]+T[[#This Row],[Airport to Airport Transit Time Days]]+T[[#This Row],[Origin to Airport Transit Time in days]]</f>
        <v>7</v>
      </c>
    </row>
    <row r="28" spans="1:57" customFormat="1" x14ac:dyDescent="0.35">
      <c r="A28" t="str">
        <f>+T[[#This Row],[Provider_Name]]&amp;"_"&amp;T[[#This Row],[AXIS]]</f>
        <v>DHL_B_CN&gt;ES</v>
      </c>
      <c r="B28" t="s">
        <v>71</v>
      </c>
      <c r="C28" t="s">
        <v>95</v>
      </c>
      <c r="D28" t="s">
        <v>96</v>
      </c>
      <c r="E28" t="s">
        <v>88</v>
      </c>
      <c r="F28" t="s">
        <v>92</v>
      </c>
      <c r="G28" t="s">
        <v>76</v>
      </c>
      <c r="H28" t="s">
        <v>77</v>
      </c>
      <c r="I28" t="s">
        <v>77</v>
      </c>
      <c r="J28">
        <v>200131</v>
      </c>
      <c r="K28" t="s">
        <v>78</v>
      </c>
      <c r="L28" t="s">
        <v>100</v>
      </c>
      <c r="M28" t="s">
        <v>106</v>
      </c>
      <c r="N28" t="s">
        <v>106</v>
      </c>
      <c r="O28">
        <v>48008</v>
      </c>
      <c r="P28" t="s">
        <v>102</v>
      </c>
      <c r="Q28" t="s">
        <v>107</v>
      </c>
      <c r="R28">
        <v>3</v>
      </c>
      <c r="S28">
        <v>1471</v>
      </c>
      <c r="T28">
        <v>1471</v>
      </c>
      <c r="U28" s="1">
        <v>490.33333333333331</v>
      </c>
      <c r="V28" t="s">
        <v>90</v>
      </c>
      <c r="W28" s="43">
        <v>7</v>
      </c>
      <c r="X28">
        <v>55.555555555555557</v>
      </c>
      <c r="Y28">
        <v>6.1728395061728399E-2</v>
      </c>
      <c r="Z28">
        <v>88.888888888888886</v>
      </c>
      <c r="AA28">
        <v>1</v>
      </c>
      <c r="AB28">
        <v>6.0975609756097562</v>
      </c>
      <c r="AC28">
        <v>0.01</v>
      </c>
      <c r="AD28">
        <v>20.731707317073173</v>
      </c>
      <c r="AE28">
        <v>0</v>
      </c>
      <c r="AF28">
        <v>0</v>
      </c>
      <c r="AG28" t="s">
        <v>86</v>
      </c>
      <c r="AH28">
        <v>115.85365853658537</v>
      </c>
      <c r="AI28" s="1">
        <v>4.8789822342667879</v>
      </c>
      <c r="AJ28" s="1">
        <v>4.3911773562180061</v>
      </c>
      <c r="AK28" s="1">
        <v>3.9033724781692269</v>
      </c>
      <c r="AL28" s="1">
        <v>3.9033724781692269</v>
      </c>
      <c r="AM28" s="1">
        <v>3.9033724781692269</v>
      </c>
      <c r="AN28" s="1">
        <v>3.9033724781692269</v>
      </c>
      <c r="AO28" s="1">
        <v>3.9033724781692269</v>
      </c>
      <c r="AP28" s="1">
        <v>3.9033724781692269</v>
      </c>
      <c r="AQ28">
        <v>4</v>
      </c>
      <c r="AR28" t="s">
        <v>108</v>
      </c>
      <c r="AS28">
        <v>1</v>
      </c>
      <c r="AT28">
        <v>7</v>
      </c>
      <c r="AU28">
        <v>315</v>
      </c>
      <c r="AV28">
        <v>0.45</v>
      </c>
      <c r="AW28">
        <v>490</v>
      </c>
      <c r="AX28">
        <v>2</v>
      </c>
      <c r="AY28">
        <v>49</v>
      </c>
      <c r="AZ28">
        <v>0.19</v>
      </c>
      <c r="BA28" s="43" t="str">
        <f t="shared" si="0"/>
        <v>Express</v>
      </c>
      <c r="BB28" s="46">
        <f>IFERROR((AD28+IF(Calculator_v2!$E$6*Y28&lt;X28,X28,IF(Calculator_v2!$E$6*Y28&gt;Z28,Z28,Calculator_v2!$E$6*Y28))+IF(Calculator_v2!$E$6*AC28&lt;AB28,AB28,Calculator_v2!$E$6*AC28)+IFERROR(_xlfn.LET(_xlpm.tarifa,IF(Calculator_v2!$E$6&lt;=$AI$1,AI28,IF(Calculator_v2!$E$6&lt;=$AK$1,AJ28,IF(Calculator_v2!$E$6&lt;=$AL$1,AK28,IF(Calculator_v2!$E$6&lt;=$AM$1,AL28,IF(Calculator_v2!$E$6&lt;=$AN$1,AM28,IF(Calculator_v2!$E$6&lt;=$AO$1,AN28,IF(Calculator_v2!$E$6&lt;=$AP$1,AO28,AP28))))))),_xlpm.resultado,_xlpm.tarifa*Calculator_v2!$E$6,IF(_xlpm.resultado&lt;AH28,AH28,_xlpm.resultado)),0)+IF(Calculator_v2!$E$6*AV28&lt;AU28,AU28,IF(Calculator_v2!$E$6*AV28&gt;AW28,AW28,Calculator_v2!$E$6*AV28))+IF(Calculator_v2!$E$6*AZ28&lt;=AY28,AY28,Calculator_v2!$E$6*AZ28)),0)</f>
        <v>2820.6613309244208</v>
      </c>
      <c r="BC28" s="47">
        <f>IFERROR(+BB28/Calculator_v2!$E$6,0)+IFERROR(VLOOKUP(A28,DHL_ADDER!$B$4:$E$26,4,0),0)</f>
        <v>8.8846306265615205</v>
      </c>
      <c r="BD28" s="48">
        <f t="shared" si="1"/>
        <v>7</v>
      </c>
      <c r="BE28" s="48">
        <f>+T[[#This Row],[Airport to Destination Transit Time Days]]+T[[#This Row],[Airport to Airport Transit Time Days]]+T[[#This Row],[Origin to Airport Transit Time in days]]</f>
        <v>7</v>
      </c>
    </row>
    <row r="29" spans="1:57" customFormat="1" x14ac:dyDescent="0.35">
      <c r="A29" t="str">
        <f>+T[[#This Row],[Provider_Name]]&amp;"_"&amp;T[[#This Row],[AXIS]]</f>
        <v>DHL_B_CN&gt;ES</v>
      </c>
      <c r="B29" t="s">
        <v>71</v>
      </c>
      <c r="C29" t="s">
        <v>95</v>
      </c>
      <c r="D29" t="s">
        <v>96</v>
      </c>
      <c r="E29" t="s">
        <v>97</v>
      </c>
      <c r="F29" t="s">
        <v>92</v>
      </c>
      <c r="G29" t="s">
        <v>76</v>
      </c>
      <c r="H29" t="s">
        <v>98</v>
      </c>
      <c r="I29" t="s">
        <v>99</v>
      </c>
      <c r="J29">
        <v>214072</v>
      </c>
      <c r="K29" t="s">
        <v>78</v>
      </c>
      <c r="L29" t="s">
        <v>100</v>
      </c>
      <c r="M29" t="s">
        <v>101</v>
      </c>
      <c r="N29" t="s">
        <v>101</v>
      </c>
      <c r="O29">
        <v>41015</v>
      </c>
      <c r="P29" t="s">
        <v>102</v>
      </c>
      <c r="Q29" t="s">
        <v>103</v>
      </c>
      <c r="R29">
        <v>12</v>
      </c>
      <c r="S29">
        <v>3000</v>
      </c>
      <c r="T29">
        <v>3000</v>
      </c>
      <c r="U29" s="1">
        <v>250</v>
      </c>
      <c r="V29" t="s">
        <v>91</v>
      </c>
      <c r="W29" s="43">
        <v>10</v>
      </c>
      <c r="X29">
        <v>67.073170731707322</v>
      </c>
      <c r="Y29">
        <v>9.1463414634146353E-2</v>
      </c>
      <c r="Z29">
        <v>130</v>
      </c>
      <c r="AA29">
        <v>2</v>
      </c>
      <c r="AB29">
        <v>6.0975609756097562</v>
      </c>
      <c r="AC29">
        <v>0.01</v>
      </c>
      <c r="AD29">
        <v>20.731707317073173</v>
      </c>
      <c r="AE29">
        <v>0</v>
      </c>
      <c r="AF29">
        <v>0</v>
      </c>
      <c r="AG29" t="s">
        <v>86</v>
      </c>
      <c r="AH29">
        <v>91.463414634146346</v>
      </c>
      <c r="AI29" s="1">
        <v>4.5131285757302022</v>
      </c>
      <c r="AJ29" s="1">
        <v>4.0253236976814222</v>
      </c>
      <c r="AK29" s="1">
        <v>3.5375188196326408</v>
      </c>
      <c r="AL29" s="1">
        <v>3.5375188196326408</v>
      </c>
      <c r="AM29" s="1">
        <v>3.5375188196326408</v>
      </c>
      <c r="AN29" s="1">
        <v>3.5375188196326408</v>
      </c>
      <c r="AO29" s="1">
        <v>3.5375188196326408</v>
      </c>
      <c r="AP29" s="1">
        <v>3.5375188196326408</v>
      </c>
      <c r="AQ29">
        <v>6</v>
      </c>
      <c r="AR29" t="s">
        <v>108</v>
      </c>
      <c r="AS29">
        <v>1</v>
      </c>
      <c r="AT29">
        <v>7</v>
      </c>
      <c r="AU29">
        <v>741</v>
      </c>
      <c r="AV29">
        <v>0.46</v>
      </c>
      <c r="AW29">
        <v>890</v>
      </c>
      <c r="AX29">
        <v>2</v>
      </c>
      <c r="AY29">
        <v>49</v>
      </c>
      <c r="AZ29">
        <v>0.19</v>
      </c>
      <c r="BA29" s="43" t="str">
        <f t="shared" si="0"/>
        <v>Normal</v>
      </c>
      <c r="BB29" s="46">
        <f>IFERROR((AD29+IF(Calculator_v2!$E$6*Y29&lt;X29,X29,IF(Calculator_v2!$E$6*Y29&gt;Z29,Z29,Calculator_v2!$E$6*Y29))+IF(Calculator_v2!$E$6*AC29&lt;AB29,AB29,Calculator_v2!$E$6*AC29)+IFERROR(_xlfn.LET(_xlpm.tarifa,IF(Calculator_v2!$E$6&lt;=$AI$1,AI29,IF(Calculator_v2!$E$6&lt;=$AK$1,AJ29,IF(Calculator_v2!$E$6&lt;=$AL$1,AK29,IF(Calculator_v2!$E$6&lt;=$AM$1,AL29,IF(Calculator_v2!$E$6&lt;=$AN$1,AM29,IF(Calculator_v2!$E$6&lt;=$AO$1,AN29,IF(Calculator_v2!$E$6&lt;=$AP$1,AO29,AP29))))))),_xlpm.resultado,_xlpm.tarifa*Calculator_v2!$E$6,IF(_xlpm.resultado&lt;AH29,AH29,_xlpm.resultado)),0)+IF(Calculator_v2!$E$6*AV29&lt;AU29,AU29,IF(Calculator_v2!$E$6*AV29&gt;AW29,AW29,Calculator_v2!$E$6*AV29))+IF(Calculator_v2!$E$6*AZ29&lt;=AY29,AY29,Calculator_v2!$E$6*AZ29)),0)</f>
        <v>3041.5935802469139</v>
      </c>
      <c r="BC29" s="47">
        <f>IFERROR(+BB29/Calculator_v2!$E$6,0)+IFERROR(VLOOKUP(A29,DHL_ADDER!$B$4:$E$26,4,0),0)</f>
        <v>9.257826993660327</v>
      </c>
      <c r="BD29" s="48">
        <f t="shared" si="1"/>
        <v>7</v>
      </c>
      <c r="BE29" s="48">
        <f>+T[[#This Row],[Airport to Destination Transit Time Days]]+T[[#This Row],[Airport to Airport Transit Time Days]]+T[[#This Row],[Origin to Airport Transit Time in days]]</f>
        <v>10</v>
      </c>
    </row>
    <row r="30" spans="1:57" customFormat="1" x14ac:dyDescent="0.35">
      <c r="A30" t="str">
        <f>+T[[#This Row],[Provider_Name]]&amp;"_"&amp;T[[#This Row],[AXIS]]</f>
        <v>DHL_B_CN&gt;ES</v>
      </c>
      <c r="B30" t="s">
        <v>71</v>
      </c>
      <c r="C30" t="s">
        <v>95</v>
      </c>
      <c r="D30" t="s">
        <v>96</v>
      </c>
      <c r="E30" t="s">
        <v>105</v>
      </c>
      <c r="F30" t="s">
        <v>92</v>
      </c>
      <c r="G30" t="s">
        <v>76</v>
      </c>
      <c r="H30" t="s">
        <v>77</v>
      </c>
      <c r="I30" t="s">
        <v>77</v>
      </c>
      <c r="J30">
        <v>200232</v>
      </c>
      <c r="K30" t="s">
        <v>78</v>
      </c>
      <c r="L30" t="s">
        <v>100</v>
      </c>
      <c r="M30" t="s">
        <v>106</v>
      </c>
      <c r="N30" t="s">
        <v>106</v>
      </c>
      <c r="O30">
        <v>48008</v>
      </c>
      <c r="P30" t="s">
        <v>102</v>
      </c>
      <c r="Q30" t="s">
        <v>107</v>
      </c>
      <c r="R30">
        <v>4</v>
      </c>
      <c r="S30">
        <v>1043.75</v>
      </c>
      <c r="T30">
        <v>1043.75</v>
      </c>
      <c r="U30" s="1">
        <v>260.9375</v>
      </c>
      <c r="V30" t="s">
        <v>91</v>
      </c>
      <c r="W30" s="43">
        <v>9</v>
      </c>
      <c r="X30">
        <v>55.555555555555557</v>
      </c>
      <c r="Y30">
        <v>6.1728395061728399E-2</v>
      </c>
      <c r="Z30">
        <v>88.888888888888886</v>
      </c>
      <c r="AA30">
        <v>1</v>
      </c>
      <c r="AB30">
        <v>6.0975609756097562</v>
      </c>
      <c r="AC30">
        <v>0.01</v>
      </c>
      <c r="AD30">
        <v>20.731707317073173</v>
      </c>
      <c r="AE30">
        <v>0</v>
      </c>
      <c r="AF30">
        <v>0</v>
      </c>
      <c r="AG30" t="s">
        <v>86</v>
      </c>
      <c r="AH30">
        <v>91.463414634146346</v>
      </c>
      <c r="AI30" s="1">
        <v>4.5131285757302022</v>
      </c>
      <c r="AJ30" s="1">
        <v>4.0253236976814222</v>
      </c>
      <c r="AK30" s="1">
        <v>3.5375188196326408</v>
      </c>
      <c r="AL30" s="1">
        <v>3.5375188196326408</v>
      </c>
      <c r="AM30" s="1">
        <v>3.5375188196326408</v>
      </c>
      <c r="AN30" s="1">
        <v>3.5375188196326408</v>
      </c>
      <c r="AO30" s="1">
        <v>3.5375188196326408</v>
      </c>
      <c r="AP30" s="1">
        <v>3.5375188196326408</v>
      </c>
      <c r="AQ30">
        <v>6</v>
      </c>
      <c r="AR30" t="s">
        <v>108</v>
      </c>
      <c r="AS30">
        <v>1</v>
      </c>
      <c r="AT30">
        <v>7</v>
      </c>
      <c r="AU30">
        <v>315</v>
      </c>
      <c r="AV30">
        <v>0.45</v>
      </c>
      <c r="AW30">
        <v>490</v>
      </c>
      <c r="AX30">
        <v>2</v>
      </c>
      <c r="AY30">
        <v>49</v>
      </c>
      <c r="AZ30">
        <v>0.19</v>
      </c>
      <c r="BA30" s="43" t="str">
        <f t="shared" si="0"/>
        <v>Normal</v>
      </c>
      <c r="BB30" s="46">
        <f>IFERROR((AD30+IF(Calculator_v2!$E$6*Y30&lt;X30,X30,IF(Calculator_v2!$E$6*Y30&gt;Z30,Z30,Calculator_v2!$E$6*Y30))+IF(Calculator_v2!$E$6*AC30&lt;AB30,AB30,Calculator_v2!$E$6*AC30)+IFERROR(_xlfn.LET(_xlpm.tarifa,IF(Calculator_v2!$E$6&lt;=$AI$1,AI30,IF(Calculator_v2!$E$6&lt;=$AK$1,AJ30,IF(Calculator_v2!$E$6&lt;=$AL$1,AK30,IF(Calculator_v2!$E$6&lt;=$AM$1,AL30,IF(Calculator_v2!$E$6&lt;=$AN$1,AM30,IF(Calculator_v2!$E$6&lt;=$AO$1,AN30,IF(Calculator_v2!$E$6&lt;=$AP$1,AO30,AP30))))))),_xlpm.resultado,_xlpm.tarifa*Calculator_v2!$E$6,IF(_xlpm.resultado&lt;AH30,AH30,_xlpm.resultado)),0)+IF(Calculator_v2!$E$6*AV30&lt;AU30,AU30,IF(Calculator_v2!$E$6*AV30&gt;AW30,AW30,Calculator_v2!$E$6*AV30))+IF(Calculator_v2!$E$6*AZ30&lt;=AY30,AY30,Calculator_v2!$E$6*AZ30)),0)</f>
        <v>2604.0759650707619</v>
      </c>
      <c r="BC30" s="47">
        <f>IFERROR(+BB30/Calculator_v2!$E$6,0)+IFERROR(VLOOKUP(A30,DHL_ADDER!$B$4:$E$26,4,0),0)</f>
        <v>8.5187769680249357</v>
      </c>
      <c r="BD30" s="48">
        <f t="shared" si="1"/>
        <v>7</v>
      </c>
      <c r="BE30" s="48">
        <f>+T[[#This Row],[Airport to Destination Transit Time Days]]+T[[#This Row],[Airport to Airport Transit Time Days]]+T[[#This Row],[Origin to Airport Transit Time in days]]</f>
        <v>9</v>
      </c>
    </row>
    <row r="31" spans="1:57" customFormat="1" x14ac:dyDescent="0.35">
      <c r="A31" t="str">
        <f>+T[[#This Row],[Provider_Name]]&amp;"_"&amp;T[[#This Row],[AXIS]]</f>
        <v>DHL_B_CN&gt;ES</v>
      </c>
      <c r="B31" t="s">
        <v>71</v>
      </c>
      <c r="C31" t="s">
        <v>95</v>
      </c>
      <c r="D31" t="s">
        <v>96</v>
      </c>
      <c r="E31" t="s">
        <v>88</v>
      </c>
      <c r="F31" t="s">
        <v>92</v>
      </c>
      <c r="G31" t="s">
        <v>76</v>
      </c>
      <c r="H31" t="s">
        <v>77</v>
      </c>
      <c r="I31" t="s">
        <v>77</v>
      </c>
      <c r="J31">
        <v>200131</v>
      </c>
      <c r="K31" t="s">
        <v>78</v>
      </c>
      <c r="L31" t="s">
        <v>100</v>
      </c>
      <c r="M31" t="s">
        <v>106</v>
      </c>
      <c r="N31" t="s">
        <v>106</v>
      </c>
      <c r="O31">
        <v>48008</v>
      </c>
      <c r="P31" t="s">
        <v>102</v>
      </c>
      <c r="Q31" t="s">
        <v>107</v>
      </c>
      <c r="R31">
        <v>3</v>
      </c>
      <c r="S31">
        <v>1471</v>
      </c>
      <c r="T31">
        <v>1471</v>
      </c>
      <c r="U31" s="1">
        <v>490.33333333333331</v>
      </c>
      <c r="V31" t="s">
        <v>91</v>
      </c>
      <c r="W31" s="43">
        <v>9</v>
      </c>
      <c r="X31">
        <v>55.555555555555557</v>
      </c>
      <c r="Y31">
        <v>6.1728395061728399E-2</v>
      </c>
      <c r="Z31">
        <v>88.888888888888886</v>
      </c>
      <c r="AA31">
        <v>1</v>
      </c>
      <c r="AB31">
        <v>6.0975609756097562</v>
      </c>
      <c r="AC31">
        <v>0.01</v>
      </c>
      <c r="AD31">
        <v>20.731707317073173</v>
      </c>
      <c r="AE31">
        <v>0</v>
      </c>
      <c r="AF31">
        <v>0</v>
      </c>
      <c r="AG31" t="s">
        <v>86</v>
      </c>
      <c r="AH31">
        <v>91.463414634146346</v>
      </c>
      <c r="AI31" s="1">
        <v>4.5131285757302022</v>
      </c>
      <c r="AJ31" s="1">
        <v>4.0253236976814222</v>
      </c>
      <c r="AK31" s="1">
        <v>3.5375188196326408</v>
      </c>
      <c r="AL31" s="1">
        <v>3.5375188196326408</v>
      </c>
      <c r="AM31" s="1">
        <v>3.5375188196326408</v>
      </c>
      <c r="AN31" s="1">
        <v>3.5375188196326408</v>
      </c>
      <c r="AO31" s="1">
        <v>3.5375188196326408</v>
      </c>
      <c r="AP31" s="1">
        <v>3.5375188196326408</v>
      </c>
      <c r="AQ31">
        <v>6</v>
      </c>
      <c r="AR31" t="s">
        <v>108</v>
      </c>
      <c r="AS31">
        <v>1</v>
      </c>
      <c r="AT31">
        <v>7</v>
      </c>
      <c r="AU31">
        <v>315</v>
      </c>
      <c r="AV31">
        <v>0.45</v>
      </c>
      <c r="AW31">
        <v>490</v>
      </c>
      <c r="AX31">
        <v>2</v>
      </c>
      <c r="AY31">
        <v>49</v>
      </c>
      <c r="AZ31">
        <v>0.19</v>
      </c>
      <c r="BA31" s="43" t="str">
        <f t="shared" si="0"/>
        <v>Normal</v>
      </c>
      <c r="BB31" s="46">
        <f>IFERROR((AD31+IF(Calculator_v2!$E$6*Y31&lt;X31,X31,IF(Calculator_v2!$E$6*Y31&gt;Z31,Z31,Calculator_v2!$E$6*Y31))+IF(Calculator_v2!$E$6*AC31&lt;AB31,AB31,Calculator_v2!$E$6*AC31)+IFERROR(_xlfn.LET(_xlpm.tarifa,IF(Calculator_v2!$E$6&lt;=$AI$1,AI31,IF(Calculator_v2!$E$6&lt;=$AK$1,AJ31,IF(Calculator_v2!$E$6&lt;=$AL$1,AK31,IF(Calculator_v2!$E$6&lt;=$AM$1,AL31,IF(Calculator_v2!$E$6&lt;=$AN$1,AM31,IF(Calculator_v2!$E$6&lt;=$AO$1,AN31,IF(Calculator_v2!$E$6&lt;=$AP$1,AO31,AP31))))))),_xlpm.resultado,_xlpm.tarifa*Calculator_v2!$E$6,IF(_xlpm.resultado&lt;AH31,AH31,_xlpm.resultado)),0)+IF(Calculator_v2!$E$6*AV31&lt;AU31,AU31,IF(Calculator_v2!$E$6*AV31&gt;AW31,AW31,Calculator_v2!$E$6*AV31))+IF(Calculator_v2!$E$6*AZ31&lt;=AY31,AY31,Calculator_v2!$E$6*AZ31)),0)</f>
        <v>2604.0759650707619</v>
      </c>
      <c r="BC31" s="47">
        <f>IFERROR(+BB31/Calculator_v2!$E$6,0)+IFERROR(VLOOKUP(A31,DHL_ADDER!$B$4:$E$26,4,0),0)</f>
        <v>8.5187769680249357</v>
      </c>
      <c r="BD31" s="48">
        <f t="shared" si="1"/>
        <v>7</v>
      </c>
      <c r="BE31" s="48">
        <f>+T[[#This Row],[Airport to Destination Transit Time Days]]+T[[#This Row],[Airport to Airport Transit Time Days]]+T[[#This Row],[Origin to Airport Transit Time in days]]</f>
        <v>9</v>
      </c>
    </row>
    <row r="32" spans="1:57" customFormat="1" x14ac:dyDescent="0.35">
      <c r="A32" t="str">
        <f>+T[[#This Row],[Provider_Name]]&amp;"_"&amp;T[[#This Row],[AXIS]]</f>
        <v>DHL_B_CN&gt;PT</v>
      </c>
      <c r="B32" t="s">
        <v>71</v>
      </c>
      <c r="C32" t="s">
        <v>109</v>
      </c>
      <c r="D32" t="s">
        <v>110</v>
      </c>
      <c r="E32" t="s">
        <v>97</v>
      </c>
      <c r="F32" t="s">
        <v>92</v>
      </c>
      <c r="G32" t="s">
        <v>76</v>
      </c>
      <c r="H32" t="s">
        <v>98</v>
      </c>
      <c r="I32" t="s">
        <v>99</v>
      </c>
      <c r="J32">
        <v>214072</v>
      </c>
      <c r="K32" t="s">
        <v>78</v>
      </c>
      <c r="L32" t="s">
        <v>111</v>
      </c>
      <c r="M32" t="s">
        <v>112</v>
      </c>
      <c r="N32" t="s">
        <v>113</v>
      </c>
      <c r="O32" t="s">
        <v>114</v>
      </c>
      <c r="P32" t="s">
        <v>115</v>
      </c>
      <c r="Q32" t="s">
        <v>116</v>
      </c>
      <c r="R32">
        <v>12</v>
      </c>
      <c r="S32">
        <v>3000</v>
      </c>
      <c r="T32">
        <v>3000</v>
      </c>
      <c r="U32" s="1">
        <v>250</v>
      </c>
      <c r="V32" t="s">
        <v>85</v>
      </c>
      <c r="W32" s="43">
        <v>11</v>
      </c>
      <c r="X32">
        <v>67.073170731707322</v>
      </c>
      <c r="Y32">
        <v>9.1463414634146353E-2</v>
      </c>
      <c r="Z32">
        <v>130</v>
      </c>
      <c r="AA32">
        <v>2</v>
      </c>
      <c r="AB32">
        <v>6.0975609756097562</v>
      </c>
      <c r="AC32">
        <v>0.01</v>
      </c>
      <c r="AD32">
        <v>20.731707317073173</v>
      </c>
      <c r="AE32">
        <v>0</v>
      </c>
      <c r="AF32">
        <v>0</v>
      </c>
      <c r="AG32" t="s">
        <v>86</v>
      </c>
      <c r="AH32">
        <v>67.073170731707322</v>
      </c>
      <c r="AI32" s="1">
        <v>4.5101174345076789</v>
      </c>
      <c r="AJ32" s="1">
        <v>4.0223125564588988</v>
      </c>
      <c r="AK32" s="1">
        <v>3.5345076784101179</v>
      </c>
      <c r="AL32" s="1">
        <v>3.5345076784101179</v>
      </c>
      <c r="AM32" s="1">
        <v>3.5345076784101179</v>
      </c>
      <c r="AN32" s="1">
        <v>3.5345076784101179</v>
      </c>
      <c r="AO32" s="1">
        <v>3.5345076784101179</v>
      </c>
      <c r="AP32" s="1">
        <v>3.5345076784101179</v>
      </c>
      <c r="AQ32">
        <v>8</v>
      </c>
      <c r="AR32" t="s">
        <v>108</v>
      </c>
      <c r="AS32">
        <v>2</v>
      </c>
      <c r="AT32">
        <v>7</v>
      </c>
      <c r="AU32">
        <v>78</v>
      </c>
      <c r="AV32">
        <v>0.42</v>
      </c>
      <c r="AW32">
        <v>594</v>
      </c>
      <c r="AX32">
        <v>1</v>
      </c>
      <c r="AY32">
        <v>30</v>
      </c>
      <c r="AZ32">
        <v>0.34799999999999998</v>
      </c>
      <c r="BA32" s="43" t="str">
        <f t="shared" si="0"/>
        <v>Economy</v>
      </c>
      <c r="BB32" s="46">
        <f>IFERROR((AD32+IF(Calculator_v2!$E$6*Y32&lt;X32,X32,IF(Calculator_v2!$E$6*Y32&gt;Z32,Z32,Calculator_v2!$E$6*Y32))+IF(Calculator_v2!$E$6*AC32&lt;AB32,AB32,Calculator_v2!$E$6*AC32)+IFERROR(_xlfn.LET(_xlpm.tarifa,IF(Calculator_v2!$E$6&lt;=$AI$1,AI32,IF(Calculator_v2!$E$6&lt;=$AK$1,AJ32,IF(Calculator_v2!$E$6&lt;=$AL$1,AK32,IF(Calculator_v2!$E$6&lt;=$AM$1,AL32,IF(Calculator_v2!$E$6&lt;=$AN$1,AM32,IF(Calculator_v2!$E$6&lt;=$AO$1,AN32,IF(Calculator_v2!$E$6&lt;=$AP$1,AO32,AP32))))))),_xlpm.resultado,_xlpm.tarifa*Calculator_v2!$E$6,IF(_xlpm.resultado&lt;AH32,AH32,_xlpm.resultado)),0)+IF(Calculator_v2!$E$6*AV32&lt;AU32,AU32,IF(Calculator_v2!$E$6*AV32&gt;AW32,AW32,Calculator_v2!$E$6*AV32))+IF(Calculator_v2!$E$6*AZ32&lt;=AY32,AY32,Calculator_v2!$E$6*AZ32)),0)</f>
        <v>2640.9869846431802</v>
      </c>
      <c r="BC32" s="47">
        <f>IFERROR(+BB32/Calculator_v2!$E$6,0)+IFERROR(VLOOKUP(A32,DHL_ADDER!$B$4:$E$26,4,0),0)</f>
        <v>8.5811266632486145</v>
      </c>
      <c r="BD32" s="48">
        <f t="shared" si="1"/>
        <v>7</v>
      </c>
      <c r="BE32" s="48">
        <f>+T[[#This Row],[Airport to Destination Transit Time Days]]+T[[#This Row],[Airport to Airport Transit Time Days]]+T[[#This Row],[Origin to Airport Transit Time in days]]</f>
        <v>11</v>
      </c>
    </row>
    <row r="33" spans="1:57" customFormat="1" x14ac:dyDescent="0.35">
      <c r="A33" t="str">
        <f>+T[[#This Row],[Provider_Name]]&amp;"_"&amp;T[[#This Row],[AXIS]]</f>
        <v>DHL_B_CN&gt;PT</v>
      </c>
      <c r="B33" t="s">
        <v>71</v>
      </c>
      <c r="C33" t="s">
        <v>109</v>
      </c>
      <c r="D33" t="s">
        <v>110</v>
      </c>
      <c r="E33" t="s">
        <v>97</v>
      </c>
      <c r="F33" t="s">
        <v>92</v>
      </c>
      <c r="G33" t="s">
        <v>76</v>
      </c>
      <c r="H33" t="s">
        <v>98</v>
      </c>
      <c r="I33" t="s">
        <v>99</v>
      </c>
      <c r="J33">
        <v>214072</v>
      </c>
      <c r="K33" t="s">
        <v>78</v>
      </c>
      <c r="L33" t="s">
        <v>111</v>
      </c>
      <c r="M33" t="s">
        <v>112</v>
      </c>
      <c r="N33" t="s">
        <v>113</v>
      </c>
      <c r="O33" t="s">
        <v>114</v>
      </c>
      <c r="P33" t="s">
        <v>115</v>
      </c>
      <c r="Q33" t="s">
        <v>116</v>
      </c>
      <c r="R33">
        <v>12</v>
      </c>
      <c r="S33">
        <v>3000</v>
      </c>
      <c r="T33">
        <v>3000</v>
      </c>
      <c r="U33" s="1">
        <v>250</v>
      </c>
      <c r="V33" t="s">
        <v>90</v>
      </c>
      <c r="W33" s="43">
        <v>8</v>
      </c>
      <c r="X33">
        <v>67.073170731707322</v>
      </c>
      <c r="Y33">
        <v>9.1463414634146353E-2</v>
      </c>
      <c r="Z33">
        <v>130</v>
      </c>
      <c r="AA33">
        <v>2</v>
      </c>
      <c r="AB33">
        <v>6.0975609756097562</v>
      </c>
      <c r="AC33">
        <v>0.01</v>
      </c>
      <c r="AD33">
        <v>20.731707317073173</v>
      </c>
      <c r="AE33">
        <v>0</v>
      </c>
      <c r="AF33">
        <v>0</v>
      </c>
      <c r="AG33" t="s">
        <v>86</v>
      </c>
      <c r="AH33">
        <v>115.85365853658537</v>
      </c>
      <c r="AI33" s="1">
        <v>5.119873532068655</v>
      </c>
      <c r="AJ33" s="1">
        <v>4.6320686540198741</v>
      </c>
      <c r="AK33" s="1">
        <v>4.1442637759710932</v>
      </c>
      <c r="AL33" s="1">
        <v>4.1442637759710932</v>
      </c>
      <c r="AM33" s="1">
        <v>4.1442637759710932</v>
      </c>
      <c r="AN33" s="1">
        <v>4.1442637759710932</v>
      </c>
      <c r="AO33" s="1">
        <v>4.1442637759710932</v>
      </c>
      <c r="AP33" s="1">
        <v>4.1442637759710932</v>
      </c>
      <c r="AQ33">
        <v>5</v>
      </c>
      <c r="AR33" t="s">
        <v>108</v>
      </c>
      <c r="AS33">
        <v>1</v>
      </c>
      <c r="AT33">
        <v>7</v>
      </c>
      <c r="AU33">
        <v>65</v>
      </c>
      <c r="AV33">
        <v>0.35</v>
      </c>
      <c r="AW33">
        <v>495</v>
      </c>
      <c r="AX33">
        <v>1</v>
      </c>
      <c r="AY33">
        <v>25</v>
      </c>
      <c r="AZ33">
        <v>0.28999999999999998</v>
      </c>
      <c r="BA33" s="43" t="str">
        <f t="shared" si="0"/>
        <v>Express</v>
      </c>
      <c r="BB33" s="46">
        <f>IFERROR((AD33+IF(Calculator_v2!$E$6*Y33&lt;X33,X33,IF(Calculator_v2!$E$6*Y33&gt;Z33,Z33,Calculator_v2!$E$6*Y33))+IF(Calculator_v2!$E$6*AC33&lt;AB33,AB33,Calculator_v2!$E$6*AC33)+IFERROR(_xlfn.LET(_xlpm.tarifa,IF(Calculator_v2!$E$6&lt;=$AI$1,AI33,IF(Calculator_v2!$E$6&lt;=$AK$1,AJ33,IF(Calculator_v2!$E$6&lt;=$AL$1,AK33,IF(Calculator_v2!$E$6&lt;=$AM$1,AL33,IF(Calculator_v2!$E$6&lt;=$AN$1,AM33,IF(Calculator_v2!$E$6&lt;=$AO$1,AN33,IF(Calculator_v2!$E$6&lt;=$AP$1,AO33,AP33))))))),_xlpm.resultado,_xlpm.tarifa*Calculator_v2!$E$6,IF(_xlpm.resultado&lt;AH33,AH33,_xlpm.resultado)),0)+IF(Calculator_v2!$E$6*AV33&lt;AU33,AU33,IF(Calculator_v2!$E$6*AV33&gt;AW33,AW33,Calculator_v2!$E$6*AV33))+IF(Calculator_v2!$E$6*AZ33&lt;=AY33,AY33,Calculator_v2!$E$6*AZ33)),0)</f>
        <v>2926.1865943992771</v>
      </c>
      <c r="BC33" s="47">
        <f>IFERROR(+BB33/Calculator_v2!$E$6,0)+IFERROR(VLOOKUP(A33,DHL_ADDER!$B$4:$E$26,4,0),0)</f>
        <v>9.0628827608095897</v>
      </c>
      <c r="BD33" s="48">
        <f t="shared" si="1"/>
        <v>7</v>
      </c>
      <c r="BE33" s="48">
        <f>+T[[#This Row],[Airport to Destination Transit Time Days]]+T[[#This Row],[Airport to Airport Transit Time Days]]+T[[#This Row],[Origin to Airport Transit Time in days]]</f>
        <v>8</v>
      </c>
    </row>
    <row r="34" spans="1:57" customFormat="1" x14ac:dyDescent="0.35">
      <c r="A34" t="str">
        <f>+T[[#This Row],[Provider_Name]]&amp;"_"&amp;T[[#This Row],[AXIS]]</f>
        <v>DHL_B_CN&gt;PT</v>
      </c>
      <c r="B34" t="s">
        <v>71</v>
      </c>
      <c r="C34" t="s">
        <v>109</v>
      </c>
      <c r="D34" t="s">
        <v>110</v>
      </c>
      <c r="E34" t="s">
        <v>97</v>
      </c>
      <c r="F34" t="s">
        <v>92</v>
      </c>
      <c r="G34" t="s">
        <v>76</v>
      </c>
      <c r="H34" t="s">
        <v>98</v>
      </c>
      <c r="I34" t="s">
        <v>99</v>
      </c>
      <c r="J34">
        <v>214072</v>
      </c>
      <c r="K34" t="s">
        <v>78</v>
      </c>
      <c r="L34" t="s">
        <v>111</v>
      </c>
      <c r="M34" t="s">
        <v>112</v>
      </c>
      <c r="N34" t="s">
        <v>113</v>
      </c>
      <c r="O34" t="s">
        <v>114</v>
      </c>
      <c r="P34" t="s">
        <v>115</v>
      </c>
      <c r="Q34" t="s">
        <v>116</v>
      </c>
      <c r="R34">
        <v>12</v>
      </c>
      <c r="S34">
        <v>3000</v>
      </c>
      <c r="T34">
        <v>3000</v>
      </c>
      <c r="U34" s="1">
        <v>250</v>
      </c>
      <c r="V34" t="s">
        <v>91</v>
      </c>
      <c r="W34" s="43">
        <v>10</v>
      </c>
      <c r="X34">
        <v>67.073170731707322</v>
      </c>
      <c r="Y34">
        <v>9.1463414634146353E-2</v>
      </c>
      <c r="Z34">
        <v>130</v>
      </c>
      <c r="AA34">
        <v>2</v>
      </c>
      <c r="AB34">
        <v>6.0975609756097562</v>
      </c>
      <c r="AC34">
        <v>0.01</v>
      </c>
      <c r="AD34">
        <v>20.731707317073173</v>
      </c>
      <c r="AE34">
        <v>0</v>
      </c>
      <c r="AF34">
        <v>0</v>
      </c>
      <c r="AG34" t="s">
        <v>86</v>
      </c>
      <c r="AH34">
        <v>91.463414634146346</v>
      </c>
      <c r="AI34" s="1">
        <v>4.7540198735320693</v>
      </c>
      <c r="AJ34" s="1">
        <v>4.2662149954832884</v>
      </c>
      <c r="AK34" s="1">
        <v>3.7784101174345088</v>
      </c>
      <c r="AL34" s="1">
        <v>3.7784101174345088</v>
      </c>
      <c r="AM34" s="1">
        <v>3.7784101174345088</v>
      </c>
      <c r="AN34" s="1">
        <v>3.7784101174345088</v>
      </c>
      <c r="AO34" s="1">
        <v>3.7784101174345088</v>
      </c>
      <c r="AP34" s="1">
        <v>3.7784101174345088</v>
      </c>
      <c r="AQ34">
        <v>7</v>
      </c>
      <c r="AR34" t="s">
        <v>108</v>
      </c>
      <c r="AS34">
        <v>2</v>
      </c>
      <c r="AT34">
        <v>7</v>
      </c>
      <c r="AU34">
        <v>78</v>
      </c>
      <c r="AV34">
        <v>0.42</v>
      </c>
      <c r="AW34">
        <v>594</v>
      </c>
      <c r="AX34">
        <v>1</v>
      </c>
      <c r="AY34">
        <v>30</v>
      </c>
      <c r="AZ34">
        <v>0.34799999999999998</v>
      </c>
      <c r="BA34" s="43" t="str">
        <f t="shared" si="0"/>
        <v>Normal</v>
      </c>
      <c r="BB34" s="46">
        <f>IFERROR((AD34+IF(Calculator_v2!$E$6*Y34&lt;X34,X34,IF(Calculator_v2!$E$6*Y34&gt;Z34,Z34,Calculator_v2!$E$6*Y34))+IF(Calculator_v2!$E$6*AC34&lt;AB34,AB34,Calculator_v2!$E$6*AC34)+IFERROR(_xlfn.LET(_xlpm.tarifa,IF(Calculator_v2!$E$6&lt;=$AI$1,AI34,IF(Calculator_v2!$E$6&lt;=$AK$1,AJ34,IF(Calculator_v2!$E$6&lt;=$AL$1,AK34,IF(Calculator_v2!$E$6&lt;=$AM$1,AL34,IF(Calculator_v2!$E$6&lt;=$AN$1,AM34,IF(Calculator_v2!$E$6&lt;=$AO$1,AN34,IF(Calculator_v2!$E$6&lt;=$AP$1,AO34,AP34))))))),_xlpm.resultado,_xlpm.tarifa*Calculator_v2!$E$6,IF(_xlpm.resultado&lt;AH34,AH34,_xlpm.resultado)),0)+IF(Calculator_v2!$E$6*AV34&lt;AU34,AU34,IF(Calculator_v2!$E$6*AV34&gt;AW34,AW34,Calculator_v2!$E$6*AV34))+IF(Calculator_v2!$E$6*AZ34&lt;=AY34,AY34,Calculator_v2!$E$6*AZ34)),0)</f>
        <v>2785.3772285456193</v>
      </c>
      <c r="BC34" s="47">
        <f>IFERROR(+BB34/Calculator_v2!$E$6,0)+IFERROR(VLOOKUP(A34,DHL_ADDER!$B$4:$E$26,4,0),0)</f>
        <v>8.8250291022730067</v>
      </c>
      <c r="BD34" s="48">
        <f t="shared" si="1"/>
        <v>7</v>
      </c>
      <c r="BE34" s="48">
        <f>+T[[#This Row],[Airport to Destination Transit Time Days]]+T[[#This Row],[Airport to Airport Transit Time Days]]+T[[#This Row],[Origin to Airport Transit Time in days]]</f>
        <v>10</v>
      </c>
    </row>
    <row r="35" spans="1:57" customFormat="1" x14ac:dyDescent="0.35">
      <c r="A35" t="str">
        <f>+T[[#This Row],[Provider_Name]]&amp;"_"&amp;T[[#This Row],[AXIS]]</f>
        <v>DHL_B_CN&gt;RO</v>
      </c>
      <c r="B35" t="s">
        <v>71</v>
      </c>
      <c r="C35" t="s">
        <v>117</v>
      </c>
      <c r="D35" t="s">
        <v>118</v>
      </c>
      <c r="E35" t="s">
        <v>88</v>
      </c>
      <c r="F35" t="s">
        <v>92</v>
      </c>
      <c r="G35" t="s">
        <v>76</v>
      </c>
      <c r="H35" t="s">
        <v>77</v>
      </c>
      <c r="I35" t="s">
        <v>77</v>
      </c>
      <c r="J35">
        <v>200131</v>
      </c>
      <c r="K35" t="s">
        <v>78</v>
      </c>
      <c r="L35" t="s">
        <v>119</v>
      </c>
      <c r="M35" t="s">
        <v>120</v>
      </c>
      <c r="N35" t="s">
        <v>121</v>
      </c>
      <c r="O35">
        <v>115400</v>
      </c>
      <c r="P35" t="s">
        <v>122</v>
      </c>
      <c r="Q35" t="s">
        <v>116</v>
      </c>
      <c r="R35">
        <v>1</v>
      </c>
      <c r="S35">
        <v>492</v>
      </c>
      <c r="T35">
        <v>492</v>
      </c>
      <c r="U35" s="1">
        <v>492</v>
      </c>
      <c r="V35" t="s">
        <v>85</v>
      </c>
      <c r="W35" s="43">
        <v>10</v>
      </c>
      <c r="X35">
        <v>55.555555555555557</v>
      </c>
      <c r="Y35">
        <v>6.1728395061728399E-2</v>
      </c>
      <c r="Z35">
        <v>88.888888888888886</v>
      </c>
      <c r="AA35">
        <v>1</v>
      </c>
      <c r="AB35">
        <v>6.0975609756097562</v>
      </c>
      <c r="AC35">
        <v>0.01</v>
      </c>
      <c r="AD35">
        <v>20.731707317073173</v>
      </c>
      <c r="AE35">
        <v>0</v>
      </c>
      <c r="AF35">
        <v>0</v>
      </c>
      <c r="AG35" t="s">
        <v>86</v>
      </c>
      <c r="AH35">
        <v>67.073170731707322</v>
      </c>
      <c r="AI35" s="1">
        <v>3.9024691358024697</v>
      </c>
      <c r="AJ35" s="1">
        <v>3.4086419753086421</v>
      </c>
      <c r="AK35" s="1">
        <v>2.914814814814815</v>
      </c>
      <c r="AL35" s="1">
        <v>2.914814814814815</v>
      </c>
      <c r="AM35" s="1">
        <v>2.914814814814815</v>
      </c>
      <c r="AN35" s="1">
        <v>2.914814814814815</v>
      </c>
      <c r="AO35" s="1">
        <v>2.914814814814815</v>
      </c>
      <c r="AP35" s="1">
        <v>2.914814814814815</v>
      </c>
      <c r="AQ35">
        <v>8</v>
      </c>
      <c r="AR35" t="s">
        <v>123</v>
      </c>
      <c r="AS35">
        <v>2</v>
      </c>
      <c r="AT35">
        <v>7</v>
      </c>
      <c r="AU35">
        <v>110</v>
      </c>
      <c r="AV35">
        <v>0.2</v>
      </c>
      <c r="AW35">
        <v>300</v>
      </c>
      <c r="AX35">
        <v>1</v>
      </c>
      <c r="AY35">
        <v>19</v>
      </c>
      <c r="AZ35">
        <v>0.19</v>
      </c>
      <c r="BA35" s="43" t="str">
        <f t="shared" si="0"/>
        <v>Economy</v>
      </c>
      <c r="BB35" s="46">
        <f>IFERROR((AD35+IF(Calculator_v2!$E$6*Y35&lt;X35,X35,IF(Calculator_v2!$E$6*Y35&gt;Z35,Z35,Calculator_v2!$E$6*Y35))+IF(Calculator_v2!$E$6*AC35&lt;AB35,AB35,Calculator_v2!$E$6*AC35)+IFERROR(_xlfn.LET(_xlpm.tarifa,IF(Calculator_v2!$E$6&lt;=$AI$1,AI35,IF(Calculator_v2!$E$6&lt;=$AK$1,AJ35,IF(Calculator_v2!$E$6&lt;=$AL$1,AK35,IF(Calculator_v2!$E$6&lt;=$AM$1,AL35,IF(Calculator_v2!$E$6&lt;=$AN$1,AM35,IF(Calculator_v2!$E$6&lt;=$AO$1,AN35,IF(Calculator_v2!$E$6&lt;=$AP$1,AO35,AP35))))))),_xlpm.resultado,_xlpm.tarifa*Calculator_v2!$E$6,IF(_xlpm.resultado&lt;AH35,AH35,_xlpm.resultado)),0)+IF(Calculator_v2!$E$6*AV35&lt;AU35,AU35,IF(Calculator_v2!$E$6*AV35&gt;AW35,AW35,Calculator_v2!$E$6*AV35))+IF(Calculator_v2!$E$6*AZ35&lt;=AY35,AY35,Calculator_v2!$E$6*AZ35)),0)</f>
        <v>2038.8351942186091</v>
      </c>
      <c r="BC35" s="47">
        <f>IFERROR(+BB35/Calculator_v2!$E$6,0)+IFERROR(VLOOKUP(A35,DHL_ADDER!$B$4:$E$26,4,0),0)</f>
        <v>7.5639783686125153</v>
      </c>
      <c r="BD35" s="48">
        <f t="shared" si="1"/>
        <v>7</v>
      </c>
      <c r="BE35" s="48">
        <f>+T[[#This Row],[Airport to Destination Transit Time Days]]+T[[#This Row],[Airport to Airport Transit Time Days]]+T[[#This Row],[Origin to Airport Transit Time in days]]</f>
        <v>10</v>
      </c>
    </row>
    <row r="36" spans="1:57" customFormat="1" x14ac:dyDescent="0.35">
      <c r="A36" t="str">
        <f>+T[[#This Row],[Provider_Name]]&amp;"_"&amp;T[[#This Row],[AXIS]]</f>
        <v>DHL_B_CN&gt;RO</v>
      </c>
      <c r="B36" t="s">
        <v>71</v>
      </c>
      <c r="C36" t="s">
        <v>117</v>
      </c>
      <c r="D36" t="s">
        <v>118</v>
      </c>
      <c r="E36" t="s">
        <v>88</v>
      </c>
      <c r="F36" t="s">
        <v>92</v>
      </c>
      <c r="G36" t="s">
        <v>76</v>
      </c>
      <c r="H36" t="s">
        <v>77</v>
      </c>
      <c r="I36" t="s">
        <v>77</v>
      </c>
      <c r="J36">
        <v>200131</v>
      </c>
      <c r="K36" t="s">
        <v>78</v>
      </c>
      <c r="L36" t="s">
        <v>119</v>
      </c>
      <c r="M36" t="s">
        <v>120</v>
      </c>
      <c r="N36" t="s">
        <v>121</v>
      </c>
      <c r="O36">
        <v>115400</v>
      </c>
      <c r="P36" t="s">
        <v>122</v>
      </c>
      <c r="Q36" t="s">
        <v>116</v>
      </c>
      <c r="R36">
        <v>1</v>
      </c>
      <c r="S36">
        <v>492</v>
      </c>
      <c r="T36">
        <v>492</v>
      </c>
      <c r="U36" s="1">
        <v>492</v>
      </c>
      <c r="V36" t="s">
        <v>90</v>
      </c>
      <c r="W36" s="43">
        <v>7</v>
      </c>
      <c r="X36">
        <v>55.555555555555557</v>
      </c>
      <c r="Y36">
        <v>6.1728395061728399E-2</v>
      </c>
      <c r="Z36">
        <v>88.888888888888886</v>
      </c>
      <c r="AA36">
        <v>1</v>
      </c>
      <c r="AB36">
        <v>6.0975609756097562</v>
      </c>
      <c r="AC36">
        <v>0.01</v>
      </c>
      <c r="AD36">
        <v>20.731707317073173</v>
      </c>
      <c r="AE36">
        <v>0</v>
      </c>
      <c r="AF36">
        <v>0</v>
      </c>
      <c r="AG36" t="s">
        <v>86</v>
      </c>
      <c r="AH36">
        <v>115.85365853658537</v>
      </c>
      <c r="AI36" s="1">
        <v>4.5197530864197528</v>
      </c>
      <c r="AJ36" s="1">
        <v>4.0259259259259261</v>
      </c>
      <c r="AK36" s="1">
        <v>3.532098765432099</v>
      </c>
      <c r="AL36" s="1">
        <v>3.532098765432099</v>
      </c>
      <c r="AM36" s="1">
        <v>3.532098765432099</v>
      </c>
      <c r="AN36" s="1">
        <v>3.532098765432099</v>
      </c>
      <c r="AO36" s="1">
        <v>3.532098765432099</v>
      </c>
      <c r="AP36" s="1">
        <v>3.532098765432099</v>
      </c>
      <c r="AQ36">
        <v>5</v>
      </c>
      <c r="AR36" t="s">
        <v>123</v>
      </c>
      <c r="AS36">
        <v>1</v>
      </c>
      <c r="AT36">
        <v>7</v>
      </c>
      <c r="AU36">
        <v>110</v>
      </c>
      <c r="AV36">
        <v>0.2</v>
      </c>
      <c r="AW36">
        <v>300</v>
      </c>
      <c r="AX36">
        <v>1</v>
      </c>
      <c r="AY36">
        <v>19</v>
      </c>
      <c r="AZ36">
        <v>0.19</v>
      </c>
      <c r="BA36" s="43" t="str">
        <f t="shared" si="0"/>
        <v>Express</v>
      </c>
      <c r="BB36" s="46">
        <f>IFERROR((AD36+IF(Calculator_v2!$E$6*Y36&lt;X36,X36,IF(Calculator_v2!$E$6*Y36&gt;Z36,Z36,Calculator_v2!$E$6*Y36))+IF(Calculator_v2!$E$6*AC36&lt;AB36,AB36,Calculator_v2!$E$6*AC36)+IFERROR(_xlfn.LET(_xlpm.tarifa,IF(Calculator_v2!$E$6&lt;=$AI$1,AI36,IF(Calculator_v2!$E$6&lt;=$AK$1,AJ36,IF(Calculator_v2!$E$6&lt;=$AL$1,AK36,IF(Calculator_v2!$E$6&lt;=$AM$1,AL36,IF(Calculator_v2!$E$6&lt;=$AN$1,AM36,IF(Calculator_v2!$E$6&lt;=$AO$1,AN36,IF(Calculator_v2!$E$6&lt;=$AP$1,AO36,AP36))))))),_xlpm.resultado,_xlpm.tarifa*Calculator_v2!$E$6,IF(_xlpm.resultado&lt;AH36,AH36,_xlpm.resultado)),0)+IF(Calculator_v2!$E$6*AV36&lt;AU36,AU36,IF(Calculator_v2!$E$6*AV36&gt;AW36,AW36,Calculator_v2!$E$6*AV36))+IF(Calculator_v2!$E$6*AZ36&lt;=AY36,AY36,Calculator_v2!$E$6*AZ36)),0)</f>
        <v>2404.267292984041</v>
      </c>
      <c r="BC36" s="47">
        <f>IFERROR(+BB36/Calculator_v2!$E$6,0)+IFERROR(VLOOKUP(A36,DHL_ADDER!$B$4:$E$26,4,0),0)</f>
        <v>8.1812623192297984</v>
      </c>
      <c r="BD36" s="48">
        <f t="shared" si="1"/>
        <v>7</v>
      </c>
      <c r="BE36" s="48">
        <f>+T[[#This Row],[Airport to Destination Transit Time Days]]+T[[#This Row],[Airport to Airport Transit Time Days]]+T[[#This Row],[Origin to Airport Transit Time in days]]</f>
        <v>7</v>
      </c>
    </row>
    <row r="37" spans="1:57" customFormat="1" x14ac:dyDescent="0.35">
      <c r="A37" t="str">
        <f>+T[[#This Row],[Provider_Name]]&amp;"_"&amp;T[[#This Row],[AXIS]]</f>
        <v>DHL_B_CN&gt;RO</v>
      </c>
      <c r="B37" t="s">
        <v>71</v>
      </c>
      <c r="C37" t="s">
        <v>117</v>
      </c>
      <c r="D37" t="s">
        <v>118</v>
      </c>
      <c r="E37" t="s">
        <v>88</v>
      </c>
      <c r="F37" t="s">
        <v>92</v>
      </c>
      <c r="G37" t="s">
        <v>76</v>
      </c>
      <c r="H37" t="s">
        <v>77</v>
      </c>
      <c r="I37" t="s">
        <v>77</v>
      </c>
      <c r="J37">
        <v>200131</v>
      </c>
      <c r="K37" t="s">
        <v>78</v>
      </c>
      <c r="L37" t="s">
        <v>119</v>
      </c>
      <c r="M37" t="s">
        <v>120</v>
      </c>
      <c r="N37" t="s">
        <v>121</v>
      </c>
      <c r="O37">
        <v>115400</v>
      </c>
      <c r="P37" t="s">
        <v>122</v>
      </c>
      <c r="Q37" t="s">
        <v>116</v>
      </c>
      <c r="R37">
        <v>1</v>
      </c>
      <c r="S37">
        <v>492</v>
      </c>
      <c r="T37">
        <v>492</v>
      </c>
      <c r="U37" s="1">
        <v>492</v>
      </c>
      <c r="V37" t="s">
        <v>91</v>
      </c>
      <c r="W37" s="43">
        <v>9</v>
      </c>
      <c r="X37">
        <v>55.555555555555557</v>
      </c>
      <c r="Y37">
        <v>6.1728395061728399E-2</v>
      </c>
      <c r="Z37">
        <v>88.888888888888886</v>
      </c>
      <c r="AA37">
        <v>1</v>
      </c>
      <c r="AB37">
        <v>6.0975609756097562</v>
      </c>
      <c r="AC37">
        <v>0.01</v>
      </c>
      <c r="AD37">
        <v>20.731707317073173</v>
      </c>
      <c r="AE37">
        <v>0</v>
      </c>
      <c r="AF37">
        <v>0</v>
      </c>
      <c r="AG37" t="s">
        <v>86</v>
      </c>
      <c r="AH37">
        <v>91.463414634146346</v>
      </c>
      <c r="AI37" s="1">
        <v>4.1493827160493826</v>
      </c>
      <c r="AJ37" s="1">
        <v>3.6555555555555559</v>
      </c>
      <c r="AK37" s="1">
        <v>3.1617283950617288</v>
      </c>
      <c r="AL37" s="1">
        <v>3.1617283950617288</v>
      </c>
      <c r="AM37" s="1">
        <v>3.1617283950617288</v>
      </c>
      <c r="AN37" s="1">
        <v>3.1617283950617288</v>
      </c>
      <c r="AO37" s="1">
        <v>3.1617283950617288</v>
      </c>
      <c r="AP37" s="1">
        <v>3.1617283950617288</v>
      </c>
      <c r="AQ37">
        <v>7</v>
      </c>
      <c r="AR37" t="s">
        <v>123</v>
      </c>
      <c r="AS37">
        <v>2</v>
      </c>
      <c r="AT37">
        <v>7</v>
      </c>
      <c r="AU37">
        <v>110</v>
      </c>
      <c r="AV37">
        <v>0.2</v>
      </c>
      <c r="AW37">
        <v>300</v>
      </c>
      <c r="AX37">
        <v>1</v>
      </c>
      <c r="AY37">
        <v>19</v>
      </c>
      <c r="AZ37">
        <v>0.19</v>
      </c>
      <c r="BA37" s="43" t="str">
        <f t="shared" si="0"/>
        <v>Normal</v>
      </c>
      <c r="BB37" s="46">
        <f>IFERROR((AD37+IF(Calculator_v2!$E$6*Y37&lt;X37,X37,IF(Calculator_v2!$E$6*Y37&gt;Z37,Z37,Calculator_v2!$E$6*Y37))+IF(Calculator_v2!$E$6*AC37&lt;AB37,AB37,Calculator_v2!$E$6*AC37)+IFERROR(_xlfn.LET(_xlpm.tarifa,IF(Calculator_v2!$E$6&lt;=$AI$1,AI37,IF(Calculator_v2!$E$6&lt;=$AK$1,AJ37,IF(Calculator_v2!$E$6&lt;=$AL$1,AK37,IF(Calculator_v2!$E$6&lt;=$AM$1,AL37,IF(Calculator_v2!$E$6&lt;=$AN$1,AM37,IF(Calculator_v2!$E$6&lt;=$AO$1,AN37,IF(Calculator_v2!$E$6&lt;=$AP$1,AO37,AP37))))))),_xlpm.resultado,_xlpm.tarifa*Calculator_v2!$E$6,IF(_xlpm.resultado&lt;AH37,AH37,_xlpm.resultado)),0)+IF(Calculator_v2!$E$6*AV37&lt;AU37,AU37,IF(Calculator_v2!$E$6*AV37&gt;AW37,AW37,Calculator_v2!$E$6*AV37))+IF(Calculator_v2!$E$6*AZ37&lt;=AY37,AY37,Calculator_v2!$E$6*AZ37)),0)</f>
        <v>2185.0080337247819</v>
      </c>
      <c r="BC37" s="47">
        <f>IFERROR(+BB37/Calculator_v2!$E$6,0)+IFERROR(VLOOKUP(A37,DHL_ADDER!$B$4:$E$26,4,0),0)</f>
        <v>7.8108919488594291</v>
      </c>
      <c r="BD37" s="48">
        <f t="shared" si="1"/>
        <v>7</v>
      </c>
      <c r="BE37" s="48">
        <f>+T[[#This Row],[Airport to Destination Transit Time Days]]+T[[#This Row],[Airport to Airport Transit Time Days]]+T[[#This Row],[Origin to Airport Transit Time in days]]</f>
        <v>9</v>
      </c>
    </row>
    <row r="38" spans="1:57" customFormat="1" x14ac:dyDescent="0.35">
      <c r="A38" t="str">
        <f>+T[[#This Row],[Provider_Name]]&amp;"_"&amp;T[[#This Row],[AXIS]]</f>
        <v>DHL_B_CN&gt;TR</v>
      </c>
      <c r="B38" t="s">
        <v>71</v>
      </c>
      <c r="C38" t="s">
        <v>124</v>
      </c>
      <c r="D38" t="s">
        <v>125</v>
      </c>
      <c r="E38" t="s">
        <v>74</v>
      </c>
      <c r="F38" t="s">
        <v>92</v>
      </c>
      <c r="G38" t="s">
        <v>76</v>
      </c>
      <c r="H38" t="s">
        <v>77</v>
      </c>
      <c r="I38" t="s">
        <v>77</v>
      </c>
      <c r="J38">
        <v>200131</v>
      </c>
      <c r="K38" t="s">
        <v>78</v>
      </c>
      <c r="L38" t="s">
        <v>126</v>
      </c>
      <c r="M38" t="s">
        <v>127</v>
      </c>
      <c r="N38" t="s">
        <v>128</v>
      </c>
      <c r="O38">
        <v>34771</v>
      </c>
      <c r="P38" t="s">
        <v>129</v>
      </c>
      <c r="Q38" t="s">
        <v>130</v>
      </c>
      <c r="R38">
        <v>8</v>
      </c>
      <c r="S38">
        <v>4944</v>
      </c>
      <c r="T38">
        <v>6954</v>
      </c>
      <c r="U38" s="1">
        <v>869.25</v>
      </c>
      <c r="V38" t="s">
        <v>85</v>
      </c>
      <c r="W38" s="43">
        <v>9</v>
      </c>
      <c r="X38">
        <v>55.555555555555557</v>
      </c>
      <c r="Y38">
        <v>6.1728395061728399E-2</v>
      </c>
      <c r="Z38">
        <v>88.888888888888886</v>
      </c>
      <c r="AA38">
        <v>1</v>
      </c>
      <c r="AB38">
        <v>6.0975609756097562</v>
      </c>
      <c r="AC38">
        <v>0.01</v>
      </c>
      <c r="AD38">
        <v>20.731707317073173</v>
      </c>
      <c r="AE38">
        <v>0</v>
      </c>
      <c r="AF38">
        <v>0</v>
      </c>
      <c r="AG38" t="s">
        <v>86</v>
      </c>
      <c r="AH38">
        <v>98.76543209876543</v>
      </c>
      <c r="AI38" s="1">
        <v>4.3962962962962955</v>
      </c>
      <c r="AJ38" s="1">
        <v>3.9024691358024697</v>
      </c>
      <c r="AK38" s="1">
        <v>3.4086419753086421</v>
      </c>
      <c r="AL38" s="1">
        <v>3.4086419753086421</v>
      </c>
      <c r="AM38" s="1">
        <v>3.4086419753086421</v>
      </c>
      <c r="AN38" s="1">
        <v>3.4086419753086421</v>
      </c>
      <c r="AO38" s="1">
        <v>3.4086419753086421</v>
      </c>
      <c r="AP38" s="1">
        <v>3.4086419753086421</v>
      </c>
      <c r="AQ38">
        <v>7</v>
      </c>
      <c r="AR38" t="s">
        <v>131</v>
      </c>
      <c r="AS38">
        <v>2</v>
      </c>
      <c r="AT38">
        <v>7</v>
      </c>
      <c r="AU38">
        <v>495</v>
      </c>
      <c r="AV38">
        <v>0.49</v>
      </c>
      <c r="AW38">
        <v>750</v>
      </c>
      <c r="AX38">
        <v>1</v>
      </c>
      <c r="AY38">
        <v>85</v>
      </c>
      <c r="AZ38">
        <v>0.04</v>
      </c>
      <c r="BA38" s="43" t="str">
        <f t="shared" si="0"/>
        <v>Economy</v>
      </c>
      <c r="BB38" s="46">
        <f>IFERROR((AD38+IF(Calculator_v2!$E$6*Y38&lt;X38,X38,IF(Calculator_v2!$E$6*Y38&gt;Z38,Z38,Calculator_v2!$E$6*Y38))+IF(Calculator_v2!$E$6*AC38&lt;AB38,AB38,Calculator_v2!$E$6*AC38)+IFERROR(_xlfn.LET(_xlpm.tarifa,IF(Calculator_v2!$E$6&lt;=$AI$1,AI38,IF(Calculator_v2!$E$6&lt;=$AK$1,AJ38,IF(Calculator_v2!$E$6&lt;=$AL$1,AK38,IF(Calculator_v2!$E$6&lt;=$AM$1,AL38,IF(Calculator_v2!$E$6&lt;=$AN$1,AM38,IF(Calculator_v2!$E$6&lt;=$AO$1,AN38,IF(Calculator_v2!$E$6&lt;=$AP$1,AO38,AP38))))))),_xlpm.resultado,_xlpm.tarifa*Calculator_v2!$E$6,IF(_xlpm.resultado&lt;AH38,AH38,_xlpm.resultado)),0)+IF(Calculator_v2!$E$6*AV38&lt;AU38,AU38,IF(Calculator_v2!$E$6*AV38&gt;AW38,AW38,Calculator_v2!$E$6*AV38))+IF(Calculator_v2!$E$6*AZ38&lt;=AY38,AY38,Calculator_v2!$E$6*AZ38)),0)</f>
        <v>2680.3008732309545</v>
      </c>
      <c r="BC38" s="47">
        <f>IFERROR(+BB38/Calculator_v2!$E$6,0)+IFERROR(VLOOKUP(A38,DHL_ADDER!$B$4:$E$26,4,0),0)</f>
        <v>9.3475352588360714</v>
      </c>
      <c r="BD38" s="48">
        <f t="shared" si="1"/>
        <v>7</v>
      </c>
      <c r="BE38" s="48">
        <f>+T[[#This Row],[Airport to Destination Transit Time Days]]+T[[#This Row],[Airport to Airport Transit Time Days]]+T[[#This Row],[Origin to Airport Transit Time in days]]</f>
        <v>9</v>
      </c>
    </row>
    <row r="39" spans="1:57" customFormat="1" x14ac:dyDescent="0.35">
      <c r="A39" t="str">
        <f>+T[[#This Row],[Provider_Name]]&amp;"_"&amp;T[[#This Row],[AXIS]]</f>
        <v>DHL_B_CN&gt;TR</v>
      </c>
      <c r="B39" t="s">
        <v>71</v>
      </c>
      <c r="C39" t="s">
        <v>124</v>
      </c>
      <c r="D39" t="s">
        <v>125</v>
      </c>
      <c r="E39" t="s">
        <v>88</v>
      </c>
      <c r="F39" t="s">
        <v>92</v>
      </c>
      <c r="G39" t="s">
        <v>76</v>
      </c>
      <c r="H39" t="s">
        <v>77</v>
      </c>
      <c r="I39" t="s">
        <v>77</v>
      </c>
      <c r="J39">
        <v>200131</v>
      </c>
      <c r="K39" t="s">
        <v>78</v>
      </c>
      <c r="L39" t="s">
        <v>126</v>
      </c>
      <c r="M39" t="s">
        <v>127</v>
      </c>
      <c r="N39" t="s">
        <v>128</v>
      </c>
      <c r="O39">
        <v>34771</v>
      </c>
      <c r="P39" t="s">
        <v>129</v>
      </c>
      <c r="Q39" t="s">
        <v>130</v>
      </c>
      <c r="R39">
        <v>3</v>
      </c>
      <c r="S39">
        <v>1056</v>
      </c>
      <c r="T39">
        <v>2441.5</v>
      </c>
      <c r="U39" s="1">
        <v>813.83333333333337</v>
      </c>
      <c r="V39" t="s">
        <v>85</v>
      </c>
      <c r="W39" s="43">
        <v>9</v>
      </c>
      <c r="X39">
        <v>55.555555555555557</v>
      </c>
      <c r="Y39">
        <v>6.1728395061728399E-2</v>
      </c>
      <c r="Z39">
        <v>88.888888888888886</v>
      </c>
      <c r="AA39">
        <v>1</v>
      </c>
      <c r="AB39">
        <v>6.0975609756097562</v>
      </c>
      <c r="AC39">
        <v>0.01</v>
      </c>
      <c r="AD39">
        <v>20.731707317073173</v>
      </c>
      <c r="AE39">
        <v>0</v>
      </c>
      <c r="AF39">
        <v>0</v>
      </c>
      <c r="AG39" t="s">
        <v>86</v>
      </c>
      <c r="AH39">
        <v>98.76543209876543</v>
      </c>
      <c r="AI39" s="1">
        <v>4.3962962962962955</v>
      </c>
      <c r="AJ39" s="1">
        <v>3.9024691358024697</v>
      </c>
      <c r="AK39" s="1">
        <v>3.4086419753086421</v>
      </c>
      <c r="AL39" s="1">
        <v>3.4086419753086421</v>
      </c>
      <c r="AM39" s="1">
        <v>3.4086419753086421</v>
      </c>
      <c r="AN39" s="1">
        <v>3.4086419753086421</v>
      </c>
      <c r="AO39" s="1">
        <v>3.4086419753086421</v>
      </c>
      <c r="AP39" s="1">
        <v>3.4086419753086421</v>
      </c>
      <c r="AQ39">
        <v>7</v>
      </c>
      <c r="AR39" t="s">
        <v>131</v>
      </c>
      <c r="AS39">
        <v>2</v>
      </c>
      <c r="AT39">
        <v>7</v>
      </c>
      <c r="AU39">
        <v>495</v>
      </c>
      <c r="AV39">
        <v>0.49</v>
      </c>
      <c r="AW39">
        <v>750</v>
      </c>
      <c r="AX39">
        <v>1</v>
      </c>
      <c r="AY39">
        <v>85</v>
      </c>
      <c r="AZ39">
        <v>0.04</v>
      </c>
      <c r="BA39" s="43" t="str">
        <f t="shared" si="0"/>
        <v>Economy</v>
      </c>
      <c r="BB39" s="46">
        <f>IFERROR((AD39+IF(Calculator_v2!$E$6*Y39&lt;X39,X39,IF(Calculator_v2!$E$6*Y39&gt;Z39,Z39,Calculator_v2!$E$6*Y39))+IF(Calculator_v2!$E$6*AC39&lt;AB39,AB39,Calculator_v2!$E$6*AC39)+IFERROR(_xlfn.LET(_xlpm.tarifa,IF(Calculator_v2!$E$6&lt;=$AI$1,AI39,IF(Calculator_v2!$E$6&lt;=$AK$1,AJ39,IF(Calculator_v2!$E$6&lt;=$AL$1,AK39,IF(Calculator_v2!$E$6&lt;=$AM$1,AL39,IF(Calculator_v2!$E$6&lt;=$AN$1,AM39,IF(Calculator_v2!$E$6&lt;=$AO$1,AN39,IF(Calculator_v2!$E$6&lt;=$AP$1,AO39,AP39))))))),_xlpm.resultado,_xlpm.tarifa*Calculator_v2!$E$6,IF(_xlpm.resultado&lt;AH39,AH39,_xlpm.resultado)),0)+IF(Calculator_v2!$E$6*AV39&lt;AU39,AU39,IF(Calculator_v2!$E$6*AV39&gt;AW39,AW39,Calculator_v2!$E$6*AV39))+IF(Calculator_v2!$E$6*AZ39&lt;=AY39,AY39,Calculator_v2!$E$6*AZ39)),0)</f>
        <v>2680.3008732309545</v>
      </c>
      <c r="BC39" s="47">
        <f>IFERROR(+BB39/Calculator_v2!$E$6,0)+IFERROR(VLOOKUP(A39,DHL_ADDER!$B$4:$E$26,4,0),0)</f>
        <v>9.3475352588360714</v>
      </c>
      <c r="BD39" s="48">
        <f t="shared" si="1"/>
        <v>7</v>
      </c>
      <c r="BE39" s="48">
        <f>+T[[#This Row],[Airport to Destination Transit Time Days]]+T[[#This Row],[Airport to Airport Transit Time Days]]+T[[#This Row],[Origin to Airport Transit Time in days]]</f>
        <v>9</v>
      </c>
    </row>
    <row r="40" spans="1:57" customFormat="1" x14ac:dyDescent="0.35">
      <c r="A40" t="str">
        <f>+T[[#This Row],[Provider_Name]]&amp;"_"&amp;T[[#This Row],[AXIS]]</f>
        <v>DHL_B_CN&gt;TR</v>
      </c>
      <c r="B40" t="s">
        <v>71</v>
      </c>
      <c r="C40" t="s">
        <v>124</v>
      </c>
      <c r="D40" t="s">
        <v>125</v>
      </c>
      <c r="E40" t="s">
        <v>74</v>
      </c>
      <c r="F40" t="s">
        <v>92</v>
      </c>
      <c r="G40" t="s">
        <v>76</v>
      </c>
      <c r="H40" t="s">
        <v>77</v>
      </c>
      <c r="I40" t="s">
        <v>77</v>
      </c>
      <c r="J40">
        <v>200131</v>
      </c>
      <c r="K40" t="s">
        <v>78</v>
      </c>
      <c r="L40" t="s">
        <v>126</v>
      </c>
      <c r="M40" t="s">
        <v>127</v>
      </c>
      <c r="N40" t="s">
        <v>128</v>
      </c>
      <c r="O40">
        <v>34771</v>
      </c>
      <c r="P40" t="s">
        <v>129</v>
      </c>
      <c r="Q40" t="s">
        <v>130</v>
      </c>
      <c r="R40">
        <v>8</v>
      </c>
      <c r="S40">
        <v>4944</v>
      </c>
      <c r="T40">
        <v>6954</v>
      </c>
      <c r="U40" s="1">
        <v>869.25</v>
      </c>
      <c r="V40" t="s">
        <v>90</v>
      </c>
      <c r="W40" s="43">
        <v>6</v>
      </c>
      <c r="X40">
        <v>55.555555555555557</v>
      </c>
      <c r="Y40">
        <v>6.1728395061728399E-2</v>
      </c>
      <c r="Z40">
        <v>88.888888888888886</v>
      </c>
      <c r="AA40">
        <v>1</v>
      </c>
      <c r="AB40">
        <v>6.0975609756097562</v>
      </c>
      <c r="AC40">
        <v>0.01</v>
      </c>
      <c r="AD40">
        <v>20.731707317073173</v>
      </c>
      <c r="AE40">
        <v>0</v>
      </c>
      <c r="AF40">
        <v>0</v>
      </c>
      <c r="AG40" t="s">
        <v>86</v>
      </c>
      <c r="AH40">
        <v>148.14814814814815</v>
      </c>
      <c r="AI40" s="1">
        <v>5.0135802469135795</v>
      </c>
      <c r="AJ40" s="1">
        <v>4.5197530864197528</v>
      </c>
      <c r="AK40" s="1">
        <v>4.0259259259259261</v>
      </c>
      <c r="AL40" s="1">
        <v>4.0259259259259261</v>
      </c>
      <c r="AM40" s="1">
        <v>4.0259259259259261</v>
      </c>
      <c r="AN40" s="1">
        <v>4.0259259259259261</v>
      </c>
      <c r="AO40" s="1">
        <v>4.0259259259259261</v>
      </c>
      <c r="AP40" s="1">
        <v>4.0259259259259261</v>
      </c>
      <c r="AQ40">
        <v>4</v>
      </c>
      <c r="AR40" t="s">
        <v>131</v>
      </c>
      <c r="AS40">
        <v>1</v>
      </c>
      <c r="AT40">
        <v>7</v>
      </c>
      <c r="AU40">
        <v>495</v>
      </c>
      <c r="AV40">
        <v>0.49</v>
      </c>
      <c r="AW40">
        <v>750</v>
      </c>
      <c r="AX40">
        <v>1</v>
      </c>
      <c r="AY40">
        <v>85</v>
      </c>
      <c r="AZ40">
        <v>0.04</v>
      </c>
      <c r="BA40" s="43" t="str">
        <f t="shared" si="0"/>
        <v>Express</v>
      </c>
      <c r="BB40" s="46">
        <f>IFERROR((AD40+IF(Calculator_v2!$E$6*Y40&lt;X40,X40,IF(Calculator_v2!$E$6*Y40&gt;Z40,Z40,Calculator_v2!$E$6*Y40))+IF(Calculator_v2!$E$6*AC40&lt;AB40,AB40,Calculator_v2!$E$6*AC40)+IFERROR(_xlfn.LET(_xlpm.tarifa,IF(Calculator_v2!$E$6&lt;=$AI$1,AI40,IF(Calculator_v2!$E$6&lt;=$AK$1,AJ40,IF(Calculator_v2!$E$6&lt;=$AL$1,AK40,IF(Calculator_v2!$E$6&lt;=$AM$1,AL40,IF(Calculator_v2!$E$6&lt;=$AN$1,AM40,IF(Calculator_v2!$E$6&lt;=$AO$1,AN40,IF(Calculator_v2!$E$6&lt;=$AP$1,AO40,AP40))))))),_xlpm.resultado,_xlpm.tarifa*Calculator_v2!$E$6,IF(_xlpm.resultado&lt;AH40,AH40,_xlpm.resultado)),0)+IF(Calculator_v2!$E$6*AV40&lt;AU40,AU40,IF(Calculator_v2!$E$6*AV40&gt;AW40,AW40,Calculator_v2!$E$6*AV40))+IF(Calculator_v2!$E$6*AZ40&lt;=AY40,AY40,Calculator_v2!$E$6*AZ40)),0)</f>
        <v>3045.7329719963864</v>
      </c>
      <c r="BC40" s="47">
        <f>IFERROR(+BB40/Calculator_v2!$E$6,0)+IFERROR(VLOOKUP(A40,DHL_ADDER!$B$4:$E$26,4,0),0)</f>
        <v>9.9648192094533563</v>
      </c>
      <c r="BD40" s="48">
        <f t="shared" si="1"/>
        <v>7</v>
      </c>
      <c r="BE40" s="48">
        <f>+T[[#This Row],[Airport to Destination Transit Time Days]]+T[[#This Row],[Airport to Airport Transit Time Days]]+T[[#This Row],[Origin to Airport Transit Time in days]]</f>
        <v>6</v>
      </c>
    </row>
    <row r="41" spans="1:57" customFormat="1" x14ac:dyDescent="0.35">
      <c r="A41" t="str">
        <f>+T[[#This Row],[Provider_Name]]&amp;"_"&amp;T[[#This Row],[AXIS]]</f>
        <v>DHL_B_CN&gt;TR</v>
      </c>
      <c r="B41" t="s">
        <v>71</v>
      </c>
      <c r="C41" t="s">
        <v>124</v>
      </c>
      <c r="D41" t="s">
        <v>125</v>
      </c>
      <c r="E41" t="s">
        <v>88</v>
      </c>
      <c r="F41" t="s">
        <v>92</v>
      </c>
      <c r="G41" t="s">
        <v>76</v>
      </c>
      <c r="H41" t="s">
        <v>77</v>
      </c>
      <c r="I41" t="s">
        <v>77</v>
      </c>
      <c r="J41">
        <v>200131</v>
      </c>
      <c r="K41" t="s">
        <v>78</v>
      </c>
      <c r="L41" t="s">
        <v>126</v>
      </c>
      <c r="M41" t="s">
        <v>127</v>
      </c>
      <c r="N41" t="s">
        <v>128</v>
      </c>
      <c r="O41">
        <v>34771</v>
      </c>
      <c r="P41" t="s">
        <v>129</v>
      </c>
      <c r="Q41" t="s">
        <v>130</v>
      </c>
      <c r="R41">
        <v>3</v>
      </c>
      <c r="S41">
        <v>1056</v>
      </c>
      <c r="T41">
        <v>2441.5</v>
      </c>
      <c r="U41" s="1">
        <v>813.83333333333337</v>
      </c>
      <c r="V41" t="s">
        <v>90</v>
      </c>
      <c r="W41" s="43">
        <v>6</v>
      </c>
      <c r="X41">
        <v>55.555555555555557</v>
      </c>
      <c r="Y41">
        <v>6.1728395061728399E-2</v>
      </c>
      <c r="Z41">
        <v>88.888888888888886</v>
      </c>
      <c r="AA41">
        <v>1</v>
      </c>
      <c r="AB41">
        <v>6.0975609756097562</v>
      </c>
      <c r="AC41">
        <v>0.01</v>
      </c>
      <c r="AD41">
        <v>20.731707317073173</v>
      </c>
      <c r="AE41">
        <v>0</v>
      </c>
      <c r="AF41">
        <v>0</v>
      </c>
      <c r="AG41" t="s">
        <v>86</v>
      </c>
      <c r="AH41">
        <v>148.14814814814815</v>
      </c>
      <c r="AI41" s="1">
        <v>5.0135802469135795</v>
      </c>
      <c r="AJ41" s="1">
        <v>4.5197530864197528</v>
      </c>
      <c r="AK41" s="1">
        <v>4.0259259259259261</v>
      </c>
      <c r="AL41" s="1">
        <v>4.0259259259259261</v>
      </c>
      <c r="AM41" s="1">
        <v>4.0259259259259261</v>
      </c>
      <c r="AN41" s="1">
        <v>4.0259259259259261</v>
      </c>
      <c r="AO41" s="1">
        <v>4.0259259259259261</v>
      </c>
      <c r="AP41" s="1">
        <v>4.0259259259259261</v>
      </c>
      <c r="AQ41">
        <v>4</v>
      </c>
      <c r="AR41" t="s">
        <v>131</v>
      </c>
      <c r="AS41">
        <v>1</v>
      </c>
      <c r="AT41">
        <v>7</v>
      </c>
      <c r="AU41">
        <v>495</v>
      </c>
      <c r="AV41">
        <v>0.49</v>
      </c>
      <c r="AW41">
        <v>750</v>
      </c>
      <c r="AX41">
        <v>1</v>
      </c>
      <c r="AY41">
        <v>85</v>
      </c>
      <c r="AZ41">
        <v>0.04</v>
      </c>
      <c r="BA41" s="43" t="str">
        <f t="shared" si="0"/>
        <v>Express</v>
      </c>
      <c r="BB41" s="46">
        <f>IFERROR((AD41+IF(Calculator_v2!$E$6*Y41&lt;X41,X41,IF(Calculator_v2!$E$6*Y41&gt;Z41,Z41,Calculator_v2!$E$6*Y41))+IF(Calculator_v2!$E$6*AC41&lt;AB41,AB41,Calculator_v2!$E$6*AC41)+IFERROR(_xlfn.LET(_xlpm.tarifa,IF(Calculator_v2!$E$6&lt;=$AI$1,AI41,IF(Calculator_v2!$E$6&lt;=$AK$1,AJ41,IF(Calculator_v2!$E$6&lt;=$AL$1,AK41,IF(Calculator_v2!$E$6&lt;=$AM$1,AL41,IF(Calculator_v2!$E$6&lt;=$AN$1,AM41,IF(Calculator_v2!$E$6&lt;=$AO$1,AN41,IF(Calculator_v2!$E$6&lt;=$AP$1,AO41,AP41))))))),_xlpm.resultado,_xlpm.tarifa*Calculator_v2!$E$6,IF(_xlpm.resultado&lt;AH41,AH41,_xlpm.resultado)),0)+IF(Calculator_v2!$E$6*AV41&lt;AU41,AU41,IF(Calculator_v2!$E$6*AV41&gt;AW41,AW41,Calculator_v2!$E$6*AV41))+IF(Calculator_v2!$E$6*AZ41&lt;=AY41,AY41,Calculator_v2!$E$6*AZ41)),0)</f>
        <v>3045.7329719963864</v>
      </c>
      <c r="BC41" s="47">
        <f>IFERROR(+BB41/Calculator_v2!$E$6,0)+IFERROR(VLOOKUP(A41,DHL_ADDER!$B$4:$E$26,4,0),0)</f>
        <v>9.9648192094533563</v>
      </c>
      <c r="BD41" s="48">
        <f t="shared" si="1"/>
        <v>7</v>
      </c>
      <c r="BE41" s="48">
        <f>+T[[#This Row],[Airport to Destination Transit Time Days]]+T[[#This Row],[Airport to Airport Transit Time Days]]+T[[#This Row],[Origin to Airport Transit Time in days]]</f>
        <v>6</v>
      </c>
    </row>
    <row r="42" spans="1:57" customFormat="1" x14ac:dyDescent="0.35">
      <c r="A42" t="str">
        <f>+T[[#This Row],[Provider_Name]]&amp;"_"&amp;T[[#This Row],[AXIS]]</f>
        <v>DHL_B_CN&gt;TR</v>
      </c>
      <c r="B42" t="s">
        <v>71</v>
      </c>
      <c r="C42" t="s">
        <v>124</v>
      </c>
      <c r="D42" t="s">
        <v>125</v>
      </c>
      <c r="E42" t="s">
        <v>74</v>
      </c>
      <c r="F42" t="s">
        <v>92</v>
      </c>
      <c r="G42" t="s">
        <v>76</v>
      </c>
      <c r="H42" t="s">
        <v>77</v>
      </c>
      <c r="I42" t="s">
        <v>77</v>
      </c>
      <c r="J42">
        <v>200131</v>
      </c>
      <c r="K42" t="s">
        <v>78</v>
      </c>
      <c r="L42" t="s">
        <v>126</v>
      </c>
      <c r="M42" t="s">
        <v>127</v>
      </c>
      <c r="N42" t="s">
        <v>128</v>
      </c>
      <c r="O42">
        <v>34771</v>
      </c>
      <c r="P42" t="s">
        <v>129</v>
      </c>
      <c r="Q42" t="s">
        <v>130</v>
      </c>
      <c r="R42">
        <v>8</v>
      </c>
      <c r="S42">
        <v>4944</v>
      </c>
      <c r="T42">
        <v>6954</v>
      </c>
      <c r="U42" s="1">
        <v>869.25</v>
      </c>
      <c r="V42" t="s">
        <v>91</v>
      </c>
      <c r="W42" s="43">
        <v>8</v>
      </c>
      <c r="X42">
        <v>55.555555555555557</v>
      </c>
      <c r="Y42">
        <v>6.1728395061728399E-2</v>
      </c>
      <c r="Z42">
        <v>88.888888888888886</v>
      </c>
      <c r="AA42">
        <v>1</v>
      </c>
      <c r="AB42">
        <v>6.0975609756097562</v>
      </c>
      <c r="AC42">
        <v>0.01</v>
      </c>
      <c r="AD42">
        <v>20.731707317073173</v>
      </c>
      <c r="AE42">
        <v>0</v>
      </c>
      <c r="AF42">
        <v>0</v>
      </c>
      <c r="AG42" t="s">
        <v>86</v>
      </c>
      <c r="AH42">
        <v>123.4567901234568</v>
      </c>
      <c r="AI42" s="1">
        <v>4.6432098765432093</v>
      </c>
      <c r="AJ42" s="1">
        <v>4.1493827160493826</v>
      </c>
      <c r="AK42" s="1">
        <v>3.6555555555555559</v>
      </c>
      <c r="AL42" s="1">
        <v>3.6555555555555559</v>
      </c>
      <c r="AM42" s="1">
        <v>3.6555555555555559</v>
      </c>
      <c r="AN42" s="1">
        <v>3.6555555555555559</v>
      </c>
      <c r="AO42" s="1">
        <v>3.6555555555555559</v>
      </c>
      <c r="AP42" s="1">
        <v>3.6555555555555559</v>
      </c>
      <c r="AQ42">
        <v>6</v>
      </c>
      <c r="AR42" t="s">
        <v>131</v>
      </c>
      <c r="AS42">
        <v>1</v>
      </c>
      <c r="AT42">
        <v>7</v>
      </c>
      <c r="AU42">
        <v>495</v>
      </c>
      <c r="AV42">
        <v>0.49</v>
      </c>
      <c r="AW42">
        <v>750</v>
      </c>
      <c r="AX42">
        <v>1</v>
      </c>
      <c r="AY42">
        <v>85</v>
      </c>
      <c r="AZ42">
        <v>0.04</v>
      </c>
      <c r="BA42" s="43" t="str">
        <f t="shared" si="0"/>
        <v>Normal</v>
      </c>
      <c r="BB42" s="46">
        <f>IFERROR((AD42+IF(Calculator_v2!$E$6*Y42&lt;X42,X42,IF(Calculator_v2!$E$6*Y42&gt;Z42,Z42,Calculator_v2!$E$6*Y42))+IF(Calculator_v2!$E$6*AC42&lt;AB42,AB42,Calculator_v2!$E$6*AC42)+IFERROR(_xlfn.LET(_xlpm.tarifa,IF(Calculator_v2!$E$6&lt;=$AI$1,AI42,IF(Calculator_v2!$E$6&lt;=$AK$1,AJ42,IF(Calculator_v2!$E$6&lt;=$AL$1,AK42,IF(Calculator_v2!$E$6&lt;=$AM$1,AL42,IF(Calculator_v2!$E$6&lt;=$AN$1,AM42,IF(Calculator_v2!$E$6&lt;=$AO$1,AN42,IF(Calculator_v2!$E$6&lt;=$AP$1,AO42,AP42))))))),_xlpm.resultado,_xlpm.tarifa*Calculator_v2!$E$6,IF(_xlpm.resultado&lt;AH42,AH42,_xlpm.resultado)),0)+IF(Calculator_v2!$E$6*AV42&lt;AU42,AU42,IF(Calculator_v2!$E$6*AV42&gt;AW42,AW42,Calculator_v2!$E$6*AV42))+IF(Calculator_v2!$E$6*AZ42&lt;=AY42,AY42,Calculator_v2!$E$6*AZ42)),0)</f>
        <v>2826.4737127371272</v>
      </c>
      <c r="BC42" s="47">
        <f>IFERROR(+BB42/Calculator_v2!$E$6,0)+IFERROR(VLOOKUP(A42,DHL_ADDER!$B$4:$E$26,4,0),0)</f>
        <v>9.5944488390829861</v>
      </c>
      <c r="BD42" s="48">
        <f t="shared" si="1"/>
        <v>7</v>
      </c>
      <c r="BE42" s="48">
        <f>+T[[#This Row],[Airport to Destination Transit Time Days]]+T[[#This Row],[Airport to Airport Transit Time Days]]+T[[#This Row],[Origin to Airport Transit Time in days]]</f>
        <v>8</v>
      </c>
    </row>
    <row r="43" spans="1:57" customFormat="1" x14ac:dyDescent="0.35">
      <c r="A43" t="str">
        <f>+T[[#This Row],[Provider_Name]]&amp;"_"&amp;T[[#This Row],[AXIS]]</f>
        <v>DHL_B_CN&gt;TR</v>
      </c>
      <c r="B43" t="s">
        <v>71</v>
      </c>
      <c r="C43" t="s">
        <v>124</v>
      </c>
      <c r="D43" t="s">
        <v>125</v>
      </c>
      <c r="E43" t="s">
        <v>88</v>
      </c>
      <c r="F43" t="s">
        <v>92</v>
      </c>
      <c r="G43" t="s">
        <v>76</v>
      </c>
      <c r="H43" t="s">
        <v>77</v>
      </c>
      <c r="I43" t="s">
        <v>77</v>
      </c>
      <c r="J43">
        <v>200131</v>
      </c>
      <c r="K43" t="s">
        <v>78</v>
      </c>
      <c r="L43" t="s">
        <v>126</v>
      </c>
      <c r="M43" t="s">
        <v>127</v>
      </c>
      <c r="N43" t="s">
        <v>128</v>
      </c>
      <c r="O43">
        <v>34771</v>
      </c>
      <c r="P43" t="s">
        <v>129</v>
      </c>
      <c r="Q43" t="s">
        <v>130</v>
      </c>
      <c r="R43">
        <v>3</v>
      </c>
      <c r="S43">
        <v>1056</v>
      </c>
      <c r="T43">
        <v>2441.5</v>
      </c>
      <c r="U43" s="1">
        <v>813.83333333333337</v>
      </c>
      <c r="V43" t="s">
        <v>91</v>
      </c>
      <c r="W43" s="43">
        <v>8</v>
      </c>
      <c r="X43">
        <v>55.555555555555557</v>
      </c>
      <c r="Y43">
        <v>6.1728395061728399E-2</v>
      </c>
      <c r="Z43">
        <v>88.888888888888886</v>
      </c>
      <c r="AA43">
        <v>1</v>
      </c>
      <c r="AB43">
        <v>6.0975609756097562</v>
      </c>
      <c r="AC43">
        <v>0.01</v>
      </c>
      <c r="AD43">
        <v>20.731707317073173</v>
      </c>
      <c r="AE43">
        <v>0</v>
      </c>
      <c r="AF43">
        <v>0</v>
      </c>
      <c r="AG43" t="s">
        <v>86</v>
      </c>
      <c r="AH43">
        <v>123.4567901234568</v>
      </c>
      <c r="AI43" s="1">
        <v>4.6432098765432093</v>
      </c>
      <c r="AJ43" s="1">
        <v>4.1493827160493826</v>
      </c>
      <c r="AK43" s="1">
        <v>3.6555555555555559</v>
      </c>
      <c r="AL43" s="1">
        <v>3.6555555555555559</v>
      </c>
      <c r="AM43" s="1">
        <v>3.6555555555555559</v>
      </c>
      <c r="AN43" s="1">
        <v>3.6555555555555559</v>
      </c>
      <c r="AO43" s="1">
        <v>3.6555555555555559</v>
      </c>
      <c r="AP43" s="1">
        <v>3.6555555555555559</v>
      </c>
      <c r="AQ43">
        <v>6</v>
      </c>
      <c r="AR43" t="s">
        <v>131</v>
      </c>
      <c r="AS43">
        <v>1</v>
      </c>
      <c r="AT43">
        <v>7</v>
      </c>
      <c r="AU43">
        <v>495</v>
      </c>
      <c r="AV43">
        <v>0.49</v>
      </c>
      <c r="AW43">
        <v>750</v>
      </c>
      <c r="AX43">
        <v>1</v>
      </c>
      <c r="AY43">
        <v>85</v>
      </c>
      <c r="AZ43">
        <v>0.04</v>
      </c>
      <c r="BA43" s="43" t="str">
        <f t="shared" si="0"/>
        <v>Normal</v>
      </c>
      <c r="BB43" s="46">
        <f>IFERROR((AD43+IF(Calculator_v2!$E$6*Y43&lt;X43,X43,IF(Calculator_v2!$E$6*Y43&gt;Z43,Z43,Calculator_v2!$E$6*Y43))+IF(Calculator_v2!$E$6*AC43&lt;AB43,AB43,Calculator_v2!$E$6*AC43)+IFERROR(_xlfn.LET(_xlpm.tarifa,IF(Calculator_v2!$E$6&lt;=$AI$1,AI43,IF(Calculator_v2!$E$6&lt;=$AK$1,AJ43,IF(Calculator_v2!$E$6&lt;=$AL$1,AK43,IF(Calculator_v2!$E$6&lt;=$AM$1,AL43,IF(Calculator_v2!$E$6&lt;=$AN$1,AM43,IF(Calculator_v2!$E$6&lt;=$AO$1,AN43,IF(Calculator_v2!$E$6&lt;=$AP$1,AO43,AP43))))))),_xlpm.resultado,_xlpm.tarifa*Calculator_v2!$E$6,IF(_xlpm.resultado&lt;AH43,AH43,_xlpm.resultado)),0)+IF(Calculator_v2!$E$6*AV43&lt;AU43,AU43,IF(Calculator_v2!$E$6*AV43&gt;AW43,AW43,Calculator_v2!$E$6*AV43))+IF(Calculator_v2!$E$6*AZ43&lt;=AY43,AY43,Calculator_v2!$E$6*AZ43)),0)</f>
        <v>2826.4737127371272</v>
      </c>
      <c r="BC43" s="47">
        <f>IFERROR(+BB43/Calculator_v2!$E$6,0)+IFERROR(VLOOKUP(A43,DHL_ADDER!$B$4:$E$26,4,0),0)</f>
        <v>9.5944488390829861</v>
      </c>
      <c r="BD43" s="48">
        <f t="shared" si="1"/>
        <v>7</v>
      </c>
      <c r="BE43" s="48">
        <f>+T[[#This Row],[Airport to Destination Transit Time Days]]+T[[#This Row],[Airport to Airport Transit Time Days]]+T[[#This Row],[Origin to Airport Transit Time in days]]</f>
        <v>8</v>
      </c>
    </row>
    <row r="44" spans="1:57" customFormat="1" x14ac:dyDescent="0.35">
      <c r="A44" t="str">
        <f>+T[[#This Row],[Provider_Name]]&amp;"_"&amp;T[[#This Row],[AXIS]]</f>
        <v>DHL_B_ES&gt;BR</v>
      </c>
      <c r="B44" t="s">
        <v>71</v>
      </c>
      <c r="C44" t="s">
        <v>132</v>
      </c>
      <c r="D44" t="s">
        <v>133</v>
      </c>
      <c r="E44" t="s">
        <v>134</v>
      </c>
      <c r="F44" t="s">
        <v>75</v>
      </c>
      <c r="G44" t="s">
        <v>100</v>
      </c>
      <c r="H44" t="s">
        <v>106</v>
      </c>
      <c r="I44" t="s">
        <v>106</v>
      </c>
      <c r="J44">
        <v>48008</v>
      </c>
      <c r="K44" t="s">
        <v>102</v>
      </c>
      <c r="L44" t="s">
        <v>79</v>
      </c>
      <c r="M44" t="s">
        <v>80</v>
      </c>
      <c r="N44" t="s">
        <v>81</v>
      </c>
      <c r="O44" t="s">
        <v>82</v>
      </c>
      <c r="P44" t="s">
        <v>83</v>
      </c>
      <c r="Q44" t="s">
        <v>84</v>
      </c>
      <c r="R44">
        <v>56</v>
      </c>
      <c r="S44">
        <v>43089</v>
      </c>
      <c r="T44">
        <v>43089</v>
      </c>
      <c r="U44" s="1">
        <v>769.44642857142856</v>
      </c>
      <c r="V44" t="s">
        <v>85</v>
      </c>
      <c r="W44" s="43">
        <v>6.5</v>
      </c>
      <c r="X44">
        <v>315</v>
      </c>
      <c r="Y44">
        <v>0.45</v>
      </c>
      <c r="Z44">
        <v>490</v>
      </c>
      <c r="AA44">
        <v>1.5</v>
      </c>
      <c r="AB44">
        <v>27</v>
      </c>
      <c r="AC44">
        <v>0.156</v>
      </c>
      <c r="AD44">
        <v>24</v>
      </c>
      <c r="AE44">
        <v>35</v>
      </c>
      <c r="AF44">
        <v>0.14000000000000001</v>
      </c>
      <c r="AG44" t="s">
        <v>86</v>
      </c>
      <c r="AH44">
        <v>185</v>
      </c>
      <c r="AI44" s="1">
        <v>4.9499999999999993</v>
      </c>
      <c r="AJ44" s="1">
        <v>4.1999999999999993</v>
      </c>
      <c r="AK44" s="1">
        <v>2.75</v>
      </c>
      <c r="AL44" s="1">
        <v>2.4</v>
      </c>
      <c r="AM44" s="1">
        <v>2.15</v>
      </c>
      <c r="AN44" s="1">
        <v>2</v>
      </c>
      <c r="AO44" s="1">
        <v>2</v>
      </c>
      <c r="AP44" s="1">
        <v>2</v>
      </c>
      <c r="AQ44">
        <v>2</v>
      </c>
      <c r="AR44" t="s">
        <v>135</v>
      </c>
      <c r="AS44">
        <v>2</v>
      </c>
      <c r="AT44">
        <v>2</v>
      </c>
      <c r="AX44">
        <v>1</v>
      </c>
      <c r="AY44">
        <v>120</v>
      </c>
      <c r="AZ44">
        <v>0.06</v>
      </c>
      <c r="BA44" s="43" t="str">
        <f t="shared" si="0"/>
        <v>Economy</v>
      </c>
      <c r="BB44" s="46">
        <f>IFERROR((AD44+IF(Calculator_v2!$E$6*Y44&lt;X44,X44,IF(Calculator_v2!$E$6*Y44&gt;Z44,Z44,Calculator_v2!$E$6*Y44))+IF(Calculator_v2!$E$6*AC44&lt;AB44,AB44,Calculator_v2!$E$6*AC44)+IFERROR(_xlfn.LET(_xlpm.tarifa,IF(Calculator_v2!$E$6&lt;=$AI$1,AI44,IF(Calculator_v2!$E$6&lt;=$AK$1,AJ44,IF(Calculator_v2!$E$6&lt;=$AL$1,AK44,IF(Calculator_v2!$E$6&lt;=$AM$1,AL44,IF(Calculator_v2!$E$6&lt;=$AN$1,AM44,IF(Calculator_v2!$E$6&lt;=$AO$1,AN44,IF(Calculator_v2!$E$6&lt;=$AP$1,AO44,AP44))))))),_xlpm.resultado,_xlpm.tarifa*Calculator_v2!$E$6,IF(_xlpm.resultado&lt;AH44,AH44,_xlpm.resultado)),0)+IF(Calculator_v2!$E$6*AV44&lt;AU44,AU44,IF(Calculator_v2!$E$6*AV44&gt;AW44,AW44,Calculator_v2!$E$6*AV44))+IF(Calculator_v2!$E$6*AZ44&lt;=AY44,AY44,Calculator_v2!$E$6*AZ44)),0)</f>
        <v>1824.152</v>
      </c>
      <c r="BC44" s="47">
        <f>IFERROR(+BB44/Calculator_v2!$E$6,0)+IFERROR(VLOOKUP(A44,DHL_ADDER!$B$4:$E$26,4,0),0)</f>
        <v>3.8013378378378375</v>
      </c>
      <c r="BD44" s="48">
        <f t="shared" si="1"/>
        <v>2</v>
      </c>
      <c r="BE44" s="48">
        <f>+T[[#This Row],[Airport to Destination Transit Time Days]]+T[[#This Row],[Airport to Airport Transit Time Days]]+T[[#This Row],[Origin to Airport Transit Time in days]]</f>
        <v>4.5</v>
      </c>
    </row>
    <row r="45" spans="1:57" customFormat="1" x14ac:dyDescent="0.35">
      <c r="A45" t="str">
        <f>+T[[#This Row],[Provider_Name]]&amp;"_"&amp;T[[#This Row],[AXIS]]</f>
        <v>DHL_B_ES&gt;BR</v>
      </c>
      <c r="B45" t="s">
        <v>71</v>
      </c>
      <c r="C45" t="s">
        <v>132</v>
      </c>
      <c r="D45" t="s">
        <v>133</v>
      </c>
      <c r="E45" t="s">
        <v>134</v>
      </c>
      <c r="F45" t="s">
        <v>75</v>
      </c>
      <c r="G45" t="s">
        <v>100</v>
      </c>
      <c r="H45" t="s">
        <v>106</v>
      </c>
      <c r="I45" t="s">
        <v>106</v>
      </c>
      <c r="J45">
        <v>48008</v>
      </c>
      <c r="K45" t="s">
        <v>102</v>
      </c>
      <c r="L45" t="s">
        <v>79</v>
      </c>
      <c r="M45" t="s">
        <v>80</v>
      </c>
      <c r="N45" t="s">
        <v>81</v>
      </c>
      <c r="O45" t="s">
        <v>82</v>
      </c>
      <c r="P45" t="s">
        <v>89</v>
      </c>
      <c r="Q45" t="s">
        <v>84</v>
      </c>
      <c r="R45">
        <v>56</v>
      </c>
      <c r="S45">
        <v>43089</v>
      </c>
      <c r="T45">
        <v>43089</v>
      </c>
      <c r="U45" s="1">
        <v>769.44642857142856</v>
      </c>
      <c r="V45" t="s">
        <v>85</v>
      </c>
      <c r="W45" s="43">
        <v>6.5</v>
      </c>
      <c r="X45">
        <v>315</v>
      </c>
      <c r="Y45">
        <v>0.45</v>
      </c>
      <c r="Z45">
        <v>490</v>
      </c>
      <c r="AA45">
        <v>1.5</v>
      </c>
      <c r="AB45">
        <v>27</v>
      </c>
      <c r="AC45">
        <v>0.156</v>
      </c>
      <c r="AD45">
        <v>24</v>
      </c>
      <c r="AE45">
        <v>35</v>
      </c>
      <c r="AF45">
        <v>0.14000000000000001</v>
      </c>
      <c r="AG45" t="s">
        <v>86</v>
      </c>
      <c r="AH45">
        <v>190</v>
      </c>
      <c r="AI45" s="1">
        <v>7.5</v>
      </c>
      <c r="AJ45" s="1">
        <v>6.35</v>
      </c>
      <c r="AK45" s="1">
        <v>4.8499999999999996</v>
      </c>
      <c r="AL45" s="1">
        <v>3.75</v>
      </c>
      <c r="AM45" s="1">
        <v>3.45</v>
      </c>
      <c r="AN45" s="1">
        <v>3.15</v>
      </c>
      <c r="AO45" s="1">
        <v>3.15</v>
      </c>
      <c r="AP45" s="1">
        <v>3.15</v>
      </c>
      <c r="AQ45">
        <v>4</v>
      </c>
      <c r="AR45" t="s">
        <v>135</v>
      </c>
      <c r="AS45">
        <v>2</v>
      </c>
      <c r="AT45">
        <v>2</v>
      </c>
      <c r="AX45">
        <v>1</v>
      </c>
      <c r="AY45">
        <v>120</v>
      </c>
      <c r="AZ45">
        <v>0.06</v>
      </c>
      <c r="BA45" s="43" t="str">
        <f t="shared" si="0"/>
        <v>Economy</v>
      </c>
      <c r="BB45" s="46">
        <f>IFERROR((AD45+IF(Calculator_v2!$E$6*Y45&lt;X45,X45,IF(Calculator_v2!$E$6*Y45&gt;Z45,Z45,Calculator_v2!$E$6*Y45))+IF(Calculator_v2!$E$6*AC45&lt;AB45,AB45,Calculator_v2!$E$6*AC45)+IFERROR(_xlfn.LET(_xlpm.tarifa,IF(Calculator_v2!$E$6&lt;=$AI$1,AI45,IF(Calculator_v2!$E$6&lt;=$AK$1,AJ45,IF(Calculator_v2!$E$6&lt;=$AL$1,AK45,IF(Calculator_v2!$E$6&lt;=$AM$1,AL45,IF(Calculator_v2!$E$6&lt;=$AN$1,AM45,IF(Calculator_v2!$E$6&lt;=$AO$1,AN45,IF(Calculator_v2!$E$6&lt;=$AP$1,AO45,AP45))))))),_xlpm.resultado,_xlpm.tarifa*Calculator_v2!$E$6,IF(_xlpm.resultado&lt;AH45,AH45,_xlpm.resultado)),0)+IF(Calculator_v2!$E$6*AV45&lt;AU45,AU45,IF(Calculator_v2!$E$6*AV45&gt;AW45,AW45,Calculator_v2!$E$6*AV45))+IF(Calculator_v2!$E$6*AZ45&lt;=AY45,AY45,Calculator_v2!$E$6*AZ45)),0)</f>
        <v>2593.752</v>
      </c>
      <c r="BC45" s="47">
        <f>IFERROR(+BB45/Calculator_v2!$E$6,0)+IFERROR(VLOOKUP(A45,DHL_ADDER!$B$4:$E$26,4,0),0)</f>
        <v>5.1013378378378373</v>
      </c>
      <c r="BD45" s="48">
        <f t="shared" si="1"/>
        <v>2</v>
      </c>
      <c r="BE45" s="48">
        <f>+T[[#This Row],[Airport to Destination Transit Time Days]]+T[[#This Row],[Airport to Airport Transit Time Days]]+T[[#This Row],[Origin to Airport Transit Time in days]]</f>
        <v>6.5</v>
      </c>
    </row>
    <row r="46" spans="1:57" customFormat="1" x14ac:dyDescent="0.35">
      <c r="A46" t="str">
        <f>+T[[#This Row],[Provider_Name]]&amp;"_"&amp;T[[#This Row],[AXIS]]</f>
        <v>DHL_B_ES&gt;BR</v>
      </c>
      <c r="B46" t="s">
        <v>71</v>
      </c>
      <c r="C46" t="s">
        <v>132</v>
      </c>
      <c r="D46" t="s">
        <v>133</v>
      </c>
      <c r="E46" t="s">
        <v>107</v>
      </c>
      <c r="F46" t="s">
        <v>75</v>
      </c>
      <c r="G46" t="s">
        <v>100</v>
      </c>
      <c r="H46" t="s">
        <v>106</v>
      </c>
      <c r="I46" t="s">
        <v>106</v>
      </c>
      <c r="J46">
        <v>48008</v>
      </c>
      <c r="K46" t="s">
        <v>102</v>
      </c>
      <c r="L46" t="s">
        <v>79</v>
      </c>
      <c r="M46" t="s">
        <v>80</v>
      </c>
      <c r="N46" t="s">
        <v>81</v>
      </c>
      <c r="O46" t="s">
        <v>82</v>
      </c>
      <c r="P46" t="s">
        <v>83</v>
      </c>
      <c r="Q46" t="s">
        <v>84</v>
      </c>
      <c r="R46">
        <v>51</v>
      </c>
      <c r="S46">
        <v>21283.199999999997</v>
      </c>
      <c r="T46">
        <v>21283.199999999997</v>
      </c>
      <c r="U46" s="1">
        <v>417.31764705882347</v>
      </c>
      <c r="V46" t="s">
        <v>85</v>
      </c>
      <c r="W46" s="43">
        <v>6.5</v>
      </c>
      <c r="X46">
        <v>315</v>
      </c>
      <c r="Y46">
        <v>0.45</v>
      </c>
      <c r="Z46">
        <v>490</v>
      </c>
      <c r="AA46">
        <v>1.5</v>
      </c>
      <c r="AB46">
        <v>27</v>
      </c>
      <c r="AC46">
        <v>0.156</v>
      </c>
      <c r="AD46">
        <v>24</v>
      </c>
      <c r="AE46">
        <v>35</v>
      </c>
      <c r="AF46">
        <v>0.14000000000000001</v>
      </c>
      <c r="AG46" t="s">
        <v>86</v>
      </c>
      <c r="AH46">
        <v>185</v>
      </c>
      <c r="AI46" s="1">
        <v>4.9499999999999993</v>
      </c>
      <c r="AJ46" s="1">
        <v>4.1999999999999993</v>
      </c>
      <c r="AK46" s="1">
        <v>2.75</v>
      </c>
      <c r="AL46" s="1">
        <v>2.4</v>
      </c>
      <c r="AM46" s="1">
        <v>2.15</v>
      </c>
      <c r="AN46" s="1">
        <v>2</v>
      </c>
      <c r="AO46" s="1">
        <v>2</v>
      </c>
      <c r="AP46" s="1">
        <v>2</v>
      </c>
      <c r="AQ46">
        <v>2</v>
      </c>
      <c r="AR46" t="s">
        <v>135</v>
      </c>
      <c r="AS46">
        <v>2</v>
      </c>
      <c r="AT46">
        <v>2</v>
      </c>
      <c r="AX46">
        <v>1</v>
      </c>
      <c r="AY46">
        <v>120</v>
      </c>
      <c r="AZ46">
        <v>0.06</v>
      </c>
      <c r="BA46" s="43" t="str">
        <f t="shared" si="0"/>
        <v>Economy</v>
      </c>
      <c r="BB46" s="46">
        <f>IFERROR((AD46+IF(Calculator_v2!$E$6*Y46&lt;X46,X46,IF(Calculator_v2!$E$6*Y46&gt;Z46,Z46,Calculator_v2!$E$6*Y46))+IF(Calculator_v2!$E$6*AC46&lt;AB46,AB46,Calculator_v2!$E$6*AC46)+IFERROR(_xlfn.LET(_xlpm.tarifa,IF(Calculator_v2!$E$6&lt;=$AI$1,AI46,IF(Calculator_v2!$E$6&lt;=$AK$1,AJ46,IF(Calculator_v2!$E$6&lt;=$AL$1,AK46,IF(Calculator_v2!$E$6&lt;=$AM$1,AL46,IF(Calculator_v2!$E$6&lt;=$AN$1,AM46,IF(Calculator_v2!$E$6&lt;=$AO$1,AN46,IF(Calculator_v2!$E$6&lt;=$AP$1,AO46,AP46))))))),_xlpm.resultado,_xlpm.tarifa*Calculator_v2!$E$6,IF(_xlpm.resultado&lt;AH46,AH46,_xlpm.resultado)),0)+IF(Calculator_v2!$E$6*AV46&lt;AU46,AU46,IF(Calculator_v2!$E$6*AV46&gt;AW46,AW46,Calculator_v2!$E$6*AV46))+IF(Calculator_v2!$E$6*AZ46&lt;=AY46,AY46,Calculator_v2!$E$6*AZ46)),0)</f>
        <v>1824.152</v>
      </c>
      <c r="BC46" s="47">
        <f>IFERROR(+BB46/Calculator_v2!$E$6,0)+IFERROR(VLOOKUP(A46,DHL_ADDER!$B$4:$E$26,4,0),0)</f>
        <v>3.8013378378378375</v>
      </c>
      <c r="BD46" s="48">
        <f t="shared" si="1"/>
        <v>2</v>
      </c>
      <c r="BE46" s="48">
        <f>+T[[#This Row],[Airport to Destination Transit Time Days]]+T[[#This Row],[Airport to Airport Transit Time Days]]+T[[#This Row],[Origin to Airport Transit Time in days]]</f>
        <v>4.5</v>
      </c>
    </row>
    <row r="47" spans="1:57" customFormat="1" x14ac:dyDescent="0.35">
      <c r="A47" t="str">
        <f>+T[[#This Row],[Provider_Name]]&amp;"_"&amp;T[[#This Row],[AXIS]]</f>
        <v>DHL_B_ES&gt;BR</v>
      </c>
      <c r="B47" t="s">
        <v>71</v>
      </c>
      <c r="C47" t="s">
        <v>132</v>
      </c>
      <c r="D47" t="s">
        <v>133</v>
      </c>
      <c r="E47" t="s">
        <v>107</v>
      </c>
      <c r="F47" t="s">
        <v>75</v>
      </c>
      <c r="G47" t="s">
        <v>100</v>
      </c>
      <c r="H47" t="s">
        <v>106</v>
      </c>
      <c r="I47" t="s">
        <v>106</v>
      </c>
      <c r="J47">
        <v>48008</v>
      </c>
      <c r="K47" t="s">
        <v>102</v>
      </c>
      <c r="L47" t="s">
        <v>79</v>
      </c>
      <c r="M47" t="s">
        <v>80</v>
      </c>
      <c r="N47" t="s">
        <v>81</v>
      </c>
      <c r="O47" t="s">
        <v>82</v>
      </c>
      <c r="P47" t="s">
        <v>93</v>
      </c>
      <c r="Q47" t="s">
        <v>84</v>
      </c>
      <c r="R47">
        <v>51</v>
      </c>
      <c r="S47">
        <v>21283.199999999997</v>
      </c>
      <c r="T47">
        <v>21283.199999999997</v>
      </c>
      <c r="U47" s="1">
        <v>417.31764705882347</v>
      </c>
      <c r="V47" t="s">
        <v>85</v>
      </c>
      <c r="W47" s="43">
        <v>6.5</v>
      </c>
      <c r="X47">
        <v>315</v>
      </c>
      <c r="Y47">
        <v>0.45</v>
      </c>
      <c r="Z47">
        <v>490</v>
      </c>
      <c r="AA47">
        <v>1.5</v>
      </c>
      <c r="AB47">
        <v>27</v>
      </c>
      <c r="AC47">
        <v>0.156</v>
      </c>
      <c r="AD47">
        <v>24</v>
      </c>
      <c r="AE47">
        <v>35</v>
      </c>
      <c r="AF47">
        <v>0.14000000000000001</v>
      </c>
      <c r="AG47" t="s">
        <v>86</v>
      </c>
      <c r="AH47">
        <v>230</v>
      </c>
      <c r="AI47" s="1">
        <v>5.75</v>
      </c>
      <c r="AJ47" s="1">
        <v>4.5</v>
      </c>
      <c r="AK47" s="1">
        <v>2.2000000000000002</v>
      </c>
      <c r="AL47" s="1">
        <v>1.9500000000000002</v>
      </c>
      <c r="AM47" s="1">
        <v>1.7000000000000002</v>
      </c>
      <c r="AN47" s="1">
        <v>1.5</v>
      </c>
      <c r="AO47" s="1">
        <v>1.5</v>
      </c>
      <c r="AP47" s="1">
        <v>1.5</v>
      </c>
      <c r="AQ47">
        <v>2</v>
      </c>
      <c r="AR47" t="s">
        <v>135</v>
      </c>
      <c r="AS47">
        <v>2</v>
      </c>
      <c r="AT47">
        <v>2</v>
      </c>
      <c r="AX47">
        <v>1</v>
      </c>
      <c r="AY47">
        <v>120</v>
      </c>
      <c r="AZ47">
        <v>0.06</v>
      </c>
      <c r="BA47" s="43" t="str">
        <f t="shared" si="0"/>
        <v>Economy</v>
      </c>
      <c r="BB47" s="46">
        <f>IFERROR((AD47+IF(Calculator_v2!$E$6*Y47&lt;X47,X47,IF(Calculator_v2!$E$6*Y47&gt;Z47,Z47,Calculator_v2!$E$6*Y47))+IF(Calculator_v2!$E$6*AC47&lt;AB47,AB47,Calculator_v2!$E$6*AC47)+IFERROR(_xlfn.LET(_xlpm.tarifa,IF(Calculator_v2!$E$6&lt;=$AI$1,AI47,IF(Calculator_v2!$E$6&lt;=$AK$1,AJ47,IF(Calculator_v2!$E$6&lt;=$AL$1,AK47,IF(Calculator_v2!$E$6&lt;=$AM$1,AL47,IF(Calculator_v2!$E$6&lt;=$AN$1,AM47,IF(Calculator_v2!$E$6&lt;=$AO$1,AN47,IF(Calculator_v2!$E$6&lt;=$AP$1,AO47,AP47))))))),_xlpm.resultado,_xlpm.tarifa*Calculator_v2!$E$6,IF(_xlpm.resultado&lt;AH47,AH47,_xlpm.resultado)),0)+IF(Calculator_v2!$E$6*AV47&lt;AU47,AU47,IF(Calculator_v2!$E$6*AV47&gt;AW47,AW47,Calculator_v2!$E$6*AV47))+IF(Calculator_v2!$E$6*AZ47&lt;=AY47,AY47,Calculator_v2!$E$6*AZ47)),0)</f>
        <v>1557.752</v>
      </c>
      <c r="BC47" s="47">
        <f>IFERROR(+BB47/Calculator_v2!$E$6,0)+IFERROR(VLOOKUP(A47,DHL_ADDER!$B$4:$E$26,4,0),0)</f>
        <v>3.3513378378378373</v>
      </c>
      <c r="BD47" s="48">
        <f t="shared" si="1"/>
        <v>2</v>
      </c>
      <c r="BE47" s="48">
        <f>+T[[#This Row],[Airport to Destination Transit Time Days]]+T[[#This Row],[Airport to Airport Transit Time Days]]+T[[#This Row],[Origin to Airport Transit Time in days]]</f>
        <v>4.5</v>
      </c>
    </row>
    <row r="48" spans="1:57" customFormat="1" x14ac:dyDescent="0.35">
      <c r="A48" t="str">
        <f>+T[[#This Row],[Provider_Name]]&amp;"_"&amp;T[[#This Row],[AXIS]]</f>
        <v>DHL_B_ES&gt;BR</v>
      </c>
      <c r="B48" t="s">
        <v>71</v>
      </c>
      <c r="C48" t="s">
        <v>132</v>
      </c>
      <c r="D48" t="s">
        <v>133</v>
      </c>
      <c r="E48" t="s">
        <v>136</v>
      </c>
      <c r="F48" t="s">
        <v>75</v>
      </c>
      <c r="G48" t="s">
        <v>100</v>
      </c>
      <c r="H48" t="s">
        <v>106</v>
      </c>
      <c r="I48" t="s">
        <v>106</v>
      </c>
      <c r="J48">
        <v>48008</v>
      </c>
      <c r="K48" t="s">
        <v>102</v>
      </c>
      <c r="L48" t="s">
        <v>79</v>
      </c>
      <c r="M48" t="s">
        <v>80</v>
      </c>
      <c r="N48" t="s">
        <v>81</v>
      </c>
      <c r="O48" t="s">
        <v>82</v>
      </c>
      <c r="P48" t="s">
        <v>83</v>
      </c>
      <c r="Q48" t="s">
        <v>84</v>
      </c>
      <c r="R48">
        <v>6</v>
      </c>
      <c r="S48">
        <v>3000</v>
      </c>
      <c r="T48">
        <v>3000</v>
      </c>
      <c r="U48" s="1">
        <v>500</v>
      </c>
      <c r="V48" t="s">
        <v>85</v>
      </c>
      <c r="W48" s="43">
        <v>6.5</v>
      </c>
      <c r="X48">
        <v>315</v>
      </c>
      <c r="Y48">
        <v>0.45</v>
      </c>
      <c r="Z48">
        <v>490</v>
      </c>
      <c r="AA48">
        <v>1.5</v>
      </c>
      <c r="AB48">
        <v>27</v>
      </c>
      <c r="AC48">
        <v>0.156</v>
      </c>
      <c r="AD48">
        <v>24</v>
      </c>
      <c r="AE48">
        <v>35</v>
      </c>
      <c r="AF48">
        <v>0.14000000000000001</v>
      </c>
      <c r="AG48" t="s">
        <v>86</v>
      </c>
      <c r="AH48">
        <v>185</v>
      </c>
      <c r="AI48" s="1">
        <v>4.9499999999999993</v>
      </c>
      <c r="AJ48" s="1">
        <v>4.1999999999999993</v>
      </c>
      <c r="AK48" s="1">
        <v>2.75</v>
      </c>
      <c r="AL48" s="1">
        <v>2.4</v>
      </c>
      <c r="AM48" s="1">
        <v>2.15</v>
      </c>
      <c r="AN48" s="1">
        <v>2</v>
      </c>
      <c r="AO48" s="1">
        <v>2</v>
      </c>
      <c r="AP48" s="1">
        <v>2</v>
      </c>
      <c r="AQ48">
        <v>2</v>
      </c>
      <c r="AR48" t="s">
        <v>135</v>
      </c>
      <c r="AS48">
        <v>2</v>
      </c>
      <c r="AT48">
        <v>2</v>
      </c>
      <c r="AX48">
        <v>1</v>
      </c>
      <c r="AY48">
        <v>120</v>
      </c>
      <c r="AZ48">
        <v>0.06</v>
      </c>
      <c r="BA48" s="43" t="str">
        <f t="shared" si="0"/>
        <v>Economy</v>
      </c>
      <c r="BB48" s="46">
        <f>IFERROR((AD48+IF(Calculator_v2!$E$6*Y48&lt;X48,X48,IF(Calculator_v2!$E$6*Y48&gt;Z48,Z48,Calculator_v2!$E$6*Y48))+IF(Calculator_v2!$E$6*AC48&lt;AB48,AB48,Calculator_v2!$E$6*AC48)+IFERROR(_xlfn.LET(_xlpm.tarifa,IF(Calculator_v2!$E$6&lt;=$AI$1,AI48,IF(Calculator_v2!$E$6&lt;=$AK$1,AJ48,IF(Calculator_v2!$E$6&lt;=$AL$1,AK48,IF(Calculator_v2!$E$6&lt;=$AM$1,AL48,IF(Calculator_v2!$E$6&lt;=$AN$1,AM48,IF(Calculator_v2!$E$6&lt;=$AO$1,AN48,IF(Calculator_v2!$E$6&lt;=$AP$1,AO48,AP48))))))),_xlpm.resultado,_xlpm.tarifa*Calculator_v2!$E$6,IF(_xlpm.resultado&lt;AH48,AH48,_xlpm.resultado)),0)+IF(Calculator_v2!$E$6*AV48&lt;AU48,AU48,IF(Calculator_v2!$E$6*AV48&gt;AW48,AW48,Calculator_v2!$E$6*AV48))+IF(Calculator_v2!$E$6*AZ48&lt;=AY48,AY48,Calculator_v2!$E$6*AZ48)),0)</f>
        <v>1824.152</v>
      </c>
      <c r="BC48" s="47">
        <f>IFERROR(+BB48/Calculator_v2!$E$6,0)+IFERROR(VLOOKUP(A48,DHL_ADDER!$B$4:$E$26,4,0),0)</f>
        <v>3.8013378378378375</v>
      </c>
      <c r="BD48" s="48">
        <f t="shared" si="1"/>
        <v>2</v>
      </c>
      <c r="BE48" s="48">
        <f>+T[[#This Row],[Airport to Destination Transit Time Days]]+T[[#This Row],[Airport to Airport Transit Time Days]]+T[[#This Row],[Origin to Airport Transit Time in days]]</f>
        <v>4.5</v>
      </c>
    </row>
    <row r="49" spans="1:57" customFormat="1" x14ac:dyDescent="0.35">
      <c r="A49" t="str">
        <f>+T[[#This Row],[Provider_Name]]&amp;"_"&amp;T[[#This Row],[AXIS]]</f>
        <v>DHL_B_ES&gt;BR</v>
      </c>
      <c r="B49" t="s">
        <v>71</v>
      </c>
      <c r="C49" t="s">
        <v>132</v>
      </c>
      <c r="D49" t="s">
        <v>133</v>
      </c>
      <c r="E49" t="s">
        <v>136</v>
      </c>
      <c r="F49" t="s">
        <v>75</v>
      </c>
      <c r="G49" t="s">
        <v>100</v>
      </c>
      <c r="H49" t="s">
        <v>106</v>
      </c>
      <c r="I49" t="s">
        <v>106</v>
      </c>
      <c r="J49">
        <v>48008</v>
      </c>
      <c r="K49" t="s">
        <v>102</v>
      </c>
      <c r="L49" t="s">
        <v>79</v>
      </c>
      <c r="M49" t="s">
        <v>80</v>
      </c>
      <c r="N49" t="s">
        <v>81</v>
      </c>
      <c r="O49" t="s">
        <v>82</v>
      </c>
      <c r="P49" t="s">
        <v>89</v>
      </c>
      <c r="Q49" t="s">
        <v>84</v>
      </c>
      <c r="R49">
        <v>6</v>
      </c>
      <c r="S49">
        <v>3000</v>
      </c>
      <c r="T49">
        <v>3000</v>
      </c>
      <c r="U49" s="1">
        <v>500</v>
      </c>
      <c r="V49" t="s">
        <v>85</v>
      </c>
      <c r="W49" s="43">
        <v>6.5</v>
      </c>
      <c r="X49">
        <v>315</v>
      </c>
      <c r="Y49">
        <v>0.45</v>
      </c>
      <c r="Z49">
        <v>490</v>
      </c>
      <c r="AA49">
        <v>1.5</v>
      </c>
      <c r="AB49">
        <v>27</v>
      </c>
      <c r="AC49">
        <v>0.156</v>
      </c>
      <c r="AD49">
        <v>24</v>
      </c>
      <c r="AE49">
        <v>35</v>
      </c>
      <c r="AF49">
        <v>0.14000000000000001</v>
      </c>
      <c r="AG49" t="s">
        <v>86</v>
      </c>
      <c r="AH49">
        <v>190</v>
      </c>
      <c r="AI49" s="1">
        <v>7.5</v>
      </c>
      <c r="AJ49" s="1">
        <v>6.35</v>
      </c>
      <c r="AK49" s="1">
        <v>4.8499999999999996</v>
      </c>
      <c r="AL49" s="1">
        <v>3.75</v>
      </c>
      <c r="AM49" s="1">
        <v>3.45</v>
      </c>
      <c r="AN49" s="1">
        <v>3.15</v>
      </c>
      <c r="AO49" s="1">
        <v>3.15</v>
      </c>
      <c r="AP49" s="1">
        <v>3.15</v>
      </c>
      <c r="AQ49">
        <v>4</v>
      </c>
      <c r="AR49" t="s">
        <v>135</v>
      </c>
      <c r="AS49">
        <v>2</v>
      </c>
      <c r="AT49">
        <v>2</v>
      </c>
      <c r="AX49">
        <v>1</v>
      </c>
      <c r="AY49">
        <v>120</v>
      </c>
      <c r="AZ49">
        <v>0.06</v>
      </c>
      <c r="BA49" s="43" t="str">
        <f t="shared" si="0"/>
        <v>Economy</v>
      </c>
      <c r="BB49" s="46">
        <f>IFERROR((AD49+IF(Calculator_v2!$E$6*Y49&lt;X49,X49,IF(Calculator_v2!$E$6*Y49&gt;Z49,Z49,Calculator_v2!$E$6*Y49))+IF(Calculator_v2!$E$6*AC49&lt;AB49,AB49,Calculator_v2!$E$6*AC49)+IFERROR(_xlfn.LET(_xlpm.tarifa,IF(Calculator_v2!$E$6&lt;=$AI$1,AI49,IF(Calculator_v2!$E$6&lt;=$AK$1,AJ49,IF(Calculator_v2!$E$6&lt;=$AL$1,AK49,IF(Calculator_v2!$E$6&lt;=$AM$1,AL49,IF(Calculator_v2!$E$6&lt;=$AN$1,AM49,IF(Calculator_v2!$E$6&lt;=$AO$1,AN49,IF(Calculator_v2!$E$6&lt;=$AP$1,AO49,AP49))))))),_xlpm.resultado,_xlpm.tarifa*Calculator_v2!$E$6,IF(_xlpm.resultado&lt;AH49,AH49,_xlpm.resultado)),0)+IF(Calculator_v2!$E$6*AV49&lt;AU49,AU49,IF(Calculator_v2!$E$6*AV49&gt;AW49,AW49,Calculator_v2!$E$6*AV49))+IF(Calculator_v2!$E$6*AZ49&lt;=AY49,AY49,Calculator_v2!$E$6*AZ49)),0)</f>
        <v>2593.752</v>
      </c>
      <c r="BC49" s="47">
        <f>IFERROR(+BB49/Calculator_v2!$E$6,0)+IFERROR(VLOOKUP(A49,DHL_ADDER!$B$4:$E$26,4,0),0)</f>
        <v>5.1013378378378373</v>
      </c>
      <c r="BD49" s="48">
        <f t="shared" si="1"/>
        <v>2</v>
      </c>
      <c r="BE49" s="48">
        <f>+T[[#This Row],[Airport to Destination Transit Time Days]]+T[[#This Row],[Airport to Airport Transit Time Days]]+T[[#This Row],[Origin to Airport Transit Time in days]]</f>
        <v>6.5</v>
      </c>
    </row>
    <row r="50" spans="1:57" customFormat="1" x14ac:dyDescent="0.35">
      <c r="A50" t="str">
        <f>+T[[#This Row],[Provider_Name]]&amp;"_"&amp;T[[#This Row],[AXIS]]</f>
        <v>DHL_B_ES&gt;BR</v>
      </c>
      <c r="B50" t="s">
        <v>71</v>
      </c>
      <c r="C50" t="s">
        <v>132</v>
      </c>
      <c r="D50" t="s">
        <v>133</v>
      </c>
      <c r="E50" t="s">
        <v>134</v>
      </c>
      <c r="F50" t="s">
        <v>75</v>
      </c>
      <c r="G50" t="s">
        <v>100</v>
      </c>
      <c r="H50" t="s">
        <v>106</v>
      </c>
      <c r="I50" t="s">
        <v>106</v>
      </c>
      <c r="J50">
        <v>48008</v>
      </c>
      <c r="K50" t="s">
        <v>102</v>
      </c>
      <c r="L50" t="s">
        <v>79</v>
      </c>
      <c r="M50" t="s">
        <v>80</v>
      </c>
      <c r="N50" t="s">
        <v>81</v>
      </c>
      <c r="O50" t="s">
        <v>82</v>
      </c>
      <c r="P50" t="s">
        <v>83</v>
      </c>
      <c r="Q50" t="s">
        <v>84</v>
      </c>
      <c r="R50">
        <v>56</v>
      </c>
      <c r="S50">
        <v>43089</v>
      </c>
      <c r="T50">
        <v>43089</v>
      </c>
      <c r="U50" s="1">
        <v>769.44642857142856</v>
      </c>
      <c r="V50" t="s">
        <v>90</v>
      </c>
      <c r="W50" s="43">
        <v>5.5</v>
      </c>
      <c r="X50">
        <v>315</v>
      </c>
      <c r="Y50">
        <v>0.45</v>
      </c>
      <c r="Z50">
        <v>490</v>
      </c>
      <c r="AA50">
        <v>1.5</v>
      </c>
      <c r="AB50">
        <v>27</v>
      </c>
      <c r="AC50">
        <v>0.156</v>
      </c>
      <c r="AD50">
        <v>24</v>
      </c>
      <c r="AE50">
        <v>35</v>
      </c>
      <c r="AF50">
        <v>0.14000000000000001</v>
      </c>
      <c r="AG50" t="s">
        <v>86</v>
      </c>
      <c r="AH50">
        <v>300</v>
      </c>
      <c r="AI50" s="1">
        <v>6.3</v>
      </c>
      <c r="AJ50" s="1">
        <v>5.55</v>
      </c>
      <c r="AK50" s="1">
        <v>3.7</v>
      </c>
      <c r="AL50" s="1">
        <v>3.15</v>
      </c>
      <c r="AM50" s="1">
        <v>2.9</v>
      </c>
      <c r="AN50" s="1">
        <v>2.65</v>
      </c>
      <c r="AO50" s="1">
        <v>2.65</v>
      </c>
      <c r="AP50" s="1">
        <v>2.65</v>
      </c>
      <c r="AQ50">
        <v>1</v>
      </c>
      <c r="AR50" t="s">
        <v>135</v>
      </c>
      <c r="AS50">
        <v>0</v>
      </c>
      <c r="AT50">
        <v>7</v>
      </c>
      <c r="AX50">
        <v>1</v>
      </c>
      <c r="AY50">
        <v>120</v>
      </c>
      <c r="AZ50">
        <v>0.06</v>
      </c>
      <c r="BA50" s="43" t="str">
        <f t="shared" si="0"/>
        <v>Express</v>
      </c>
      <c r="BB50" s="46">
        <f>IFERROR((AD50+IF(Calculator_v2!$E$6*Y50&lt;X50,X50,IF(Calculator_v2!$E$6*Y50&gt;Z50,Z50,Calculator_v2!$E$6*Y50))+IF(Calculator_v2!$E$6*AC50&lt;AB50,AB50,Calculator_v2!$E$6*AC50)+IFERROR(_xlfn.LET(_xlpm.tarifa,IF(Calculator_v2!$E$6&lt;=$AI$1,AI50,IF(Calculator_v2!$E$6&lt;=$AK$1,AJ50,IF(Calculator_v2!$E$6&lt;=$AL$1,AK50,IF(Calculator_v2!$E$6&lt;=$AM$1,AL50,IF(Calculator_v2!$E$6&lt;=$AN$1,AM50,IF(Calculator_v2!$E$6&lt;=$AO$1,AN50,IF(Calculator_v2!$E$6&lt;=$AP$1,AO50,AP50))))))),_xlpm.resultado,_xlpm.tarifa*Calculator_v2!$E$6,IF(_xlpm.resultado&lt;AH50,AH50,_xlpm.resultado)),0)+IF(Calculator_v2!$E$6*AV50&lt;AU50,AU50,IF(Calculator_v2!$E$6*AV50&gt;AW50,AW50,Calculator_v2!$E$6*AV50))+IF(Calculator_v2!$E$6*AZ50&lt;=AY50,AY50,Calculator_v2!$E$6*AZ50)),0)</f>
        <v>2268.152</v>
      </c>
      <c r="BC50" s="47">
        <f>IFERROR(+BB50/Calculator_v2!$E$6,0)+IFERROR(VLOOKUP(A50,DHL_ADDER!$B$4:$E$26,4,0),0)</f>
        <v>4.5513378378378375</v>
      </c>
      <c r="BD50" s="48">
        <f t="shared" si="1"/>
        <v>7</v>
      </c>
      <c r="BE50" s="48">
        <f>+T[[#This Row],[Airport to Destination Transit Time Days]]+T[[#This Row],[Airport to Airport Transit Time Days]]+T[[#This Row],[Origin to Airport Transit Time in days]]</f>
        <v>3.5</v>
      </c>
    </row>
    <row r="51" spans="1:57" customFormat="1" x14ac:dyDescent="0.35">
      <c r="A51" t="str">
        <f>+T[[#This Row],[Provider_Name]]&amp;"_"&amp;T[[#This Row],[AXIS]]</f>
        <v>DHL_B_ES&gt;BR</v>
      </c>
      <c r="B51" t="s">
        <v>71</v>
      </c>
      <c r="C51" t="s">
        <v>132</v>
      </c>
      <c r="D51" t="s">
        <v>133</v>
      </c>
      <c r="E51" t="s">
        <v>134</v>
      </c>
      <c r="F51" t="s">
        <v>75</v>
      </c>
      <c r="G51" t="s">
        <v>100</v>
      </c>
      <c r="H51" t="s">
        <v>106</v>
      </c>
      <c r="I51" t="s">
        <v>106</v>
      </c>
      <c r="J51">
        <v>48008</v>
      </c>
      <c r="K51" t="s">
        <v>102</v>
      </c>
      <c r="L51" t="s">
        <v>79</v>
      </c>
      <c r="M51" t="s">
        <v>80</v>
      </c>
      <c r="N51" t="s">
        <v>81</v>
      </c>
      <c r="O51" t="s">
        <v>82</v>
      </c>
      <c r="P51" t="s">
        <v>89</v>
      </c>
      <c r="Q51" t="s">
        <v>84</v>
      </c>
      <c r="R51">
        <v>56</v>
      </c>
      <c r="S51">
        <v>43089</v>
      </c>
      <c r="T51">
        <v>43089</v>
      </c>
      <c r="U51" s="1">
        <v>769.44642857142856</v>
      </c>
      <c r="V51" t="s">
        <v>90</v>
      </c>
      <c r="W51" s="43">
        <v>5.5</v>
      </c>
      <c r="X51">
        <v>315</v>
      </c>
      <c r="Y51">
        <v>0.45</v>
      </c>
      <c r="Z51">
        <v>490</v>
      </c>
      <c r="AA51">
        <v>1.5</v>
      </c>
      <c r="AB51">
        <v>27</v>
      </c>
      <c r="AC51">
        <v>0.156</v>
      </c>
      <c r="AD51">
        <v>24</v>
      </c>
      <c r="AE51">
        <v>35</v>
      </c>
      <c r="AF51">
        <v>0.14000000000000001</v>
      </c>
      <c r="AG51" t="s">
        <v>86</v>
      </c>
      <c r="AH51">
        <v>260</v>
      </c>
      <c r="AI51" s="1">
        <v>8.7999999999999989</v>
      </c>
      <c r="AJ51" s="1">
        <v>7.6499999999999995</v>
      </c>
      <c r="AK51" s="1">
        <v>5.75</v>
      </c>
      <c r="AL51" s="1">
        <v>4.4499999999999993</v>
      </c>
      <c r="AM51" s="1">
        <v>4.1499999999999995</v>
      </c>
      <c r="AN51" s="1">
        <v>3.75</v>
      </c>
      <c r="AO51" s="1">
        <v>3.75</v>
      </c>
      <c r="AP51" s="1">
        <v>3.75</v>
      </c>
      <c r="AQ51">
        <v>3</v>
      </c>
      <c r="AR51" t="s">
        <v>135</v>
      </c>
      <c r="AS51">
        <v>1</v>
      </c>
      <c r="AT51">
        <v>7</v>
      </c>
      <c r="AX51">
        <v>1</v>
      </c>
      <c r="AY51">
        <v>120</v>
      </c>
      <c r="AZ51">
        <v>0.06</v>
      </c>
      <c r="BA51" s="43" t="str">
        <f t="shared" si="0"/>
        <v>Express</v>
      </c>
      <c r="BB51" s="46">
        <f>IFERROR((AD51+IF(Calculator_v2!$E$6*Y51&lt;X51,X51,IF(Calculator_v2!$E$6*Y51&gt;Z51,Z51,Calculator_v2!$E$6*Y51))+IF(Calculator_v2!$E$6*AC51&lt;AB51,AB51,Calculator_v2!$E$6*AC51)+IFERROR(_xlfn.LET(_xlpm.tarifa,IF(Calculator_v2!$E$6&lt;=$AI$1,AI51,IF(Calculator_v2!$E$6&lt;=$AK$1,AJ51,IF(Calculator_v2!$E$6&lt;=$AL$1,AK51,IF(Calculator_v2!$E$6&lt;=$AM$1,AL51,IF(Calculator_v2!$E$6&lt;=$AN$1,AM51,IF(Calculator_v2!$E$6&lt;=$AO$1,AN51,IF(Calculator_v2!$E$6&lt;=$AP$1,AO51,AP51))))))),_xlpm.resultado,_xlpm.tarifa*Calculator_v2!$E$6,IF(_xlpm.resultado&lt;AH51,AH51,_xlpm.resultado)),0)+IF(Calculator_v2!$E$6*AV51&lt;AU51,AU51,IF(Calculator_v2!$E$6*AV51&gt;AW51,AW51,Calculator_v2!$E$6*AV51))+IF(Calculator_v2!$E$6*AZ51&lt;=AY51,AY51,Calculator_v2!$E$6*AZ51)),0)</f>
        <v>3008.1519999999996</v>
      </c>
      <c r="BC51" s="47">
        <f>IFERROR(+BB51/Calculator_v2!$E$6,0)+IFERROR(VLOOKUP(A51,DHL_ADDER!$B$4:$E$26,4,0),0)</f>
        <v>5.8013378378378366</v>
      </c>
      <c r="BD51" s="48">
        <f t="shared" si="1"/>
        <v>7</v>
      </c>
      <c r="BE51" s="48">
        <f>+T[[#This Row],[Airport to Destination Transit Time Days]]+T[[#This Row],[Airport to Airport Transit Time Days]]+T[[#This Row],[Origin to Airport Transit Time in days]]</f>
        <v>5.5</v>
      </c>
    </row>
    <row r="52" spans="1:57" customFormat="1" x14ac:dyDescent="0.35">
      <c r="A52" t="str">
        <f>+T[[#This Row],[Provider_Name]]&amp;"_"&amp;T[[#This Row],[AXIS]]</f>
        <v>DHL_B_ES&gt;BR</v>
      </c>
      <c r="B52" t="s">
        <v>71</v>
      </c>
      <c r="C52" t="s">
        <v>132</v>
      </c>
      <c r="D52" t="s">
        <v>133</v>
      </c>
      <c r="E52" t="s">
        <v>107</v>
      </c>
      <c r="F52" t="s">
        <v>75</v>
      </c>
      <c r="G52" t="s">
        <v>100</v>
      </c>
      <c r="H52" t="s">
        <v>106</v>
      </c>
      <c r="I52" t="s">
        <v>106</v>
      </c>
      <c r="J52">
        <v>48008</v>
      </c>
      <c r="K52" t="s">
        <v>102</v>
      </c>
      <c r="L52" t="s">
        <v>79</v>
      </c>
      <c r="M52" t="s">
        <v>80</v>
      </c>
      <c r="N52" t="s">
        <v>81</v>
      </c>
      <c r="O52" t="s">
        <v>82</v>
      </c>
      <c r="P52" t="s">
        <v>83</v>
      </c>
      <c r="Q52" t="s">
        <v>84</v>
      </c>
      <c r="R52">
        <v>51</v>
      </c>
      <c r="S52">
        <v>21283.199999999997</v>
      </c>
      <c r="T52">
        <v>21283.199999999997</v>
      </c>
      <c r="U52" s="1">
        <v>417.31764705882347</v>
      </c>
      <c r="V52" t="s">
        <v>90</v>
      </c>
      <c r="W52" s="43">
        <v>5.5</v>
      </c>
      <c r="X52">
        <v>315</v>
      </c>
      <c r="Y52">
        <v>0.45</v>
      </c>
      <c r="Z52">
        <v>490</v>
      </c>
      <c r="AA52">
        <v>1.5</v>
      </c>
      <c r="AB52">
        <v>27</v>
      </c>
      <c r="AC52">
        <v>0.156</v>
      </c>
      <c r="AD52">
        <v>24</v>
      </c>
      <c r="AE52">
        <v>35</v>
      </c>
      <c r="AF52">
        <v>0.14000000000000001</v>
      </c>
      <c r="AG52" t="s">
        <v>86</v>
      </c>
      <c r="AH52">
        <v>300</v>
      </c>
      <c r="AI52" s="1">
        <v>6.3</v>
      </c>
      <c r="AJ52" s="1">
        <v>5.55</v>
      </c>
      <c r="AK52" s="1">
        <v>3.7</v>
      </c>
      <c r="AL52" s="1">
        <v>3.15</v>
      </c>
      <c r="AM52" s="1">
        <v>2.9</v>
      </c>
      <c r="AN52" s="1">
        <v>2.65</v>
      </c>
      <c r="AO52" s="1">
        <v>2.65</v>
      </c>
      <c r="AP52" s="1">
        <v>2.65</v>
      </c>
      <c r="AQ52">
        <v>1</v>
      </c>
      <c r="AR52" t="s">
        <v>135</v>
      </c>
      <c r="AS52">
        <v>0</v>
      </c>
      <c r="AT52">
        <v>7</v>
      </c>
      <c r="AX52">
        <v>1</v>
      </c>
      <c r="AY52">
        <v>120</v>
      </c>
      <c r="AZ52">
        <v>0.06</v>
      </c>
      <c r="BA52" s="43" t="str">
        <f t="shared" si="0"/>
        <v>Express</v>
      </c>
      <c r="BB52" s="46">
        <f>IFERROR((AD52+IF(Calculator_v2!$E$6*Y52&lt;X52,X52,IF(Calculator_v2!$E$6*Y52&gt;Z52,Z52,Calculator_v2!$E$6*Y52))+IF(Calculator_v2!$E$6*AC52&lt;AB52,AB52,Calculator_v2!$E$6*AC52)+IFERROR(_xlfn.LET(_xlpm.tarifa,IF(Calculator_v2!$E$6&lt;=$AI$1,AI52,IF(Calculator_v2!$E$6&lt;=$AK$1,AJ52,IF(Calculator_v2!$E$6&lt;=$AL$1,AK52,IF(Calculator_v2!$E$6&lt;=$AM$1,AL52,IF(Calculator_v2!$E$6&lt;=$AN$1,AM52,IF(Calculator_v2!$E$6&lt;=$AO$1,AN52,IF(Calculator_v2!$E$6&lt;=$AP$1,AO52,AP52))))))),_xlpm.resultado,_xlpm.tarifa*Calculator_v2!$E$6,IF(_xlpm.resultado&lt;AH52,AH52,_xlpm.resultado)),0)+IF(Calculator_v2!$E$6*AV52&lt;AU52,AU52,IF(Calculator_v2!$E$6*AV52&gt;AW52,AW52,Calculator_v2!$E$6*AV52))+IF(Calculator_v2!$E$6*AZ52&lt;=AY52,AY52,Calculator_v2!$E$6*AZ52)),0)</f>
        <v>2268.152</v>
      </c>
      <c r="BC52" s="47">
        <f>IFERROR(+BB52/Calculator_v2!$E$6,0)+IFERROR(VLOOKUP(A52,DHL_ADDER!$B$4:$E$26,4,0),0)</f>
        <v>4.5513378378378375</v>
      </c>
      <c r="BD52" s="48">
        <f t="shared" si="1"/>
        <v>7</v>
      </c>
      <c r="BE52" s="48">
        <f>+T[[#This Row],[Airport to Destination Transit Time Days]]+T[[#This Row],[Airport to Airport Transit Time Days]]+T[[#This Row],[Origin to Airport Transit Time in days]]</f>
        <v>3.5</v>
      </c>
    </row>
    <row r="53" spans="1:57" customFormat="1" x14ac:dyDescent="0.35">
      <c r="A53" t="str">
        <f>+T[[#This Row],[Provider_Name]]&amp;"_"&amp;T[[#This Row],[AXIS]]</f>
        <v>DHL_B_ES&gt;BR</v>
      </c>
      <c r="B53" t="s">
        <v>71</v>
      </c>
      <c r="C53" t="s">
        <v>132</v>
      </c>
      <c r="D53" t="s">
        <v>133</v>
      </c>
      <c r="E53" t="s">
        <v>107</v>
      </c>
      <c r="F53" t="s">
        <v>75</v>
      </c>
      <c r="G53" t="s">
        <v>100</v>
      </c>
      <c r="H53" t="s">
        <v>106</v>
      </c>
      <c r="I53" t="s">
        <v>106</v>
      </c>
      <c r="J53">
        <v>48008</v>
      </c>
      <c r="K53" t="s">
        <v>102</v>
      </c>
      <c r="L53" t="s">
        <v>79</v>
      </c>
      <c r="M53" t="s">
        <v>80</v>
      </c>
      <c r="N53" t="s">
        <v>81</v>
      </c>
      <c r="O53" t="s">
        <v>82</v>
      </c>
      <c r="P53" t="s">
        <v>93</v>
      </c>
      <c r="Q53" t="s">
        <v>84</v>
      </c>
      <c r="R53">
        <v>51</v>
      </c>
      <c r="S53">
        <v>21283.199999999997</v>
      </c>
      <c r="T53">
        <v>21283.199999999997</v>
      </c>
      <c r="U53" s="1">
        <v>417.31764705882347</v>
      </c>
      <c r="V53" t="s">
        <v>90</v>
      </c>
      <c r="W53" s="43">
        <v>5.5</v>
      </c>
      <c r="X53">
        <v>315</v>
      </c>
      <c r="Y53">
        <v>0.45</v>
      </c>
      <c r="Z53">
        <v>490</v>
      </c>
      <c r="AA53">
        <v>1.5</v>
      </c>
      <c r="AB53">
        <v>27</v>
      </c>
      <c r="AC53">
        <v>0.156</v>
      </c>
      <c r="AD53">
        <v>24</v>
      </c>
      <c r="AE53">
        <v>35</v>
      </c>
      <c r="AF53">
        <v>0.14000000000000001</v>
      </c>
      <c r="AG53" t="s">
        <v>86</v>
      </c>
      <c r="AH53">
        <v>325</v>
      </c>
      <c r="AI53" s="1">
        <v>7.1</v>
      </c>
      <c r="AJ53" s="1">
        <v>5.85</v>
      </c>
      <c r="AK53" s="1">
        <v>3.2</v>
      </c>
      <c r="AL53" s="1">
        <v>2.7</v>
      </c>
      <c r="AM53" s="1">
        <v>2.4500000000000002</v>
      </c>
      <c r="AN53" s="1">
        <v>2.3000000000000003</v>
      </c>
      <c r="AO53" s="1">
        <v>2.3000000000000003</v>
      </c>
      <c r="AP53" s="1">
        <v>2.3000000000000003</v>
      </c>
      <c r="AQ53">
        <v>1</v>
      </c>
      <c r="AR53" t="s">
        <v>135</v>
      </c>
      <c r="AS53">
        <v>0</v>
      </c>
      <c r="AT53">
        <v>7</v>
      </c>
      <c r="AX53">
        <v>1</v>
      </c>
      <c r="AY53">
        <v>120</v>
      </c>
      <c r="AZ53">
        <v>0.06</v>
      </c>
      <c r="BA53" s="43" t="str">
        <f t="shared" si="0"/>
        <v>Express</v>
      </c>
      <c r="BB53" s="46">
        <f>IFERROR((AD53+IF(Calculator_v2!$E$6*Y53&lt;X53,X53,IF(Calculator_v2!$E$6*Y53&gt;Z53,Z53,Calculator_v2!$E$6*Y53))+IF(Calculator_v2!$E$6*AC53&lt;AB53,AB53,Calculator_v2!$E$6*AC53)+IFERROR(_xlfn.LET(_xlpm.tarifa,IF(Calculator_v2!$E$6&lt;=$AI$1,AI53,IF(Calculator_v2!$E$6&lt;=$AK$1,AJ53,IF(Calculator_v2!$E$6&lt;=$AL$1,AK53,IF(Calculator_v2!$E$6&lt;=$AM$1,AL53,IF(Calculator_v2!$E$6&lt;=$AN$1,AM53,IF(Calculator_v2!$E$6&lt;=$AO$1,AN53,IF(Calculator_v2!$E$6&lt;=$AP$1,AO53,AP53))))))),_xlpm.resultado,_xlpm.tarifa*Calculator_v2!$E$6,IF(_xlpm.resultado&lt;AH53,AH53,_xlpm.resultado)),0)+IF(Calculator_v2!$E$6*AV53&lt;AU53,AU53,IF(Calculator_v2!$E$6*AV53&gt;AW53,AW53,Calculator_v2!$E$6*AV53))+IF(Calculator_v2!$E$6*AZ53&lt;=AY53,AY53,Calculator_v2!$E$6*AZ53)),0)</f>
        <v>2001.752</v>
      </c>
      <c r="BC53" s="47">
        <f>IFERROR(+BB53/Calculator_v2!$E$6,0)+IFERROR(VLOOKUP(A53,DHL_ADDER!$B$4:$E$26,4,0),0)</f>
        <v>4.1013378378378373</v>
      </c>
      <c r="BD53" s="48">
        <f t="shared" si="1"/>
        <v>7</v>
      </c>
      <c r="BE53" s="48">
        <f>+T[[#This Row],[Airport to Destination Transit Time Days]]+T[[#This Row],[Airport to Airport Transit Time Days]]+T[[#This Row],[Origin to Airport Transit Time in days]]</f>
        <v>3.5</v>
      </c>
    </row>
    <row r="54" spans="1:57" customFormat="1" x14ac:dyDescent="0.35">
      <c r="A54" t="str">
        <f>+T[[#This Row],[Provider_Name]]&amp;"_"&amp;T[[#This Row],[AXIS]]</f>
        <v>DHL_B_ES&gt;BR</v>
      </c>
      <c r="B54" t="s">
        <v>71</v>
      </c>
      <c r="C54" t="s">
        <v>132</v>
      </c>
      <c r="D54" t="s">
        <v>133</v>
      </c>
      <c r="E54" t="s">
        <v>136</v>
      </c>
      <c r="F54" t="s">
        <v>75</v>
      </c>
      <c r="G54" t="s">
        <v>100</v>
      </c>
      <c r="H54" t="s">
        <v>106</v>
      </c>
      <c r="I54" t="s">
        <v>106</v>
      </c>
      <c r="J54">
        <v>48008</v>
      </c>
      <c r="K54" t="s">
        <v>102</v>
      </c>
      <c r="L54" t="s">
        <v>79</v>
      </c>
      <c r="M54" t="s">
        <v>80</v>
      </c>
      <c r="N54" t="s">
        <v>81</v>
      </c>
      <c r="O54" t="s">
        <v>82</v>
      </c>
      <c r="P54" t="s">
        <v>83</v>
      </c>
      <c r="Q54" t="s">
        <v>84</v>
      </c>
      <c r="R54">
        <v>6</v>
      </c>
      <c r="S54">
        <v>3000</v>
      </c>
      <c r="T54">
        <v>3000</v>
      </c>
      <c r="U54" s="1">
        <v>500</v>
      </c>
      <c r="V54" t="s">
        <v>90</v>
      </c>
      <c r="W54" s="43">
        <v>5.5</v>
      </c>
      <c r="X54" s="44">
        <v>315</v>
      </c>
      <c r="Y54" s="44">
        <v>0.45</v>
      </c>
      <c r="Z54" s="44">
        <v>490</v>
      </c>
      <c r="AA54">
        <v>1.5</v>
      </c>
      <c r="AB54" s="45">
        <v>27</v>
      </c>
      <c r="AC54" s="45">
        <v>0.156</v>
      </c>
      <c r="AD54" s="45">
        <v>24</v>
      </c>
      <c r="AE54">
        <v>35</v>
      </c>
      <c r="AF54">
        <v>0.14000000000000001</v>
      </c>
      <c r="AG54" t="s">
        <v>86</v>
      </c>
      <c r="AH54" s="44">
        <v>300</v>
      </c>
      <c r="AI54" s="44">
        <v>6.3</v>
      </c>
      <c r="AJ54" s="44">
        <v>5.55</v>
      </c>
      <c r="AK54" s="44">
        <v>3.7</v>
      </c>
      <c r="AL54" s="44">
        <v>3.15</v>
      </c>
      <c r="AM54" s="44">
        <v>2.9</v>
      </c>
      <c r="AN54" s="44">
        <v>2.65</v>
      </c>
      <c r="AO54" s="44">
        <v>2.65</v>
      </c>
      <c r="AP54" s="44">
        <v>2.65</v>
      </c>
      <c r="AQ54">
        <v>1</v>
      </c>
      <c r="AR54" t="s">
        <v>135</v>
      </c>
      <c r="AS54">
        <v>0</v>
      </c>
      <c r="AT54">
        <v>7</v>
      </c>
      <c r="AX54">
        <v>1</v>
      </c>
      <c r="AY54">
        <v>120</v>
      </c>
      <c r="AZ54">
        <v>0.06</v>
      </c>
      <c r="BA54" s="43" t="str">
        <f t="shared" si="0"/>
        <v>Express</v>
      </c>
      <c r="BB54" s="46">
        <f>IFERROR((AD54+IF(Calculator_v2!$E$6*Y54&lt;X54,X54,IF(Calculator_v2!$E$6*Y54&gt;Z54,Z54,Calculator_v2!$E$6*Y54))+IF(Calculator_v2!$E$6*AC54&lt;AB54,AB54,Calculator_v2!$E$6*AC54)+IFERROR(_xlfn.LET(_xlpm.tarifa,IF(Calculator_v2!$E$6&lt;=$AI$1,AI54,IF(Calculator_v2!$E$6&lt;=$AK$1,AJ54,IF(Calculator_v2!$E$6&lt;=$AL$1,AK54,IF(Calculator_v2!$E$6&lt;=$AM$1,AL54,IF(Calculator_v2!$E$6&lt;=$AN$1,AM54,IF(Calculator_v2!$E$6&lt;=$AO$1,AN54,IF(Calculator_v2!$E$6&lt;=$AP$1,AO54,AP54))))))),_xlpm.resultado,_xlpm.tarifa*Calculator_v2!$E$6,IF(_xlpm.resultado&lt;AH54,AH54,_xlpm.resultado)),0)+IF(Calculator_v2!$E$6*AV54&lt;AU54,AU54,IF(Calculator_v2!$E$6*AV54&gt;AW54,AW54,Calculator_v2!$E$6*AV54))+IF(Calculator_v2!$E$6*AZ54&lt;=AY54,AY54,Calculator_v2!$E$6*AZ54)),0)</f>
        <v>2268.152</v>
      </c>
      <c r="BC54" s="47">
        <f>IFERROR(+BB54/Calculator_v2!$E$6,0)+IFERROR(VLOOKUP(A54,DHL_ADDER!$B$4:$E$26,4,0),0)</f>
        <v>4.5513378378378375</v>
      </c>
      <c r="BD54" s="48">
        <f t="shared" si="1"/>
        <v>7</v>
      </c>
      <c r="BE54" s="48">
        <f>+T[[#This Row],[Airport to Destination Transit Time Days]]+T[[#This Row],[Airport to Airport Transit Time Days]]+T[[#This Row],[Origin to Airport Transit Time in days]]</f>
        <v>3.5</v>
      </c>
    </row>
    <row r="55" spans="1:57" customFormat="1" x14ac:dyDescent="0.35">
      <c r="A55" t="str">
        <f>+T[[#This Row],[Provider_Name]]&amp;"_"&amp;T[[#This Row],[AXIS]]</f>
        <v>DHL_B_ES&gt;BR</v>
      </c>
      <c r="B55" t="s">
        <v>71</v>
      </c>
      <c r="C55" t="s">
        <v>132</v>
      </c>
      <c r="D55" t="s">
        <v>133</v>
      </c>
      <c r="E55" t="s">
        <v>136</v>
      </c>
      <c r="F55" t="s">
        <v>75</v>
      </c>
      <c r="G55" t="s">
        <v>100</v>
      </c>
      <c r="H55" t="s">
        <v>106</v>
      </c>
      <c r="I55" t="s">
        <v>106</v>
      </c>
      <c r="J55">
        <v>48008</v>
      </c>
      <c r="K55" t="s">
        <v>102</v>
      </c>
      <c r="L55" t="s">
        <v>79</v>
      </c>
      <c r="M55" t="s">
        <v>80</v>
      </c>
      <c r="N55" t="s">
        <v>81</v>
      </c>
      <c r="O55" t="s">
        <v>82</v>
      </c>
      <c r="P55" t="s">
        <v>89</v>
      </c>
      <c r="Q55" t="s">
        <v>84</v>
      </c>
      <c r="R55">
        <v>6</v>
      </c>
      <c r="S55">
        <v>3000</v>
      </c>
      <c r="T55">
        <v>3000</v>
      </c>
      <c r="U55" s="1">
        <v>500</v>
      </c>
      <c r="V55" t="s">
        <v>90</v>
      </c>
      <c r="W55" s="43">
        <v>5.5</v>
      </c>
      <c r="X55" s="44">
        <v>315</v>
      </c>
      <c r="Y55" s="44">
        <v>0.45</v>
      </c>
      <c r="Z55" s="44">
        <v>490</v>
      </c>
      <c r="AA55">
        <v>1.5</v>
      </c>
      <c r="AB55" s="45">
        <v>27</v>
      </c>
      <c r="AC55" s="45">
        <v>0.156</v>
      </c>
      <c r="AD55" s="45">
        <v>24</v>
      </c>
      <c r="AE55">
        <v>35</v>
      </c>
      <c r="AF55">
        <v>0.14000000000000001</v>
      </c>
      <c r="AG55" t="s">
        <v>86</v>
      </c>
      <c r="AH55" s="44">
        <v>260</v>
      </c>
      <c r="AI55" s="44">
        <v>8.7999999999999989</v>
      </c>
      <c r="AJ55" s="44">
        <v>7.6499999999999995</v>
      </c>
      <c r="AK55" s="44">
        <v>5.75</v>
      </c>
      <c r="AL55" s="44">
        <v>4.4499999999999993</v>
      </c>
      <c r="AM55" s="44">
        <v>4.1499999999999995</v>
      </c>
      <c r="AN55" s="44">
        <v>3.75</v>
      </c>
      <c r="AO55" s="44">
        <v>3.75</v>
      </c>
      <c r="AP55" s="44">
        <v>3.75</v>
      </c>
      <c r="AQ55">
        <v>3</v>
      </c>
      <c r="AR55" t="s">
        <v>135</v>
      </c>
      <c r="AS55">
        <v>1</v>
      </c>
      <c r="AT55">
        <v>7</v>
      </c>
      <c r="AX55">
        <v>1</v>
      </c>
      <c r="AY55">
        <v>120</v>
      </c>
      <c r="AZ55">
        <v>0.06</v>
      </c>
      <c r="BA55" s="43" t="str">
        <f t="shared" si="0"/>
        <v>Express</v>
      </c>
      <c r="BB55" s="46">
        <f>IFERROR((AD55+IF(Calculator_v2!$E$6*Y55&lt;X55,X55,IF(Calculator_v2!$E$6*Y55&gt;Z55,Z55,Calculator_v2!$E$6*Y55))+IF(Calculator_v2!$E$6*AC55&lt;AB55,AB55,Calculator_v2!$E$6*AC55)+IFERROR(_xlfn.LET(_xlpm.tarifa,IF(Calculator_v2!$E$6&lt;=$AI$1,AI55,IF(Calculator_v2!$E$6&lt;=$AK$1,AJ55,IF(Calculator_v2!$E$6&lt;=$AL$1,AK55,IF(Calculator_v2!$E$6&lt;=$AM$1,AL55,IF(Calculator_v2!$E$6&lt;=$AN$1,AM55,IF(Calculator_v2!$E$6&lt;=$AO$1,AN55,IF(Calculator_v2!$E$6&lt;=$AP$1,AO55,AP55))))))),_xlpm.resultado,_xlpm.tarifa*Calculator_v2!$E$6,IF(_xlpm.resultado&lt;AH55,AH55,_xlpm.resultado)),0)+IF(Calculator_v2!$E$6*AV55&lt;AU55,AU55,IF(Calculator_v2!$E$6*AV55&gt;AW55,AW55,Calculator_v2!$E$6*AV55))+IF(Calculator_v2!$E$6*AZ55&lt;=AY55,AY55,Calculator_v2!$E$6*AZ55)),0)</f>
        <v>3008.1519999999996</v>
      </c>
      <c r="BC55" s="47">
        <f>IFERROR(+BB55/Calculator_v2!$E$6,0)+IFERROR(VLOOKUP(A55,DHL_ADDER!$B$4:$E$26,4,0),0)</f>
        <v>5.8013378378378366</v>
      </c>
      <c r="BD55" s="48">
        <f t="shared" si="1"/>
        <v>7</v>
      </c>
      <c r="BE55" s="48">
        <f>+T[[#This Row],[Airport to Destination Transit Time Days]]+T[[#This Row],[Airport to Airport Transit Time Days]]+T[[#This Row],[Origin to Airport Transit Time in days]]</f>
        <v>5.5</v>
      </c>
    </row>
    <row r="56" spans="1:57" customFormat="1" x14ac:dyDescent="0.35">
      <c r="A56" t="str">
        <f>+T[[#This Row],[Provider_Name]]&amp;"_"&amp;T[[#This Row],[AXIS]]</f>
        <v>DHL_B_ES&gt;BR</v>
      </c>
      <c r="B56" t="s">
        <v>71</v>
      </c>
      <c r="C56" t="s">
        <v>132</v>
      </c>
      <c r="D56" t="s">
        <v>133</v>
      </c>
      <c r="E56" t="s">
        <v>134</v>
      </c>
      <c r="F56" t="s">
        <v>75</v>
      </c>
      <c r="G56" t="s">
        <v>100</v>
      </c>
      <c r="H56" t="s">
        <v>106</v>
      </c>
      <c r="I56" t="s">
        <v>106</v>
      </c>
      <c r="J56">
        <v>48008</v>
      </c>
      <c r="K56" t="s">
        <v>102</v>
      </c>
      <c r="L56" t="s">
        <v>79</v>
      </c>
      <c r="M56" t="s">
        <v>80</v>
      </c>
      <c r="N56" t="s">
        <v>81</v>
      </c>
      <c r="O56" t="s">
        <v>82</v>
      </c>
      <c r="P56" t="s">
        <v>83</v>
      </c>
      <c r="Q56" t="s">
        <v>84</v>
      </c>
      <c r="R56">
        <v>56</v>
      </c>
      <c r="S56">
        <v>43089</v>
      </c>
      <c r="T56">
        <v>43089</v>
      </c>
      <c r="U56" s="1">
        <v>769.44642857142856</v>
      </c>
      <c r="V56" t="s">
        <v>91</v>
      </c>
      <c r="W56" s="43">
        <v>6</v>
      </c>
      <c r="X56">
        <v>315</v>
      </c>
      <c r="Y56">
        <v>0.45</v>
      </c>
      <c r="Z56">
        <v>490</v>
      </c>
      <c r="AA56">
        <v>1.5</v>
      </c>
      <c r="AB56">
        <v>27</v>
      </c>
      <c r="AC56">
        <v>0.156</v>
      </c>
      <c r="AD56">
        <v>24</v>
      </c>
      <c r="AE56">
        <v>35</v>
      </c>
      <c r="AF56">
        <v>0.14000000000000001</v>
      </c>
      <c r="AG56" t="s">
        <v>86</v>
      </c>
      <c r="AH56">
        <v>255</v>
      </c>
      <c r="AI56" s="1">
        <v>6.05</v>
      </c>
      <c r="AJ56" s="1">
        <v>5.3</v>
      </c>
      <c r="AK56" s="1">
        <v>3.45</v>
      </c>
      <c r="AL56" s="1">
        <v>2.9</v>
      </c>
      <c r="AM56" s="1">
        <v>2.65</v>
      </c>
      <c r="AN56" s="1">
        <v>2.4</v>
      </c>
      <c r="AO56" s="1">
        <v>2.4</v>
      </c>
      <c r="AP56" s="1">
        <v>2.4</v>
      </c>
      <c r="AQ56">
        <v>1.5</v>
      </c>
      <c r="AR56" t="s">
        <v>135</v>
      </c>
      <c r="AS56">
        <v>1</v>
      </c>
      <c r="AT56">
        <v>7</v>
      </c>
      <c r="AX56">
        <v>1</v>
      </c>
      <c r="AY56">
        <v>120</v>
      </c>
      <c r="AZ56">
        <v>0.06</v>
      </c>
      <c r="BA56" s="43" t="str">
        <f t="shared" si="0"/>
        <v>Normal</v>
      </c>
      <c r="BB56" s="46">
        <f>IFERROR((AD56+IF(Calculator_v2!$E$6*Y56&lt;X56,X56,IF(Calculator_v2!$E$6*Y56&gt;Z56,Z56,Calculator_v2!$E$6*Y56))+IF(Calculator_v2!$E$6*AC56&lt;AB56,AB56,Calculator_v2!$E$6*AC56)+IFERROR(_xlfn.LET(_xlpm.tarifa,IF(Calculator_v2!$E$6&lt;=$AI$1,AI56,IF(Calculator_v2!$E$6&lt;=$AK$1,AJ56,IF(Calculator_v2!$E$6&lt;=$AL$1,AK56,IF(Calculator_v2!$E$6&lt;=$AM$1,AL56,IF(Calculator_v2!$E$6&lt;=$AN$1,AM56,IF(Calculator_v2!$E$6&lt;=$AO$1,AN56,IF(Calculator_v2!$E$6&lt;=$AP$1,AO56,AP56))))))),_xlpm.resultado,_xlpm.tarifa*Calculator_v2!$E$6,IF(_xlpm.resultado&lt;AH56,AH56,_xlpm.resultado)),0)+IF(Calculator_v2!$E$6*AV56&lt;AU56,AU56,IF(Calculator_v2!$E$6*AV56&gt;AW56,AW56,Calculator_v2!$E$6*AV56))+IF(Calculator_v2!$E$6*AZ56&lt;=AY56,AY56,Calculator_v2!$E$6*AZ56)),0)</f>
        <v>2120.152</v>
      </c>
      <c r="BC56" s="47">
        <f>IFERROR(+BB56/Calculator_v2!$E$6,0)+IFERROR(VLOOKUP(A56,DHL_ADDER!$B$4:$E$26,4,0),0)</f>
        <v>4.3013378378378375</v>
      </c>
      <c r="BD56" s="48">
        <f t="shared" si="1"/>
        <v>7</v>
      </c>
      <c r="BE56" s="48">
        <f>+T[[#This Row],[Airport to Destination Transit Time Days]]+T[[#This Row],[Airport to Airport Transit Time Days]]+T[[#This Row],[Origin to Airport Transit Time in days]]</f>
        <v>4</v>
      </c>
    </row>
    <row r="57" spans="1:57" customFormat="1" x14ac:dyDescent="0.35">
      <c r="A57" t="str">
        <f>+T[[#This Row],[Provider_Name]]&amp;"_"&amp;T[[#This Row],[AXIS]]</f>
        <v>DHL_B_ES&gt;BR</v>
      </c>
      <c r="B57" t="s">
        <v>71</v>
      </c>
      <c r="C57" t="s">
        <v>132</v>
      </c>
      <c r="D57" t="s">
        <v>133</v>
      </c>
      <c r="E57" t="s">
        <v>134</v>
      </c>
      <c r="F57" t="s">
        <v>75</v>
      </c>
      <c r="G57" t="s">
        <v>100</v>
      </c>
      <c r="H57" t="s">
        <v>106</v>
      </c>
      <c r="I57" t="s">
        <v>106</v>
      </c>
      <c r="J57">
        <v>48008</v>
      </c>
      <c r="K57" t="s">
        <v>102</v>
      </c>
      <c r="L57" t="s">
        <v>79</v>
      </c>
      <c r="M57" t="s">
        <v>80</v>
      </c>
      <c r="N57" t="s">
        <v>81</v>
      </c>
      <c r="O57" t="s">
        <v>82</v>
      </c>
      <c r="P57" t="s">
        <v>89</v>
      </c>
      <c r="Q57" t="s">
        <v>84</v>
      </c>
      <c r="R57">
        <v>56</v>
      </c>
      <c r="S57">
        <v>43089</v>
      </c>
      <c r="T57">
        <v>43089</v>
      </c>
      <c r="U57" s="1">
        <v>769.44642857142856</v>
      </c>
      <c r="V57" t="s">
        <v>91</v>
      </c>
      <c r="W57" s="43">
        <v>5.5</v>
      </c>
      <c r="X57">
        <v>315</v>
      </c>
      <c r="Y57">
        <v>0.45</v>
      </c>
      <c r="Z57">
        <v>490</v>
      </c>
      <c r="AA57">
        <v>1.5</v>
      </c>
      <c r="AB57">
        <v>27</v>
      </c>
      <c r="AC57">
        <v>0.156</v>
      </c>
      <c r="AD57">
        <v>24</v>
      </c>
      <c r="AE57">
        <v>35</v>
      </c>
      <c r="AF57">
        <v>0.14000000000000001</v>
      </c>
      <c r="AG57" t="s">
        <v>86</v>
      </c>
      <c r="AH57">
        <v>190</v>
      </c>
      <c r="AI57" s="1">
        <v>7.6499999999999995</v>
      </c>
      <c r="AJ57" s="1">
        <v>6.5</v>
      </c>
      <c r="AK57" s="1">
        <v>5</v>
      </c>
      <c r="AL57" s="1">
        <v>3.9</v>
      </c>
      <c r="AM57" s="1">
        <v>3.6</v>
      </c>
      <c r="AN57" s="1">
        <v>3.3000000000000003</v>
      </c>
      <c r="AO57" s="1">
        <v>3.3000000000000003</v>
      </c>
      <c r="AP57" s="1">
        <v>3.3000000000000003</v>
      </c>
      <c r="AQ57">
        <v>3</v>
      </c>
      <c r="AR57" t="s">
        <v>135</v>
      </c>
      <c r="AS57">
        <v>1</v>
      </c>
      <c r="AT57">
        <v>7</v>
      </c>
      <c r="AX57">
        <v>1</v>
      </c>
      <c r="AY57">
        <v>120</v>
      </c>
      <c r="AZ57">
        <v>0.06</v>
      </c>
      <c r="BA57" s="43" t="str">
        <f t="shared" si="0"/>
        <v>Normal</v>
      </c>
      <c r="BB57" s="46">
        <f>IFERROR((AD57+IF(Calculator_v2!$E$6*Y57&lt;X57,X57,IF(Calculator_v2!$E$6*Y57&gt;Z57,Z57,Calculator_v2!$E$6*Y57))+IF(Calculator_v2!$E$6*AC57&lt;AB57,AB57,Calculator_v2!$E$6*AC57)+IFERROR(_xlfn.LET(_xlpm.tarifa,IF(Calculator_v2!$E$6&lt;=$AI$1,AI57,IF(Calculator_v2!$E$6&lt;=$AK$1,AJ57,IF(Calculator_v2!$E$6&lt;=$AL$1,AK57,IF(Calculator_v2!$E$6&lt;=$AM$1,AL57,IF(Calculator_v2!$E$6&lt;=$AN$1,AM57,IF(Calculator_v2!$E$6&lt;=$AO$1,AN57,IF(Calculator_v2!$E$6&lt;=$AP$1,AO57,AP57))))))),_xlpm.resultado,_xlpm.tarifa*Calculator_v2!$E$6,IF(_xlpm.resultado&lt;AH57,AH57,_xlpm.resultado)),0)+IF(Calculator_v2!$E$6*AV57&lt;AU57,AU57,IF(Calculator_v2!$E$6*AV57&gt;AW57,AW57,Calculator_v2!$E$6*AV57))+IF(Calculator_v2!$E$6*AZ57&lt;=AY57,AY57,Calculator_v2!$E$6*AZ57)),0)</f>
        <v>2682.5520000000001</v>
      </c>
      <c r="BC57" s="47">
        <f>IFERROR(+BB57/Calculator_v2!$E$6,0)+IFERROR(VLOOKUP(A57,DHL_ADDER!$B$4:$E$26,4,0),0)</f>
        <v>5.2513378378378377</v>
      </c>
      <c r="BD57" s="48">
        <f t="shared" si="1"/>
        <v>7</v>
      </c>
      <c r="BE57" s="48">
        <f>+T[[#This Row],[Airport to Destination Transit Time Days]]+T[[#This Row],[Airport to Airport Transit Time Days]]+T[[#This Row],[Origin to Airport Transit Time in days]]</f>
        <v>5.5</v>
      </c>
    </row>
    <row r="58" spans="1:57" customFormat="1" x14ac:dyDescent="0.35">
      <c r="A58" t="str">
        <f>+T[[#This Row],[Provider_Name]]&amp;"_"&amp;T[[#This Row],[AXIS]]</f>
        <v>DHL_B_ES&gt;BR</v>
      </c>
      <c r="B58" t="s">
        <v>71</v>
      </c>
      <c r="C58" t="s">
        <v>132</v>
      </c>
      <c r="D58" t="s">
        <v>133</v>
      </c>
      <c r="E58" t="s">
        <v>107</v>
      </c>
      <c r="F58" t="s">
        <v>75</v>
      </c>
      <c r="G58" t="s">
        <v>100</v>
      </c>
      <c r="H58" t="s">
        <v>106</v>
      </c>
      <c r="I58" t="s">
        <v>106</v>
      </c>
      <c r="J58">
        <v>48008</v>
      </c>
      <c r="K58" t="s">
        <v>102</v>
      </c>
      <c r="L58" t="s">
        <v>79</v>
      </c>
      <c r="M58" t="s">
        <v>80</v>
      </c>
      <c r="N58" t="s">
        <v>81</v>
      </c>
      <c r="O58" t="s">
        <v>82</v>
      </c>
      <c r="P58" t="s">
        <v>83</v>
      </c>
      <c r="Q58" t="s">
        <v>84</v>
      </c>
      <c r="R58">
        <v>51</v>
      </c>
      <c r="S58">
        <v>21283.199999999997</v>
      </c>
      <c r="T58">
        <v>21283.199999999997</v>
      </c>
      <c r="U58" s="1">
        <v>417.31764705882347</v>
      </c>
      <c r="V58" t="s">
        <v>91</v>
      </c>
      <c r="W58" s="43">
        <v>6</v>
      </c>
      <c r="X58">
        <v>315</v>
      </c>
      <c r="Y58">
        <v>0.45</v>
      </c>
      <c r="Z58">
        <v>490</v>
      </c>
      <c r="AA58">
        <v>1.5</v>
      </c>
      <c r="AB58">
        <v>27</v>
      </c>
      <c r="AC58">
        <v>0.156</v>
      </c>
      <c r="AD58">
        <v>24</v>
      </c>
      <c r="AE58">
        <v>35</v>
      </c>
      <c r="AF58">
        <v>0.14000000000000001</v>
      </c>
      <c r="AG58" t="s">
        <v>86</v>
      </c>
      <c r="AH58">
        <v>255</v>
      </c>
      <c r="AI58" s="1">
        <v>6.05</v>
      </c>
      <c r="AJ58" s="1">
        <v>5.3</v>
      </c>
      <c r="AK58" s="1">
        <v>3.45</v>
      </c>
      <c r="AL58" s="1">
        <v>2.9</v>
      </c>
      <c r="AM58" s="1">
        <v>2.65</v>
      </c>
      <c r="AN58" s="1">
        <v>2.4</v>
      </c>
      <c r="AO58" s="1">
        <v>2.4</v>
      </c>
      <c r="AP58" s="1">
        <v>2.4</v>
      </c>
      <c r="AQ58">
        <v>1.5</v>
      </c>
      <c r="AR58" t="s">
        <v>135</v>
      </c>
      <c r="AS58">
        <v>1</v>
      </c>
      <c r="AT58">
        <v>7</v>
      </c>
      <c r="AX58">
        <v>1</v>
      </c>
      <c r="AY58">
        <v>120</v>
      </c>
      <c r="AZ58">
        <v>0.06</v>
      </c>
      <c r="BA58" s="43" t="str">
        <f t="shared" si="0"/>
        <v>Normal</v>
      </c>
      <c r="BB58" s="46">
        <f>IFERROR((AD58+IF(Calculator_v2!$E$6*Y58&lt;X58,X58,IF(Calculator_v2!$E$6*Y58&gt;Z58,Z58,Calculator_v2!$E$6*Y58))+IF(Calculator_v2!$E$6*AC58&lt;AB58,AB58,Calculator_v2!$E$6*AC58)+IFERROR(_xlfn.LET(_xlpm.tarifa,IF(Calculator_v2!$E$6&lt;=$AI$1,AI58,IF(Calculator_v2!$E$6&lt;=$AK$1,AJ58,IF(Calculator_v2!$E$6&lt;=$AL$1,AK58,IF(Calculator_v2!$E$6&lt;=$AM$1,AL58,IF(Calculator_v2!$E$6&lt;=$AN$1,AM58,IF(Calculator_v2!$E$6&lt;=$AO$1,AN58,IF(Calculator_v2!$E$6&lt;=$AP$1,AO58,AP58))))))),_xlpm.resultado,_xlpm.tarifa*Calculator_v2!$E$6,IF(_xlpm.resultado&lt;AH58,AH58,_xlpm.resultado)),0)+IF(Calculator_v2!$E$6*AV58&lt;AU58,AU58,IF(Calculator_v2!$E$6*AV58&gt;AW58,AW58,Calculator_v2!$E$6*AV58))+IF(Calculator_v2!$E$6*AZ58&lt;=AY58,AY58,Calculator_v2!$E$6*AZ58)),0)</f>
        <v>2120.152</v>
      </c>
      <c r="BC58" s="47">
        <f>IFERROR(+BB58/Calculator_v2!$E$6,0)+IFERROR(VLOOKUP(A58,DHL_ADDER!$B$4:$E$26,4,0),0)</f>
        <v>4.3013378378378375</v>
      </c>
      <c r="BD58" s="48">
        <f t="shared" si="1"/>
        <v>7</v>
      </c>
      <c r="BE58" s="48">
        <f>+T[[#This Row],[Airport to Destination Transit Time Days]]+T[[#This Row],[Airport to Airport Transit Time Days]]+T[[#This Row],[Origin to Airport Transit Time in days]]</f>
        <v>4</v>
      </c>
    </row>
    <row r="59" spans="1:57" customFormat="1" x14ac:dyDescent="0.35">
      <c r="A59" t="str">
        <f>+T[[#This Row],[Provider_Name]]&amp;"_"&amp;T[[#This Row],[AXIS]]</f>
        <v>DHL_B_ES&gt;BR</v>
      </c>
      <c r="B59" t="s">
        <v>71</v>
      </c>
      <c r="C59" t="s">
        <v>132</v>
      </c>
      <c r="D59" t="s">
        <v>133</v>
      </c>
      <c r="E59" t="s">
        <v>107</v>
      </c>
      <c r="F59" t="s">
        <v>75</v>
      </c>
      <c r="G59" t="s">
        <v>100</v>
      </c>
      <c r="H59" t="s">
        <v>106</v>
      </c>
      <c r="I59" t="s">
        <v>106</v>
      </c>
      <c r="J59">
        <v>48008</v>
      </c>
      <c r="K59" t="s">
        <v>102</v>
      </c>
      <c r="L59" t="s">
        <v>79</v>
      </c>
      <c r="M59" t="s">
        <v>80</v>
      </c>
      <c r="N59" t="s">
        <v>81</v>
      </c>
      <c r="O59" t="s">
        <v>82</v>
      </c>
      <c r="P59" t="s">
        <v>93</v>
      </c>
      <c r="Q59" t="s">
        <v>84</v>
      </c>
      <c r="R59">
        <v>51</v>
      </c>
      <c r="S59">
        <v>21283.199999999997</v>
      </c>
      <c r="T59">
        <v>21283.199999999997</v>
      </c>
      <c r="U59" s="1">
        <v>417.31764705882347</v>
      </c>
      <c r="V59" t="s">
        <v>91</v>
      </c>
      <c r="W59" s="43">
        <v>6</v>
      </c>
      <c r="X59">
        <v>315</v>
      </c>
      <c r="Y59">
        <v>0.45</v>
      </c>
      <c r="Z59">
        <v>490</v>
      </c>
      <c r="AA59">
        <v>1.5</v>
      </c>
      <c r="AB59">
        <v>27</v>
      </c>
      <c r="AC59">
        <v>0.156</v>
      </c>
      <c r="AD59">
        <v>24</v>
      </c>
      <c r="AE59">
        <v>35</v>
      </c>
      <c r="AF59">
        <v>0.14000000000000001</v>
      </c>
      <c r="AG59" t="s">
        <v>86</v>
      </c>
      <c r="AH59">
        <v>300</v>
      </c>
      <c r="AI59" s="1">
        <v>6.85</v>
      </c>
      <c r="AJ59" s="1">
        <v>5.6</v>
      </c>
      <c r="AK59" s="1">
        <v>3</v>
      </c>
      <c r="AL59" s="1">
        <v>2.4500000000000002</v>
      </c>
      <c r="AM59" s="1">
        <v>2.2000000000000002</v>
      </c>
      <c r="AN59" s="1">
        <v>2.0499999999999998</v>
      </c>
      <c r="AO59" s="1">
        <v>2.0499999999999998</v>
      </c>
      <c r="AP59" s="1">
        <v>2.0499999999999998</v>
      </c>
      <c r="AQ59">
        <v>1.5</v>
      </c>
      <c r="AR59" t="s">
        <v>135</v>
      </c>
      <c r="AS59">
        <v>1</v>
      </c>
      <c r="AT59">
        <v>7</v>
      </c>
      <c r="AX59">
        <v>1</v>
      </c>
      <c r="AY59">
        <v>120</v>
      </c>
      <c r="AZ59">
        <v>0.06</v>
      </c>
      <c r="BA59" s="43" t="str">
        <f t="shared" si="0"/>
        <v>Normal</v>
      </c>
      <c r="BB59" s="46">
        <f>IFERROR((AD59+IF(Calculator_v2!$E$6*Y59&lt;X59,X59,IF(Calculator_v2!$E$6*Y59&gt;Z59,Z59,Calculator_v2!$E$6*Y59))+IF(Calculator_v2!$E$6*AC59&lt;AB59,AB59,Calculator_v2!$E$6*AC59)+IFERROR(_xlfn.LET(_xlpm.tarifa,IF(Calculator_v2!$E$6&lt;=$AI$1,AI59,IF(Calculator_v2!$E$6&lt;=$AK$1,AJ59,IF(Calculator_v2!$E$6&lt;=$AL$1,AK59,IF(Calculator_v2!$E$6&lt;=$AM$1,AL59,IF(Calculator_v2!$E$6&lt;=$AN$1,AM59,IF(Calculator_v2!$E$6&lt;=$AO$1,AN59,IF(Calculator_v2!$E$6&lt;=$AP$1,AO59,AP59))))))),_xlpm.resultado,_xlpm.tarifa*Calculator_v2!$E$6,IF(_xlpm.resultado&lt;AH59,AH59,_xlpm.resultado)),0)+IF(Calculator_v2!$E$6*AV59&lt;AU59,AU59,IF(Calculator_v2!$E$6*AV59&gt;AW59,AW59,Calculator_v2!$E$6*AV59))+IF(Calculator_v2!$E$6*AZ59&lt;=AY59,AY59,Calculator_v2!$E$6*AZ59)),0)</f>
        <v>1853.752</v>
      </c>
      <c r="BC59" s="47">
        <f>IFERROR(+BB59/Calculator_v2!$E$6,0)+IFERROR(VLOOKUP(A59,DHL_ADDER!$B$4:$E$26,4,0),0)</f>
        <v>3.8513378378378373</v>
      </c>
      <c r="BD59" s="48">
        <f t="shared" si="1"/>
        <v>7</v>
      </c>
      <c r="BE59" s="48">
        <f>+T[[#This Row],[Airport to Destination Transit Time Days]]+T[[#This Row],[Airport to Airport Transit Time Days]]+T[[#This Row],[Origin to Airport Transit Time in days]]</f>
        <v>4</v>
      </c>
    </row>
    <row r="60" spans="1:57" customFormat="1" x14ac:dyDescent="0.35">
      <c r="A60" t="str">
        <f>+T[[#This Row],[Provider_Name]]&amp;"_"&amp;T[[#This Row],[AXIS]]</f>
        <v>DHL_B_ES&gt;BR</v>
      </c>
      <c r="B60" t="s">
        <v>71</v>
      </c>
      <c r="C60" t="s">
        <v>132</v>
      </c>
      <c r="D60" t="s">
        <v>133</v>
      </c>
      <c r="E60" t="s">
        <v>136</v>
      </c>
      <c r="F60" t="s">
        <v>75</v>
      </c>
      <c r="G60" t="s">
        <v>100</v>
      </c>
      <c r="H60" t="s">
        <v>106</v>
      </c>
      <c r="I60" t="s">
        <v>106</v>
      </c>
      <c r="J60">
        <v>48008</v>
      </c>
      <c r="K60" t="s">
        <v>102</v>
      </c>
      <c r="L60" t="s">
        <v>79</v>
      </c>
      <c r="M60" t="s">
        <v>80</v>
      </c>
      <c r="N60" t="s">
        <v>81</v>
      </c>
      <c r="O60" t="s">
        <v>82</v>
      </c>
      <c r="P60" t="s">
        <v>83</v>
      </c>
      <c r="Q60" t="s">
        <v>84</v>
      </c>
      <c r="R60">
        <v>6</v>
      </c>
      <c r="S60">
        <v>3000</v>
      </c>
      <c r="T60">
        <v>3000</v>
      </c>
      <c r="U60" s="1">
        <v>500</v>
      </c>
      <c r="V60" t="s">
        <v>91</v>
      </c>
      <c r="W60" s="43">
        <v>6</v>
      </c>
      <c r="X60">
        <v>315</v>
      </c>
      <c r="Y60">
        <v>0.45</v>
      </c>
      <c r="Z60">
        <v>490</v>
      </c>
      <c r="AA60">
        <v>1.5</v>
      </c>
      <c r="AB60">
        <v>27</v>
      </c>
      <c r="AC60">
        <v>0.156</v>
      </c>
      <c r="AD60">
        <v>24</v>
      </c>
      <c r="AE60">
        <v>35</v>
      </c>
      <c r="AF60">
        <v>0.14000000000000001</v>
      </c>
      <c r="AG60" t="s">
        <v>86</v>
      </c>
      <c r="AH60">
        <v>255</v>
      </c>
      <c r="AI60" s="1">
        <v>6.05</v>
      </c>
      <c r="AJ60" s="1">
        <v>5.3</v>
      </c>
      <c r="AK60" s="1">
        <v>3.45</v>
      </c>
      <c r="AL60" s="1">
        <v>2.9</v>
      </c>
      <c r="AM60" s="1">
        <v>2.65</v>
      </c>
      <c r="AN60" s="1">
        <v>2.4</v>
      </c>
      <c r="AO60" s="1">
        <v>2.4</v>
      </c>
      <c r="AP60" s="1">
        <v>2.4</v>
      </c>
      <c r="AQ60">
        <v>1.5</v>
      </c>
      <c r="AR60" t="s">
        <v>135</v>
      </c>
      <c r="AS60">
        <v>1</v>
      </c>
      <c r="AT60">
        <v>7</v>
      </c>
      <c r="AX60">
        <v>1</v>
      </c>
      <c r="AY60">
        <v>120</v>
      </c>
      <c r="AZ60">
        <v>0.06</v>
      </c>
      <c r="BA60" s="43" t="str">
        <f t="shared" si="0"/>
        <v>Normal</v>
      </c>
      <c r="BB60" s="46">
        <f>IFERROR((AD60+IF(Calculator_v2!$E$6*Y60&lt;X60,X60,IF(Calculator_v2!$E$6*Y60&gt;Z60,Z60,Calculator_v2!$E$6*Y60))+IF(Calculator_v2!$E$6*AC60&lt;AB60,AB60,Calculator_v2!$E$6*AC60)+IFERROR(_xlfn.LET(_xlpm.tarifa,IF(Calculator_v2!$E$6&lt;=$AI$1,AI60,IF(Calculator_v2!$E$6&lt;=$AK$1,AJ60,IF(Calculator_v2!$E$6&lt;=$AL$1,AK60,IF(Calculator_v2!$E$6&lt;=$AM$1,AL60,IF(Calculator_v2!$E$6&lt;=$AN$1,AM60,IF(Calculator_v2!$E$6&lt;=$AO$1,AN60,IF(Calculator_v2!$E$6&lt;=$AP$1,AO60,AP60))))))),_xlpm.resultado,_xlpm.tarifa*Calculator_v2!$E$6,IF(_xlpm.resultado&lt;AH60,AH60,_xlpm.resultado)),0)+IF(Calculator_v2!$E$6*AV60&lt;AU60,AU60,IF(Calculator_v2!$E$6*AV60&gt;AW60,AW60,Calculator_v2!$E$6*AV60))+IF(Calculator_v2!$E$6*AZ60&lt;=AY60,AY60,Calculator_v2!$E$6*AZ60)),0)</f>
        <v>2120.152</v>
      </c>
      <c r="BC60" s="47">
        <f>IFERROR(+BB60/Calculator_v2!$E$6,0)+IFERROR(VLOOKUP(A60,DHL_ADDER!$B$4:$E$26,4,0),0)</f>
        <v>4.3013378378378375</v>
      </c>
      <c r="BD60" s="48">
        <f t="shared" si="1"/>
        <v>7</v>
      </c>
      <c r="BE60" s="48">
        <f>+T[[#This Row],[Airport to Destination Transit Time Days]]+T[[#This Row],[Airport to Airport Transit Time Days]]+T[[#This Row],[Origin to Airport Transit Time in days]]</f>
        <v>4</v>
      </c>
    </row>
    <row r="61" spans="1:57" customFormat="1" x14ac:dyDescent="0.35">
      <c r="A61" t="str">
        <f>+T[[#This Row],[Provider_Name]]&amp;"_"&amp;T[[#This Row],[AXIS]]</f>
        <v>DHL_B_ES&gt;BR</v>
      </c>
      <c r="B61" t="s">
        <v>71</v>
      </c>
      <c r="C61" t="s">
        <v>132</v>
      </c>
      <c r="D61" t="s">
        <v>133</v>
      </c>
      <c r="E61" t="s">
        <v>136</v>
      </c>
      <c r="F61" t="s">
        <v>75</v>
      </c>
      <c r="G61" t="s">
        <v>100</v>
      </c>
      <c r="H61" t="s">
        <v>106</v>
      </c>
      <c r="I61" t="s">
        <v>106</v>
      </c>
      <c r="J61">
        <v>48008</v>
      </c>
      <c r="K61" t="s">
        <v>102</v>
      </c>
      <c r="L61" t="s">
        <v>79</v>
      </c>
      <c r="M61" t="s">
        <v>80</v>
      </c>
      <c r="N61" t="s">
        <v>81</v>
      </c>
      <c r="O61" t="s">
        <v>82</v>
      </c>
      <c r="P61" t="s">
        <v>89</v>
      </c>
      <c r="Q61" t="s">
        <v>84</v>
      </c>
      <c r="R61">
        <v>6</v>
      </c>
      <c r="S61">
        <v>3000</v>
      </c>
      <c r="T61">
        <v>3000</v>
      </c>
      <c r="U61" s="1">
        <v>500</v>
      </c>
      <c r="V61" t="s">
        <v>91</v>
      </c>
      <c r="W61" s="43">
        <v>5.5</v>
      </c>
      <c r="X61">
        <v>315</v>
      </c>
      <c r="Y61">
        <v>0.45</v>
      </c>
      <c r="Z61">
        <v>490</v>
      </c>
      <c r="AA61">
        <v>1.5</v>
      </c>
      <c r="AB61">
        <v>27</v>
      </c>
      <c r="AC61">
        <v>0.156</v>
      </c>
      <c r="AD61">
        <v>24</v>
      </c>
      <c r="AE61">
        <v>35</v>
      </c>
      <c r="AF61">
        <v>0.14000000000000001</v>
      </c>
      <c r="AG61" t="s">
        <v>86</v>
      </c>
      <c r="AH61">
        <v>190</v>
      </c>
      <c r="AI61" s="1">
        <v>7.6499999999999995</v>
      </c>
      <c r="AJ61" s="1">
        <v>6.5</v>
      </c>
      <c r="AK61" s="1">
        <v>5</v>
      </c>
      <c r="AL61" s="1">
        <v>3.9</v>
      </c>
      <c r="AM61" s="1">
        <v>3.6</v>
      </c>
      <c r="AN61" s="1">
        <v>3.3000000000000003</v>
      </c>
      <c r="AO61" s="1">
        <v>3.3000000000000003</v>
      </c>
      <c r="AP61" s="1">
        <v>3.3000000000000003</v>
      </c>
      <c r="AQ61">
        <v>3</v>
      </c>
      <c r="AR61" t="s">
        <v>135</v>
      </c>
      <c r="AS61">
        <v>1</v>
      </c>
      <c r="AT61">
        <v>7</v>
      </c>
      <c r="AX61">
        <v>1</v>
      </c>
      <c r="AY61">
        <v>120</v>
      </c>
      <c r="AZ61">
        <v>0.06</v>
      </c>
      <c r="BA61" s="43" t="str">
        <f t="shared" si="0"/>
        <v>Normal</v>
      </c>
      <c r="BB61" s="46">
        <f>IFERROR((AD61+IF(Calculator_v2!$E$6*Y61&lt;X61,X61,IF(Calculator_v2!$E$6*Y61&gt;Z61,Z61,Calculator_v2!$E$6*Y61))+IF(Calculator_v2!$E$6*AC61&lt;AB61,AB61,Calculator_v2!$E$6*AC61)+IFERROR(_xlfn.LET(_xlpm.tarifa,IF(Calculator_v2!$E$6&lt;=$AI$1,AI61,IF(Calculator_v2!$E$6&lt;=$AK$1,AJ61,IF(Calculator_v2!$E$6&lt;=$AL$1,AK61,IF(Calculator_v2!$E$6&lt;=$AM$1,AL61,IF(Calculator_v2!$E$6&lt;=$AN$1,AM61,IF(Calculator_v2!$E$6&lt;=$AO$1,AN61,IF(Calculator_v2!$E$6&lt;=$AP$1,AO61,AP61))))))),_xlpm.resultado,_xlpm.tarifa*Calculator_v2!$E$6,IF(_xlpm.resultado&lt;AH61,AH61,_xlpm.resultado)),0)+IF(Calculator_v2!$E$6*AV61&lt;AU61,AU61,IF(Calculator_v2!$E$6*AV61&gt;AW61,AW61,Calculator_v2!$E$6*AV61))+IF(Calculator_v2!$E$6*AZ61&lt;=AY61,AY61,Calculator_v2!$E$6*AZ61)),0)</f>
        <v>2682.5520000000001</v>
      </c>
      <c r="BC61" s="47">
        <f>IFERROR(+BB61/Calculator_v2!$E$6,0)+IFERROR(VLOOKUP(A61,DHL_ADDER!$B$4:$E$26,4,0),0)</f>
        <v>5.2513378378378377</v>
      </c>
      <c r="BD61" s="48">
        <f t="shared" si="1"/>
        <v>7</v>
      </c>
      <c r="BE61" s="48">
        <f>+T[[#This Row],[Airport to Destination Transit Time Days]]+T[[#This Row],[Airport to Airport Transit Time Days]]+T[[#This Row],[Origin to Airport Transit Time in days]]</f>
        <v>5.5</v>
      </c>
    </row>
    <row r="62" spans="1:57" customFormat="1" x14ac:dyDescent="0.35">
      <c r="A62" t="str">
        <f>+T[[#This Row],[Provider_Name]]&amp;"_"&amp;T[[#This Row],[AXIS]]</f>
        <v>DHL_B_ES&gt;BR</v>
      </c>
      <c r="B62" t="s">
        <v>71</v>
      </c>
      <c r="C62" t="s">
        <v>132</v>
      </c>
      <c r="D62" t="s">
        <v>133</v>
      </c>
      <c r="E62" t="s">
        <v>134</v>
      </c>
      <c r="F62" t="s">
        <v>92</v>
      </c>
      <c r="G62" t="s">
        <v>100</v>
      </c>
      <c r="H62" t="s">
        <v>106</v>
      </c>
      <c r="I62" t="s">
        <v>106</v>
      </c>
      <c r="J62">
        <v>48008</v>
      </c>
      <c r="K62" t="s">
        <v>102</v>
      </c>
      <c r="L62" t="s">
        <v>79</v>
      </c>
      <c r="M62" t="s">
        <v>80</v>
      </c>
      <c r="N62" t="s">
        <v>81</v>
      </c>
      <c r="O62" t="s">
        <v>82</v>
      </c>
      <c r="P62" t="s">
        <v>93</v>
      </c>
      <c r="Q62" t="s">
        <v>84</v>
      </c>
      <c r="R62">
        <v>56</v>
      </c>
      <c r="S62">
        <v>43089</v>
      </c>
      <c r="T62">
        <v>43089</v>
      </c>
      <c r="U62" s="1">
        <v>769.44642857142856</v>
      </c>
      <c r="V62" t="s">
        <v>85</v>
      </c>
      <c r="W62" s="43">
        <v>6.5</v>
      </c>
      <c r="X62">
        <v>315</v>
      </c>
      <c r="Y62">
        <v>0.45</v>
      </c>
      <c r="Z62">
        <v>490</v>
      </c>
      <c r="AA62">
        <v>1.5</v>
      </c>
      <c r="AB62">
        <v>27</v>
      </c>
      <c r="AC62">
        <v>0.156</v>
      </c>
      <c r="AD62">
        <v>24</v>
      </c>
      <c r="AE62">
        <v>35</v>
      </c>
      <c r="AF62">
        <v>0.14000000000000001</v>
      </c>
      <c r="AG62" t="s">
        <v>86</v>
      </c>
      <c r="AH62">
        <v>230</v>
      </c>
      <c r="AI62" s="1">
        <v>5.75</v>
      </c>
      <c r="AJ62" s="1">
        <v>4.5</v>
      </c>
      <c r="AK62" s="1">
        <v>2.2000000000000002</v>
      </c>
      <c r="AL62" s="1">
        <v>1.9500000000000002</v>
      </c>
      <c r="AM62" s="1">
        <v>1.7000000000000002</v>
      </c>
      <c r="AN62" s="1">
        <v>1.5</v>
      </c>
      <c r="AO62" s="1">
        <v>1.5</v>
      </c>
      <c r="AP62" s="1">
        <v>1.5</v>
      </c>
      <c r="AQ62">
        <v>2</v>
      </c>
      <c r="AR62" t="s">
        <v>135</v>
      </c>
      <c r="AS62">
        <v>2</v>
      </c>
      <c r="AT62">
        <v>2</v>
      </c>
      <c r="AX62">
        <v>1</v>
      </c>
      <c r="AY62">
        <v>120</v>
      </c>
      <c r="AZ62">
        <v>0.06</v>
      </c>
      <c r="BA62" s="43" t="str">
        <f t="shared" si="0"/>
        <v>Economy</v>
      </c>
      <c r="BB62" s="46">
        <f>IFERROR((AD62+IF(Calculator_v2!$E$6*Y62&lt;X62,X62,IF(Calculator_v2!$E$6*Y62&gt;Z62,Z62,Calculator_v2!$E$6*Y62))+IF(Calculator_v2!$E$6*AC62&lt;AB62,AB62,Calculator_v2!$E$6*AC62)+IFERROR(_xlfn.LET(_xlpm.tarifa,IF(Calculator_v2!$E$6&lt;=$AI$1,AI62,IF(Calculator_v2!$E$6&lt;=$AK$1,AJ62,IF(Calculator_v2!$E$6&lt;=$AL$1,AK62,IF(Calculator_v2!$E$6&lt;=$AM$1,AL62,IF(Calculator_v2!$E$6&lt;=$AN$1,AM62,IF(Calculator_v2!$E$6&lt;=$AO$1,AN62,IF(Calculator_v2!$E$6&lt;=$AP$1,AO62,AP62))))))),_xlpm.resultado,_xlpm.tarifa*Calculator_v2!$E$6,IF(_xlpm.resultado&lt;AH62,AH62,_xlpm.resultado)),0)+IF(Calculator_v2!$E$6*AV62&lt;AU62,AU62,IF(Calculator_v2!$E$6*AV62&gt;AW62,AW62,Calculator_v2!$E$6*AV62))+IF(Calculator_v2!$E$6*AZ62&lt;=AY62,AY62,Calculator_v2!$E$6*AZ62)),0)</f>
        <v>1557.752</v>
      </c>
      <c r="BC62" s="47">
        <f>IFERROR(+BB62/Calculator_v2!$E$6,0)+IFERROR(VLOOKUP(A62,DHL_ADDER!$B$4:$E$26,4,0),0)</f>
        <v>3.3513378378378373</v>
      </c>
      <c r="BD62" s="48">
        <f t="shared" si="1"/>
        <v>2</v>
      </c>
      <c r="BE62" s="48">
        <f>+T[[#This Row],[Airport to Destination Transit Time Days]]+T[[#This Row],[Airport to Airport Transit Time Days]]+T[[#This Row],[Origin to Airport Transit Time in days]]</f>
        <v>4.5</v>
      </c>
    </row>
    <row r="63" spans="1:57" customFormat="1" x14ac:dyDescent="0.35">
      <c r="A63" t="str">
        <f>+T[[#This Row],[Provider_Name]]&amp;"_"&amp;T[[#This Row],[AXIS]]</f>
        <v>DHL_B_ES&gt;BR</v>
      </c>
      <c r="B63" t="s">
        <v>71</v>
      </c>
      <c r="C63" t="s">
        <v>132</v>
      </c>
      <c r="D63" t="s">
        <v>133</v>
      </c>
      <c r="E63" t="s">
        <v>107</v>
      </c>
      <c r="F63" t="s">
        <v>92</v>
      </c>
      <c r="G63" t="s">
        <v>100</v>
      </c>
      <c r="H63" t="s">
        <v>106</v>
      </c>
      <c r="I63" t="s">
        <v>106</v>
      </c>
      <c r="J63">
        <v>48008</v>
      </c>
      <c r="K63" t="s">
        <v>102</v>
      </c>
      <c r="L63" t="s">
        <v>79</v>
      </c>
      <c r="M63" t="s">
        <v>80</v>
      </c>
      <c r="N63" t="s">
        <v>81</v>
      </c>
      <c r="O63" t="s">
        <v>82</v>
      </c>
      <c r="P63" t="s">
        <v>89</v>
      </c>
      <c r="Q63" t="s">
        <v>84</v>
      </c>
      <c r="R63">
        <v>51</v>
      </c>
      <c r="S63">
        <v>21283.199999999997</v>
      </c>
      <c r="T63">
        <v>21283.199999999997</v>
      </c>
      <c r="U63" s="1">
        <v>417.31764705882347</v>
      </c>
      <c r="V63" t="s">
        <v>85</v>
      </c>
      <c r="W63" s="43">
        <v>6.5</v>
      </c>
      <c r="X63">
        <v>315</v>
      </c>
      <c r="Y63">
        <v>0.45</v>
      </c>
      <c r="Z63">
        <v>490</v>
      </c>
      <c r="AA63">
        <v>1.5</v>
      </c>
      <c r="AB63">
        <v>27</v>
      </c>
      <c r="AC63">
        <v>0.156</v>
      </c>
      <c r="AD63">
        <v>24</v>
      </c>
      <c r="AE63">
        <v>35</v>
      </c>
      <c r="AF63">
        <v>0.14000000000000001</v>
      </c>
      <c r="AG63" t="s">
        <v>86</v>
      </c>
      <c r="AH63">
        <v>190</v>
      </c>
      <c r="AI63" s="1">
        <v>7.5</v>
      </c>
      <c r="AJ63" s="1">
        <v>6.35</v>
      </c>
      <c r="AK63" s="1">
        <v>4.8499999999999996</v>
      </c>
      <c r="AL63" s="1">
        <v>3.75</v>
      </c>
      <c r="AM63" s="1">
        <v>3.45</v>
      </c>
      <c r="AN63" s="1">
        <v>3.15</v>
      </c>
      <c r="AO63" s="1">
        <v>3.15</v>
      </c>
      <c r="AP63" s="1">
        <v>3.15</v>
      </c>
      <c r="AQ63">
        <v>4</v>
      </c>
      <c r="AR63" t="s">
        <v>135</v>
      </c>
      <c r="AS63">
        <v>2</v>
      </c>
      <c r="AT63">
        <v>2</v>
      </c>
      <c r="AX63">
        <v>1</v>
      </c>
      <c r="AY63">
        <v>120</v>
      </c>
      <c r="AZ63">
        <v>0.06</v>
      </c>
      <c r="BA63" s="43" t="str">
        <f t="shared" si="0"/>
        <v>Economy</v>
      </c>
      <c r="BB63" s="46">
        <f>IFERROR((AD63+IF(Calculator_v2!$E$6*Y63&lt;X63,X63,IF(Calculator_v2!$E$6*Y63&gt;Z63,Z63,Calculator_v2!$E$6*Y63))+IF(Calculator_v2!$E$6*AC63&lt;AB63,AB63,Calculator_v2!$E$6*AC63)+IFERROR(_xlfn.LET(_xlpm.tarifa,IF(Calculator_v2!$E$6&lt;=$AI$1,AI63,IF(Calculator_v2!$E$6&lt;=$AK$1,AJ63,IF(Calculator_v2!$E$6&lt;=$AL$1,AK63,IF(Calculator_v2!$E$6&lt;=$AM$1,AL63,IF(Calculator_v2!$E$6&lt;=$AN$1,AM63,IF(Calculator_v2!$E$6&lt;=$AO$1,AN63,IF(Calculator_v2!$E$6&lt;=$AP$1,AO63,AP63))))))),_xlpm.resultado,_xlpm.tarifa*Calculator_v2!$E$6,IF(_xlpm.resultado&lt;AH63,AH63,_xlpm.resultado)),0)+IF(Calculator_v2!$E$6*AV63&lt;AU63,AU63,IF(Calculator_v2!$E$6*AV63&gt;AW63,AW63,Calculator_v2!$E$6*AV63))+IF(Calculator_v2!$E$6*AZ63&lt;=AY63,AY63,Calculator_v2!$E$6*AZ63)),0)</f>
        <v>2593.752</v>
      </c>
      <c r="BC63" s="47">
        <f>IFERROR(+BB63/Calculator_v2!$E$6,0)+IFERROR(VLOOKUP(A63,DHL_ADDER!$B$4:$E$26,4,0),0)</f>
        <v>5.1013378378378373</v>
      </c>
      <c r="BD63" s="48">
        <f t="shared" si="1"/>
        <v>2</v>
      </c>
      <c r="BE63" s="48">
        <f>+T[[#This Row],[Airport to Destination Transit Time Days]]+T[[#This Row],[Airport to Airport Transit Time Days]]+T[[#This Row],[Origin to Airport Transit Time in days]]</f>
        <v>6.5</v>
      </c>
    </row>
    <row r="64" spans="1:57" customFormat="1" x14ac:dyDescent="0.35">
      <c r="A64" t="str">
        <f>+T[[#This Row],[Provider_Name]]&amp;"_"&amp;T[[#This Row],[AXIS]]</f>
        <v>DHL_B_ES&gt;BR</v>
      </c>
      <c r="B64" t="s">
        <v>71</v>
      </c>
      <c r="C64" t="s">
        <v>132</v>
      </c>
      <c r="D64" t="s">
        <v>133</v>
      </c>
      <c r="E64" t="s">
        <v>136</v>
      </c>
      <c r="F64" t="s">
        <v>92</v>
      </c>
      <c r="G64" t="s">
        <v>100</v>
      </c>
      <c r="H64" t="s">
        <v>106</v>
      </c>
      <c r="I64" t="s">
        <v>106</v>
      </c>
      <c r="J64">
        <v>48008</v>
      </c>
      <c r="K64" t="s">
        <v>102</v>
      </c>
      <c r="L64" t="s">
        <v>79</v>
      </c>
      <c r="M64" t="s">
        <v>80</v>
      </c>
      <c r="N64" t="s">
        <v>81</v>
      </c>
      <c r="O64" t="s">
        <v>82</v>
      </c>
      <c r="P64" t="s">
        <v>93</v>
      </c>
      <c r="Q64" t="s">
        <v>84</v>
      </c>
      <c r="R64">
        <v>6</v>
      </c>
      <c r="S64">
        <v>3000</v>
      </c>
      <c r="T64">
        <v>3000</v>
      </c>
      <c r="U64" s="1">
        <v>500</v>
      </c>
      <c r="V64" t="s">
        <v>85</v>
      </c>
      <c r="W64" s="43">
        <v>6.5</v>
      </c>
      <c r="X64" s="44">
        <v>315</v>
      </c>
      <c r="Y64" s="44">
        <v>0.45</v>
      </c>
      <c r="Z64" s="44">
        <v>490</v>
      </c>
      <c r="AA64">
        <v>1.5</v>
      </c>
      <c r="AB64" s="45">
        <v>27</v>
      </c>
      <c r="AC64" s="45">
        <v>0.156</v>
      </c>
      <c r="AD64" s="45">
        <v>24</v>
      </c>
      <c r="AE64">
        <v>35</v>
      </c>
      <c r="AF64">
        <v>0.14000000000000001</v>
      </c>
      <c r="AG64" t="s">
        <v>86</v>
      </c>
      <c r="AH64" s="44">
        <v>230</v>
      </c>
      <c r="AI64" s="44">
        <v>5.75</v>
      </c>
      <c r="AJ64" s="44">
        <v>4.5</v>
      </c>
      <c r="AK64" s="44">
        <v>2.2000000000000002</v>
      </c>
      <c r="AL64" s="44">
        <v>1.9500000000000002</v>
      </c>
      <c r="AM64" s="44">
        <v>1.7000000000000002</v>
      </c>
      <c r="AN64" s="44">
        <v>1.5</v>
      </c>
      <c r="AO64" s="44">
        <v>1.5</v>
      </c>
      <c r="AP64" s="44">
        <v>1.5</v>
      </c>
      <c r="AQ64">
        <v>2</v>
      </c>
      <c r="AR64" t="s">
        <v>135</v>
      </c>
      <c r="AS64">
        <v>2</v>
      </c>
      <c r="AT64">
        <v>2</v>
      </c>
      <c r="AX64">
        <v>1</v>
      </c>
      <c r="AY64">
        <v>120</v>
      </c>
      <c r="AZ64">
        <v>0.06</v>
      </c>
      <c r="BA64" s="43" t="str">
        <f t="shared" si="0"/>
        <v>Economy</v>
      </c>
      <c r="BB64" s="46">
        <f>IFERROR((AD64+IF(Calculator_v2!$E$6*Y64&lt;X64,X64,IF(Calculator_v2!$E$6*Y64&gt;Z64,Z64,Calculator_v2!$E$6*Y64))+IF(Calculator_v2!$E$6*AC64&lt;AB64,AB64,Calculator_v2!$E$6*AC64)+IFERROR(_xlfn.LET(_xlpm.tarifa,IF(Calculator_v2!$E$6&lt;=$AI$1,AI64,IF(Calculator_v2!$E$6&lt;=$AK$1,AJ64,IF(Calculator_v2!$E$6&lt;=$AL$1,AK64,IF(Calculator_v2!$E$6&lt;=$AM$1,AL64,IF(Calculator_v2!$E$6&lt;=$AN$1,AM64,IF(Calculator_v2!$E$6&lt;=$AO$1,AN64,IF(Calculator_v2!$E$6&lt;=$AP$1,AO64,AP64))))))),_xlpm.resultado,_xlpm.tarifa*Calculator_v2!$E$6,IF(_xlpm.resultado&lt;AH64,AH64,_xlpm.resultado)),0)+IF(Calculator_v2!$E$6*AV64&lt;AU64,AU64,IF(Calculator_v2!$E$6*AV64&gt;AW64,AW64,Calculator_v2!$E$6*AV64))+IF(Calculator_v2!$E$6*AZ64&lt;=AY64,AY64,Calculator_v2!$E$6*AZ64)),0)</f>
        <v>1557.752</v>
      </c>
      <c r="BC64" s="47">
        <f>IFERROR(+BB64/Calculator_v2!$E$6,0)+IFERROR(VLOOKUP(A64,DHL_ADDER!$B$4:$E$26,4,0),0)</f>
        <v>3.3513378378378373</v>
      </c>
      <c r="BD64" s="48">
        <f t="shared" si="1"/>
        <v>2</v>
      </c>
      <c r="BE64" s="48">
        <f>+T[[#This Row],[Airport to Destination Transit Time Days]]+T[[#This Row],[Airport to Airport Transit Time Days]]+T[[#This Row],[Origin to Airport Transit Time in days]]</f>
        <v>4.5</v>
      </c>
    </row>
    <row r="65" spans="1:57" customFormat="1" x14ac:dyDescent="0.35">
      <c r="A65" t="str">
        <f>+T[[#This Row],[Provider_Name]]&amp;"_"&amp;T[[#This Row],[AXIS]]</f>
        <v>DHL_B_ES&gt;BR</v>
      </c>
      <c r="B65" t="s">
        <v>71</v>
      </c>
      <c r="C65" t="s">
        <v>132</v>
      </c>
      <c r="D65" t="s">
        <v>133</v>
      </c>
      <c r="E65" t="s">
        <v>134</v>
      </c>
      <c r="F65" t="s">
        <v>92</v>
      </c>
      <c r="G65" t="s">
        <v>100</v>
      </c>
      <c r="H65" t="s">
        <v>106</v>
      </c>
      <c r="I65" t="s">
        <v>106</v>
      </c>
      <c r="J65">
        <v>48008</v>
      </c>
      <c r="K65" t="s">
        <v>102</v>
      </c>
      <c r="L65" t="s">
        <v>79</v>
      </c>
      <c r="M65" t="s">
        <v>80</v>
      </c>
      <c r="N65" t="s">
        <v>81</v>
      </c>
      <c r="O65" t="s">
        <v>82</v>
      </c>
      <c r="P65" t="s">
        <v>93</v>
      </c>
      <c r="Q65" t="s">
        <v>84</v>
      </c>
      <c r="R65">
        <v>56</v>
      </c>
      <c r="S65">
        <v>43089</v>
      </c>
      <c r="T65">
        <v>43089</v>
      </c>
      <c r="U65" s="1">
        <v>769.44642857142856</v>
      </c>
      <c r="V65" t="s">
        <v>90</v>
      </c>
      <c r="W65" s="43">
        <v>5.5</v>
      </c>
      <c r="X65">
        <v>315</v>
      </c>
      <c r="Y65">
        <v>0.45</v>
      </c>
      <c r="Z65">
        <v>490</v>
      </c>
      <c r="AA65">
        <v>1.5</v>
      </c>
      <c r="AB65">
        <v>27</v>
      </c>
      <c r="AC65">
        <v>0.156</v>
      </c>
      <c r="AD65">
        <v>24</v>
      </c>
      <c r="AE65">
        <v>35</v>
      </c>
      <c r="AF65">
        <v>0.14000000000000001</v>
      </c>
      <c r="AG65" t="s">
        <v>86</v>
      </c>
      <c r="AH65">
        <v>325</v>
      </c>
      <c r="AI65" s="1">
        <v>7.1</v>
      </c>
      <c r="AJ65" s="1">
        <v>5.85</v>
      </c>
      <c r="AK65" s="1">
        <v>3.2</v>
      </c>
      <c r="AL65" s="1">
        <v>2.7</v>
      </c>
      <c r="AM65" s="1">
        <v>2.4500000000000002</v>
      </c>
      <c r="AN65" s="1">
        <v>2.3000000000000003</v>
      </c>
      <c r="AO65" s="1">
        <v>2.3000000000000003</v>
      </c>
      <c r="AP65" s="1">
        <v>2.3000000000000003</v>
      </c>
      <c r="AQ65">
        <v>1</v>
      </c>
      <c r="AR65" t="s">
        <v>135</v>
      </c>
      <c r="AS65">
        <v>0</v>
      </c>
      <c r="AT65">
        <v>7</v>
      </c>
      <c r="AX65">
        <v>1</v>
      </c>
      <c r="AY65">
        <v>120</v>
      </c>
      <c r="AZ65">
        <v>0.06</v>
      </c>
      <c r="BA65" s="43" t="str">
        <f t="shared" si="0"/>
        <v>Express</v>
      </c>
      <c r="BB65" s="46">
        <f>IFERROR((AD65+IF(Calculator_v2!$E$6*Y65&lt;X65,X65,IF(Calculator_v2!$E$6*Y65&gt;Z65,Z65,Calculator_v2!$E$6*Y65))+IF(Calculator_v2!$E$6*AC65&lt;AB65,AB65,Calculator_v2!$E$6*AC65)+IFERROR(_xlfn.LET(_xlpm.tarifa,IF(Calculator_v2!$E$6&lt;=$AI$1,AI65,IF(Calculator_v2!$E$6&lt;=$AK$1,AJ65,IF(Calculator_v2!$E$6&lt;=$AL$1,AK65,IF(Calculator_v2!$E$6&lt;=$AM$1,AL65,IF(Calculator_v2!$E$6&lt;=$AN$1,AM65,IF(Calculator_v2!$E$6&lt;=$AO$1,AN65,IF(Calculator_v2!$E$6&lt;=$AP$1,AO65,AP65))))))),_xlpm.resultado,_xlpm.tarifa*Calculator_v2!$E$6,IF(_xlpm.resultado&lt;AH65,AH65,_xlpm.resultado)),0)+IF(Calculator_v2!$E$6*AV65&lt;AU65,AU65,IF(Calculator_v2!$E$6*AV65&gt;AW65,AW65,Calculator_v2!$E$6*AV65))+IF(Calculator_v2!$E$6*AZ65&lt;=AY65,AY65,Calculator_v2!$E$6*AZ65)),0)</f>
        <v>2001.752</v>
      </c>
      <c r="BC65" s="47">
        <f>IFERROR(+BB65/Calculator_v2!$E$6,0)+IFERROR(VLOOKUP(A65,DHL_ADDER!$B$4:$E$26,4,0),0)</f>
        <v>4.1013378378378373</v>
      </c>
      <c r="BD65" s="48">
        <f t="shared" si="1"/>
        <v>7</v>
      </c>
      <c r="BE65" s="48">
        <f>+T[[#This Row],[Airport to Destination Transit Time Days]]+T[[#This Row],[Airport to Airport Transit Time Days]]+T[[#This Row],[Origin to Airport Transit Time in days]]</f>
        <v>3.5</v>
      </c>
    </row>
    <row r="66" spans="1:57" customFormat="1" x14ac:dyDescent="0.35">
      <c r="A66" t="str">
        <f>+T[[#This Row],[Provider_Name]]&amp;"_"&amp;T[[#This Row],[AXIS]]</f>
        <v>DHL_B_ES&gt;BR</v>
      </c>
      <c r="B66" t="s">
        <v>71</v>
      </c>
      <c r="C66" t="s">
        <v>132</v>
      </c>
      <c r="D66" t="s">
        <v>133</v>
      </c>
      <c r="E66" t="s">
        <v>107</v>
      </c>
      <c r="F66" t="s">
        <v>92</v>
      </c>
      <c r="G66" t="s">
        <v>100</v>
      </c>
      <c r="H66" t="s">
        <v>106</v>
      </c>
      <c r="I66" t="s">
        <v>106</v>
      </c>
      <c r="J66">
        <v>48008</v>
      </c>
      <c r="K66" t="s">
        <v>102</v>
      </c>
      <c r="L66" t="s">
        <v>79</v>
      </c>
      <c r="M66" t="s">
        <v>80</v>
      </c>
      <c r="N66" t="s">
        <v>81</v>
      </c>
      <c r="O66" t="s">
        <v>82</v>
      </c>
      <c r="P66" t="s">
        <v>89</v>
      </c>
      <c r="Q66" t="s">
        <v>84</v>
      </c>
      <c r="R66">
        <v>51</v>
      </c>
      <c r="S66">
        <v>21283.199999999997</v>
      </c>
      <c r="T66">
        <v>21283.199999999997</v>
      </c>
      <c r="U66" s="1">
        <v>417.31764705882347</v>
      </c>
      <c r="V66" t="s">
        <v>90</v>
      </c>
      <c r="W66" s="43">
        <v>5.5</v>
      </c>
      <c r="X66">
        <v>315</v>
      </c>
      <c r="Y66">
        <v>0.45</v>
      </c>
      <c r="Z66">
        <v>490</v>
      </c>
      <c r="AA66">
        <v>1.5</v>
      </c>
      <c r="AB66">
        <v>27</v>
      </c>
      <c r="AC66">
        <v>0.156</v>
      </c>
      <c r="AD66">
        <v>24</v>
      </c>
      <c r="AE66">
        <v>35</v>
      </c>
      <c r="AF66">
        <v>0.14000000000000001</v>
      </c>
      <c r="AG66" t="s">
        <v>86</v>
      </c>
      <c r="AH66">
        <v>260</v>
      </c>
      <c r="AI66" s="1">
        <v>8.7999999999999989</v>
      </c>
      <c r="AJ66" s="1">
        <v>7.6499999999999995</v>
      </c>
      <c r="AK66" s="1">
        <v>5.75</v>
      </c>
      <c r="AL66" s="1">
        <v>4.4499999999999993</v>
      </c>
      <c r="AM66" s="1">
        <v>4.1499999999999995</v>
      </c>
      <c r="AN66" s="1">
        <v>3.75</v>
      </c>
      <c r="AO66" s="1">
        <v>3.75</v>
      </c>
      <c r="AP66" s="1">
        <v>3.75</v>
      </c>
      <c r="AQ66">
        <v>3</v>
      </c>
      <c r="AR66" t="s">
        <v>135</v>
      </c>
      <c r="AS66">
        <v>1</v>
      </c>
      <c r="AT66">
        <v>7</v>
      </c>
      <c r="AX66">
        <v>1</v>
      </c>
      <c r="AY66">
        <v>120</v>
      </c>
      <c r="AZ66">
        <v>0.06</v>
      </c>
      <c r="BA66" s="43" t="str">
        <f t="shared" si="0"/>
        <v>Express</v>
      </c>
      <c r="BB66" s="46">
        <f>IFERROR((AD66+IF(Calculator_v2!$E$6*Y66&lt;X66,X66,IF(Calculator_v2!$E$6*Y66&gt;Z66,Z66,Calculator_v2!$E$6*Y66))+IF(Calculator_v2!$E$6*AC66&lt;AB66,AB66,Calculator_v2!$E$6*AC66)+IFERROR(_xlfn.LET(_xlpm.tarifa,IF(Calculator_v2!$E$6&lt;=$AI$1,AI66,IF(Calculator_v2!$E$6&lt;=$AK$1,AJ66,IF(Calculator_v2!$E$6&lt;=$AL$1,AK66,IF(Calculator_v2!$E$6&lt;=$AM$1,AL66,IF(Calculator_v2!$E$6&lt;=$AN$1,AM66,IF(Calculator_v2!$E$6&lt;=$AO$1,AN66,IF(Calculator_v2!$E$6&lt;=$AP$1,AO66,AP66))))))),_xlpm.resultado,_xlpm.tarifa*Calculator_v2!$E$6,IF(_xlpm.resultado&lt;AH66,AH66,_xlpm.resultado)),0)+IF(Calculator_v2!$E$6*AV66&lt;AU66,AU66,IF(Calculator_v2!$E$6*AV66&gt;AW66,AW66,Calculator_v2!$E$6*AV66))+IF(Calculator_v2!$E$6*AZ66&lt;=AY66,AY66,Calculator_v2!$E$6*AZ66)),0)</f>
        <v>3008.1519999999996</v>
      </c>
      <c r="BC66" s="47">
        <f>IFERROR(+BB66/Calculator_v2!$E$6,0)+IFERROR(VLOOKUP(A66,DHL_ADDER!$B$4:$E$26,4,0),0)</f>
        <v>5.8013378378378366</v>
      </c>
      <c r="BD66" s="48">
        <f t="shared" si="1"/>
        <v>7</v>
      </c>
      <c r="BE66" s="48">
        <f>+T[[#This Row],[Airport to Destination Transit Time Days]]+T[[#This Row],[Airport to Airport Transit Time Days]]+T[[#This Row],[Origin to Airport Transit Time in days]]</f>
        <v>5.5</v>
      </c>
    </row>
    <row r="67" spans="1:57" customFormat="1" x14ac:dyDescent="0.35">
      <c r="A67" t="str">
        <f>+T[[#This Row],[Provider_Name]]&amp;"_"&amp;T[[#This Row],[AXIS]]</f>
        <v>DHL_B_ES&gt;BR</v>
      </c>
      <c r="B67" t="s">
        <v>71</v>
      </c>
      <c r="C67" t="s">
        <v>132</v>
      </c>
      <c r="D67" t="s">
        <v>133</v>
      </c>
      <c r="E67" t="s">
        <v>136</v>
      </c>
      <c r="F67" t="s">
        <v>92</v>
      </c>
      <c r="G67" t="s">
        <v>100</v>
      </c>
      <c r="H67" t="s">
        <v>106</v>
      </c>
      <c r="I67" t="s">
        <v>106</v>
      </c>
      <c r="J67">
        <v>48008</v>
      </c>
      <c r="K67" t="s">
        <v>102</v>
      </c>
      <c r="L67" t="s">
        <v>79</v>
      </c>
      <c r="M67" t="s">
        <v>80</v>
      </c>
      <c r="N67" t="s">
        <v>81</v>
      </c>
      <c r="O67" t="s">
        <v>82</v>
      </c>
      <c r="P67" t="s">
        <v>93</v>
      </c>
      <c r="Q67" t="s">
        <v>84</v>
      </c>
      <c r="R67">
        <v>6</v>
      </c>
      <c r="S67">
        <v>3000</v>
      </c>
      <c r="T67">
        <v>3000</v>
      </c>
      <c r="U67" s="1">
        <v>500</v>
      </c>
      <c r="V67" t="s">
        <v>90</v>
      </c>
      <c r="W67" s="43">
        <v>5.5</v>
      </c>
      <c r="X67">
        <v>315</v>
      </c>
      <c r="Y67">
        <v>0.45</v>
      </c>
      <c r="Z67">
        <v>490</v>
      </c>
      <c r="AA67">
        <v>1.5</v>
      </c>
      <c r="AB67">
        <v>27</v>
      </c>
      <c r="AC67">
        <v>0.156</v>
      </c>
      <c r="AD67">
        <v>24</v>
      </c>
      <c r="AE67">
        <v>35</v>
      </c>
      <c r="AF67">
        <v>0.14000000000000001</v>
      </c>
      <c r="AG67" t="s">
        <v>86</v>
      </c>
      <c r="AH67">
        <v>325</v>
      </c>
      <c r="AI67" s="1">
        <v>7.1</v>
      </c>
      <c r="AJ67" s="1">
        <v>5.85</v>
      </c>
      <c r="AK67" s="1">
        <v>3.2</v>
      </c>
      <c r="AL67" s="1">
        <v>2.7</v>
      </c>
      <c r="AM67" s="1">
        <v>2.4500000000000002</v>
      </c>
      <c r="AN67" s="1">
        <v>2.3000000000000003</v>
      </c>
      <c r="AO67" s="1">
        <v>2.3000000000000003</v>
      </c>
      <c r="AP67" s="1">
        <v>2.3000000000000003</v>
      </c>
      <c r="AQ67">
        <v>1</v>
      </c>
      <c r="AR67" t="s">
        <v>135</v>
      </c>
      <c r="AS67">
        <v>0</v>
      </c>
      <c r="AT67">
        <v>7</v>
      </c>
      <c r="AX67">
        <v>1</v>
      </c>
      <c r="AY67">
        <v>120</v>
      </c>
      <c r="AZ67">
        <v>0.06</v>
      </c>
      <c r="BA67" s="43" t="str">
        <f t="shared" si="0"/>
        <v>Express</v>
      </c>
      <c r="BB67" s="46">
        <f>IFERROR((AD67+IF(Calculator_v2!$E$6*Y67&lt;X67,X67,IF(Calculator_v2!$E$6*Y67&gt;Z67,Z67,Calculator_v2!$E$6*Y67))+IF(Calculator_v2!$E$6*AC67&lt;AB67,AB67,Calculator_v2!$E$6*AC67)+IFERROR(_xlfn.LET(_xlpm.tarifa,IF(Calculator_v2!$E$6&lt;=$AI$1,AI67,IF(Calculator_v2!$E$6&lt;=$AK$1,AJ67,IF(Calculator_v2!$E$6&lt;=$AL$1,AK67,IF(Calculator_v2!$E$6&lt;=$AM$1,AL67,IF(Calculator_v2!$E$6&lt;=$AN$1,AM67,IF(Calculator_v2!$E$6&lt;=$AO$1,AN67,IF(Calculator_v2!$E$6&lt;=$AP$1,AO67,AP67))))))),_xlpm.resultado,_xlpm.tarifa*Calculator_v2!$E$6,IF(_xlpm.resultado&lt;AH67,AH67,_xlpm.resultado)),0)+IF(Calculator_v2!$E$6*AV67&lt;AU67,AU67,IF(Calculator_v2!$E$6*AV67&gt;AW67,AW67,Calculator_v2!$E$6*AV67))+IF(Calculator_v2!$E$6*AZ67&lt;=AY67,AY67,Calculator_v2!$E$6*AZ67)),0)</f>
        <v>2001.752</v>
      </c>
      <c r="BC67" s="47">
        <f>IFERROR(+BB67/Calculator_v2!$E$6,0)+IFERROR(VLOOKUP(A67,DHL_ADDER!$B$4:$E$26,4,0),0)</f>
        <v>4.1013378378378373</v>
      </c>
      <c r="BD67" s="48">
        <f t="shared" si="1"/>
        <v>7</v>
      </c>
      <c r="BE67" s="48">
        <f>+T[[#This Row],[Airport to Destination Transit Time Days]]+T[[#This Row],[Airport to Airport Transit Time Days]]+T[[#This Row],[Origin to Airport Transit Time in days]]</f>
        <v>3.5</v>
      </c>
    </row>
    <row r="68" spans="1:57" customFormat="1" x14ac:dyDescent="0.35">
      <c r="A68" t="str">
        <f>+T[[#This Row],[Provider_Name]]&amp;"_"&amp;T[[#This Row],[AXIS]]</f>
        <v>DHL_B_ES&gt;BR</v>
      </c>
      <c r="B68" t="s">
        <v>71</v>
      </c>
      <c r="C68" t="s">
        <v>132</v>
      </c>
      <c r="D68" t="s">
        <v>133</v>
      </c>
      <c r="E68" t="s">
        <v>134</v>
      </c>
      <c r="F68" t="s">
        <v>92</v>
      </c>
      <c r="G68" t="s">
        <v>100</v>
      </c>
      <c r="H68" t="s">
        <v>106</v>
      </c>
      <c r="I68" t="s">
        <v>106</v>
      </c>
      <c r="J68">
        <v>48008</v>
      </c>
      <c r="K68" t="s">
        <v>102</v>
      </c>
      <c r="L68" t="s">
        <v>79</v>
      </c>
      <c r="M68" t="s">
        <v>80</v>
      </c>
      <c r="N68" t="s">
        <v>81</v>
      </c>
      <c r="O68" t="s">
        <v>82</v>
      </c>
      <c r="P68" t="s">
        <v>93</v>
      </c>
      <c r="Q68" t="s">
        <v>84</v>
      </c>
      <c r="R68">
        <v>56</v>
      </c>
      <c r="S68">
        <v>43089</v>
      </c>
      <c r="T68">
        <v>43089</v>
      </c>
      <c r="U68" s="1">
        <v>769.44642857142856</v>
      </c>
      <c r="V68" t="s">
        <v>91</v>
      </c>
      <c r="W68" s="43">
        <v>6</v>
      </c>
      <c r="X68">
        <v>315</v>
      </c>
      <c r="Y68">
        <v>0.45</v>
      </c>
      <c r="Z68">
        <v>490</v>
      </c>
      <c r="AA68">
        <v>1.5</v>
      </c>
      <c r="AB68">
        <v>27</v>
      </c>
      <c r="AC68">
        <v>0.156</v>
      </c>
      <c r="AD68">
        <v>24</v>
      </c>
      <c r="AE68">
        <v>35</v>
      </c>
      <c r="AF68">
        <v>0.14000000000000001</v>
      </c>
      <c r="AG68" t="s">
        <v>86</v>
      </c>
      <c r="AH68">
        <v>300</v>
      </c>
      <c r="AI68" s="1">
        <v>6.85</v>
      </c>
      <c r="AJ68" s="1">
        <v>5.6</v>
      </c>
      <c r="AK68" s="1">
        <v>3</v>
      </c>
      <c r="AL68" s="1">
        <v>2.4500000000000002</v>
      </c>
      <c r="AM68" s="1">
        <v>2.2000000000000002</v>
      </c>
      <c r="AN68" s="1">
        <v>2.0499999999999998</v>
      </c>
      <c r="AO68" s="1">
        <v>2.0499999999999998</v>
      </c>
      <c r="AP68" s="1">
        <v>2.0499999999999998</v>
      </c>
      <c r="AQ68">
        <v>1.5</v>
      </c>
      <c r="AR68" t="s">
        <v>135</v>
      </c>
      <c r="AS68">
        <v>1</v>
      </c>
      <c r="AT68">
        <v>7</v>
      </c>
      <c r="AX68">
        <v>1</v>
      </c>
      <c r="AY68">
        <v>120</v>
      </c>
      <c r="AZ68">
        <v>0.06</v>
      </c>
      <c r="BA68" s="43" t="str">
        <f t="shared" si="0"/>
        <v>Normal</v>
      </c>
      <c r="BB68" s="46">
        <f>IFERROR((AD68+IF(Calculator_v2!$E$6*Y68&lt;X68,X68,IF(Calculator_v2!$E$6*Y68&gt;Z68,Z68,Calculator_v2!$E$6*Y68))+IF(Calculator_v2!$E$6*AC68&lt;AB68,AB68,Calculator_v2!$E$6*AC68)+IFERROR(_xlfn.LET(_xlpm.tarifa,IF(Calculator_v2!$E$6&lt;=$AI$1,AI68,IF(Calculator_v2!$E$6&lt;=$AK$1,AJ68,IF(Calculator_v2!$E$6&lt;=$AL$1,AK68,IF(Calculator_v2!$E$6&lt;=$AM$1,AL68,IF(Calculator_v2!$E$6&lt;=$AN$1,AM68,IF(Calculator_v2!$E$6&lt;=$AO$1,AN68,IF(Calculator_v2!$E$6&lt;=$AP$1,AO68,AP68))))))),_xlpm.resultado,_xlpm.tarifa*Calculator_v2!$E$6,IF(_xlpm.resultado&lt;AH68,AH68,_xlpm.resultado)),0)+IF(Calculator_v2!$E$6*AV68&lt;AU68,AU68,IF(Calculator_v2!$E$6*AV68&gt;AW68,AW68,Calculator_v2!$E$6*AV68))+IF(Calculator_v2!$E$6*AZ68&lt;=AY68,AY68,Calculator_v2!$E$6*AZ68)),0)</f>
        <v>1853.752</v>
      </c>
      <c r="BC68" s="47">
        <f>IFERROR(+BB68/Calculator_v2!$E$6,0)+IFERROR(VLOOKUP(A68,DHL_ADDER!$B$4:$E$26,4,0),0)</f>
        <v>3.8513378378378373</v>
      </c>
      <c r="BD68" s="48">
        <f t="shared" si="1"/>
        <v>7</v>
      </c>
      <c r="BE68" s="48">
        <f>+T[[#This Row],[Airport to Destination Transit Time Days]]+T[[#This Row],[Airport to Airport Transit Time Days]]+T[[#This Row],[Origin to Airport Transit Time in days]]</f>
        <v>4</v>
      </c>
    </row>
    <row r="69" spans="1:57" customFormat="1" x14ac:dyDescent="0.35">
      <c r="A69" t="str">
        <f>+T[[#This Row],[Provider_Name]]&amp;"_"&amp;T[[#This Row],[AXIS]]</f>
        <v>DHL_B_ES&gt;BR</v>
      </c>
      <c r="B69" t="s">
        <v>71</v>
      </c>
      <c r="C69" t="s">
        <v>132</v>
      </c>
      <c r="D69" t="s">
        <v>133</v>
      </c>
      <c r="E69" t="s">
        <v>107</v>
      </c>
      <c r="F69" t="s">
        <v>92</v>
      </c>
      <c r="G69" t="s">
        <v>100</v>
      </c>
      <c r="H69" t="s">
        <v>106</v>
      </c>
      <c r="I69" t="s">
        <v>106</v>
      </c>
      <c r="J69">
        <v>48008</v>
      </c>
      <c r="K69" t="s">
        <v>102</v>
      </c>
      <c r="L69" t="s">
        <v>79</v>
      </c>
      <c r="M69" t="s">
        <v>80</v>
      </c>
      <c r="N69" t="s">
        <v>81</v>
      </c>
      <c r="O69" t="s">
        <v>82</v>
      </c>
      <c r="P69" t="s">
        <v>89</v>
      </c>
      <c r="Q69" t="s">
        <v>84</v>
      </c>
      <c r="R69">
        <v>51</v>
      </c>
      <c r="S69">
        <v>21283.199999999997</v>
      </c>
      <c r="T69">
        <v>21283.199999999997</v>
      </c>
      <c r="U69" s="1">
        <v>417.31764705882347</v>
      </c>
      <c r="V69" t="s">
        <v>91</v>
      </c>
      <c r="W69" s="43">
        <v>5.5</v>
      </c>
      <c r="X69">
        <v>315</v>
      </c>
      <c r="Y69">
        <v>0.45</v>
      </c>
      <c r="Z69">
        <v>490</v>
      </c>
      <c r="AA69">
        <v>1.5</v>
      </c>
      <c r="AB69">
        <v>27</v>
      </c>
      <c r="AC69">
        <v>0.156</v>
      </c>
      <c r="AD69">
        <v>24</v>
      </c>
      <c r="AE69">
        <v>35</v>
      </c>
      <c r="AF69">
        <v>0.14000000000000001</v>
      </c>
      <c r="AG69" t="s">
        <v>86</v>
      </c>
      <c r="AH69">
        <v>190</v>
      </c>
      <c r="AI69" s="1">
        <v>7.6499999999999995</v>
      </c>
      <c r="AJ69" s="1">
        <v>6.5</v>
      </c>
      <c r="AK69" s="1">
        <v>5</v>
      </c>
      <c r="AL69" s="1">
        <v>3.9</v>
      </c>
      <c r="AM69" s="1">
        <v>3.6</v>
      </c>
      <c r="AN69" s="1">
        <v>3.3000000000000003</v>
      </c>
      <c r="AO69" s="1">
        <v>3.3000000000000003</v>
      </c>
      <c r="AP69" s="1">
        <v>3.3000000000000003</v>
      </c>
      <c r="AQ69">
        <v>3</v>
      </c>
      <c r="AR69" t="s">
        <v>135</v>
      </c>
      <c r="AS69">
        <v>1</v>
      </c>
      <c r="AT69">
        <v>7</v>
      </c>
      <c r="AX69">
        <v>1</v>
      </c>
      <c r="AY69">
        <v>120</v>
      </c>
      <c r="AZ69">
        <v>0.06</v>
      </c>
      <c r="BA69" s="43" t="str">
        <f t="shared" ref="BA69:BA132" si="2">+IF(V69="","NORMAL",V69)</f>
        <v>Normal</v>
      </c>
      <c r="BB69" s="46">
        <f>IFERROR((AD69+IF(Calculator_v2!$E$6*Y69&lt;X69,X69,IF(Calculator_v2!$E$6*Y69&gt;Z69,Z69,Calculator_v2!$E$6*Y69))+IF(Calculator_v2!$E$6*AC69&lt;AB69,AB69,Calculator_v2!$E$6*AC69)+IFERROR(_xlfn.LET(_xlpm.tarifa,IF(Calculator_v2!$E$6&lt;=$AI$1,AI69,IF(Calculator_v2!$E$6&lt;=$AK$1,AJ69,IF(Calculator_v2!$E$6&lt;=$AL$1,AK69,IF(Calculator_v2!$E$6&lt;=$AM$1,AL69,IF(Calculator_v2!$E$6&lt;=$AN$1,AM69,IF(Calculator_v2!$E$6&lt;=$AO$1,AN69,IF(Calculator_v2!$E$6&lt;=$AP$1,AO69,AP69))))))),_xlpm.resultado,_xlpm.tarifa*Calculator_v2!$E$6,IF(_xlpm.resultado&lt;AH69,AH69,_xlpm.resultado)),0)+IF(Calculator_v2!$E$6*AV69&lt;AU69,AU69,IF(Calculator_v2!$E$6*AV69&gt;AW69,AW69,Calculator_v2!$E$6*AV69))+IF(Calculator_v2!$E$6*AZ69&lt;=AY69,AY69,Calculator_v2!$E$6*AZ69)),0)</f>
        <v>2682.5520000000001</v>
      </c>
      <c r="BC69" s="47">
        <f>IFERROR(+BB69/Calculator_v2!$E$6,0)+IFERROR(VLOOKUP(A69,DHL_ADDER!$B$4:$E$26,4,0),0)</f>
        <v>5.2513378378378377</v>
      </c>
      <c r="BD69" s="48">
        <f t="shared" ref="BD69:BD132" si="3">IF(AT69="",1,IF(OR(NOT(ISERROR(SEARCH("Daily",AT69))),NOT(ISERROR(SEARCH("DAILY",AT69)))),7,IF(AND(ISERROR(FIND(",",AT69)),ISERROR(FIND(" ",AT69))),AT69,LEN(AT69)-LEN(SUBSTITUTE(SUBSTITUTE(AT69,",",""),".",""))+1)))</f>
        <v>7</v>
      </c>
      <c r="BE69" s="48">
        <f>+T[[#This Row],[Airport to Destination Transit Time Days]]+T[[#This Row],[Airport to Airport Transit Time Days]]+T[[#This Row],[Origin to Airport Transit Time in days]]</f>
        <v>5.5</v>
      </c>
    </row>
    <row r="70" spans="1:57" customFormat="1" x14ac:dyDescent="0.35">
      <c r="A70" t="str">
        <f>+T[[#This Row],[Provider_Name]]&amp;"_"&amp;T[[#This Row],[AXIS]]</f>
        <v>DHL_B_ES&gt;BR</v>
      </c>
      <c r="B70" t="s">
        <v>71</v>
      </c>
      <c r="C70" t="s">
        <v>132</v>
      </c>
      <c r="D70" t="s">
        <v>133</v>
      </c>
      <c r="E70" t="s">
        <v>136</v>
      </c>
      <c r="F70" t="s">
        <v>92</v>
      </c>
      <c r="G70" t="s">
        <v>100</v>
      </c>
      <c r="H70" t="s">
        <v>106</v>
      </c>
      <c r="I70" t="s">
        <v>106</v>
      </c>
      <c r="J70">
        <v>48008</v>
      </c>
      <c r="K70" t="s">
        <v>102</v>
      </c>
      <c r="L70" t="s">
        <v>79</v>
      </c>
      <c r="M70" t="s">
        <v>80</v>
      </c>
      <c r="N70" t="s">
        <v>81</v>
      </c>
      <c r="O70" t="s">
        <v>82</v>
      </c>
      <c r="P70" t="s">
        <v>93</v>
      </c>
      <c r="Q70" t="s">
        <v>84</v>
      </c>
      <c r="R70">
        <v>6</v>
      </c>
      <c r="S70">
        <v>3000</v>
      </c>
      <c r="T70">
        <v>3000</v>
      </c>
      <c r="U70" s="1">
        <v>500</v>
      </c>
      <c r="V70" t="s">
        <v>91</v>
      </c>
      <c r="W70" s="43">
        <v>6</v>
      </c>
      <c r="X70">
        <v>315</v>
      </c>
      <c r="Y70">
        <v>0.45</v>
      </c>
      <c r="Z70">
        <v>490</v>
      </c>
      <c r="AA70">
        <v>1.5</v>
      </c>
      <c r="AB70">
        <v>27</v>
      </c>
      <c r="AC70">
        <v>0.156</v>
      </c>
      <c r="AD70">
        <v>24</v>
      </c>
      <c r="AE70">
        <v>35</v>
      </c>
      <c r="AF70">
        <v>0.14000000000000001</v>
      </c>
      <c r="AG70" t="s">
        <v>86</v>
      </c>
      <c r="AH70">
        <v>300</v>
      </c>
      <c r="AI70" s="1">
        <v>6.85</v>
      </c>
      <c r="AJ70" s="1">
        <v>5.6</v>
      </c>
      <c r="AK70" s="1">
        <v>3</v>
      </c>
      <c r="AL70" s="1">
        <v>2.4500000000000002</v>
      </c>
      <c r="AM70" s="1">
        <v>2.2000000000000002</v>
      </c>
      <c r="AN70" s="1">
        <v>2.0499999999999998</v>
      </c>
      <c r="AO70" s="1">
        <v>2.0499999999999998</v>
      </c>
      <c r="AP70" s="1">
        <v>2.0499999999999998</v>
      </c>
      <c r="AQ70">
        <v>1.5</v>
      </c>
      <c r="AR70" t="s">
        <v>135</v>
      </c>
      <c r="AS70">
        <v>1</v>
      </c>
      <c r="AT70">
        <v>7</v>
      </c>
      <c r="AX70">
        <v>1</v>
      </c>
      <c r="AY70">
        <v>120</v>
      </c>
      <c r="AZ70">
        <v>0.06</v>
      </c>
      <c r="BA70" s="43" t="str">
        <f t="shared" si="2"/>
        <v>Normal</v>
      </c>
      <c r="BB70" s="46">
        <f>IFERROR((AD70+IF(Calculator_v2!$E$6*Y70&lt;X70,X70,IF(Calculator_v2!$E$6*Y70&gt;Z70,Z70,Calculator_v2!$E$6*Y70))+IF(Calculator_v2!$E$6*AC70&lt;AB70,AB70,Calculator_v2!$E$6*AC70)+IFERROR(_xlfn.LET(_xlpm.tarifa,IF(Calculator_v2!$E$6&lt;=$AI$1,AI70,IF(Calculator_v2!$E$6&lt;=$AK$1,AJ70,IF(Calculator_v2!$E$6&lt;=$AL$1,AK70,IF(Calculator_v2!$E$6&lt;=$AM$1,AL70,IF(Calculator_v2!$E$6&lt;=$AN$1,AM70,IF(Calculator_v2!$E$6&lt;=$AO$1,AN70,IF(Calculator_v2!$E$6&lt;=$AP$1,AO70,AP70))))))),_xlpm.resultado,_xlpm.tarifa*Calculator_v2!$E$6,IF(_xlpm.resultado&lt;AH70,AH70,_xlpm.resultado)),0)+IF(Calculator_v2!$E$6*AV70&lt;AU70,AU70,IF(Calculator_v2!$E$6*AV70&gt;AW70,AW70,Calculator_v2!$E$6*AV70))+IF(Calculator_v2!$E$6*AZ70&lt;=AY70,AY70,Calculator_v2!$E$6*AZ70)),0)</f>
        <v>1853.752</v>
      </c>
      <c r="BC70" s="47">
        <f>IFERROR(+BB70/Calculator_v2!$E$6,0)+IFERROR(VLOOKUP(A70,DHL_ADDER!$B$4:$E$26,4,0),0)</f>
        <v>3.8513378378378373</v>
      </c>
      <c r="BD70" s="48">
        <f t="shared" si="3"/>
        <v>7</v>
      </c>
      <c r="BE70" s="48">
        <f>+T[[#This Row],[Airport to Destination Transit Time Days]]+T[[#This Row],[Airport to Airport Transit Time Days]]+T[[#This Row],[Origin to Airport Transit Time in days]]</f>
        <v>4</v>
      </c>
    </row>
    <row r="71" spans="1:57" customFormat="1" x14ac:dyDescent="0.35">
      <c r="A71" t="str">
        <f>+T[[#This Row],[Provider_Name]]&amp;"_"&amp;T[[#This Row],[AXIS]]</f>
        <v>DHL_B_ES&gt;CL</v>
      </c>
      <c r="B71" t="s">
        <v>71</v>
      </c>
      <c r="C71" t="s">
        <v>137</v>
      </c>
      <c r="D71" t="s">
        <v>138</v>
      </c>
      <c r="E71" t="s">
        <v>136</v>
      </c>
      <c r="F71" t="s">
        <v>92</v>
      </c>
      <c r="G71" t="s">
        <v>100</v>
      </c>
      <c r="H71" t="s">
        <v>106</v>
      </c>
      <c r="I71" t="s">
        <v>106</v>
      </c>
      <c r="J71">
        <v>48008</v>
      </c>
      <c r="K71" t="s">
        <v>139</v>
      </c>
      <c r="L71" t="s">
        <v>140</v>
      </c>
      <c r="M71" t="s">
        <v>141</v>
      </c>
      <c r="N71" t="s">
        <v>142</v>
      </c>
      <c r="O71">
        <v>2100837</v>
      </c>
      <c r="P71" t="s">
        <v>143</v>
      </c>
      <c r="Q71" t="s">
        <v>144</v>
      </c>
      <c r="R71">
        <v>6</v>
      </c>
      <c r="S71">
        <v>3000</v>
      </c>
      <c r="T71">
        <v>3000</v>
      </c>
      <c r="U71" s="1">
        <v>500</v>
      </c>
      <c r="V71" t="s">
        <v>85</v>
      </c>
      <c r="W71" s="43">
        <v>8</v>
      </c>
      <c r="X71">
        <v>254</v>
      </c>
      <c r="Y71">
        <v>0.92</v>
      </c>
      <c r="Z71" t="s">
        <v>145</v>
      </c>
      <c r="AA71">
        <v>2</v>
      </c>
      <c r="AB71">
        <v>28</v>
      </c>
      <c r="AC71">
        <v>0.01</v>
      </c>
      <c r="AD71">
        <v>43</v>
      </c>
      <c r="AE71">
        <v>0</v>
      </c>
      <c r="AF71">
        <v>0</v>
      </c>
      <c r="AG71" t="s">
        <v>86</v>
      </c>
      <c r="AH71">
        <v>45</v>
      </c>
      <c r="AI71" s="1">
        <v>4</v>
      </c>
      <c r="AJ71" s="1">
        <v>4</v>
      </c>
      <c r="AK71" s="1">
        <v>4</v>
      </c>
      <c r="AL71" s="1">
        <v>4</v>
      </c>
      <c r="AM71" s="1">
        <v>4</v>
      </c>
      <c r="AN71" s="1">
        <v>4</v>
      </c>
      <c r="AO71" s="1">
        <v>4</v>
      </c>
      <c r="AP71" s="1">
        <v>4</v>
      </c>
      <c r="AQ71">
        <v>5</v>
      </c>
      <c r="AR71" t="s">
        <v>146</v>
      </c>
      <c r="AS71">
        <v>2</v>
      </c>
      <c r="AT71">
        <v>2</v>
      </c>
      <c r="AU71">
        <v>165</v>
      </c>
      <c r="AV71">
        <v>0.1</v>
      </c>
      <c r="AW71">
        <v>250</v>
      </c>
      <c r="AX71">
        <v>1</v>
      </c>
      <c r="AY71">
        <v>150</v>
      </c>
      <c r="AZ71">
        <v>0.01</v>
      </c>
      <c r="BA71" s="43" t="str">
        <f t="shared" si="2"/>
        <v>Economy</v>
      </c>
      <c r="BB71" s="46">
        <f>IFERROR((AD71+IF(Calculator_v2!$E$6*Y71&lt;X71,X71,IF(Calculator_v2!$E$6*Y71&gt;Z71,Z71,Calculator_v2!$E$6*Y71))+IF(Calculator_v2!$E$6*AC71&lt;AB71,AB71,Calculator_v2!$E$6*AC71)+IFERROR(_xlfn.LET(_xlpm.tarifa,IF(Calculator_v2!$E$6&lt;=$AI$1,AI71,IF(Calculator_v2!$E$6&lt;=$AK$1,AJ71,IF(Calculator_v2!$E$6&lt;=$AL$1,AK71,IF(Calculator_v2!$E$6&lt;=$AM$1,AL71,IF(Calculator_v2!$E$6&lt;=$AN$1,AM71,IF(Calculator_v2!$E$6&lt;=$AO$1,AN71,IF(Calculator_v2!$E$6&lt;=$AP$1,AO71,AP71))))))),_xlpm.resultado,_xlpm.tarifa*Calculator_v2!$E$6,IF(_xlpm.resultado&lt;AH71,AH71,_xlpm.resultado)),0)+IF(Calculator_v2!$E$6*AV71&lt;AU71,AU71,IF(Calculator_v2!$E$6*AV71&gt;AW71,AW71,Calculator_v2!$E$6*AV71))+IF(Calculator_v2!$E$6*AZ71&lt;=AY71,AY71,Calculator_v2!$E$6*AZ71)),0)</f>
        <v>3298.64</v>
      </c>
      <c r="BC71" s="47">
        <f>IFERROR(+BB71/Calculator_v2!$E$6,0)+IFERROR(VLOOKUP(A71,DHL_ADDER!$B$4:$E$26,4,0),0)</f>
        <v>6.1720270270270268</v>
      </c>
      <c r="BD71" s="48">
        <f t="shared" si="3"/>
        <v>2</v>
      </c>
      <c r="BE71" s="48">
        <f>+T[[#This Row],[Airport to Destination Transit Time Days]]+T[[#This Row],[Airport to Airport Transit Time Days]]+T[[#This Row],[Origin to Airport Transit Time in days]]</f>
        <v>8</v>
      </c>
    </row>
    <row r="72" spans="1:57" customFormat="1" x14ac:dyDescent="0.35">
      <c r="A72" t="str">
        <f>+T[[#This Row],[Provider_Name]]&amp;"_"&amp;T[[#This Row],[AXIS]]</f>
        <v>DHL_B_ES&gt;CL</v>
      </c>
      <c r="B72" t="s">
        <v>71</v>
      </c>
      <c r="C72" t="s">
        <v>137</v>
      </c>
      <c r="D72" t="s">
        <v>138</v>
      </c>
      <c r="E72" t="s">
        <v>134</v>
      </c>
      <c r="F72" t="s">
        <v>92</v>
      </c>
      <c r="G72" t="s">
        <v>100</v>
      </c>
      <c r="H72" t="s">
        <v>106</v>
      </c>
      <c r="I72" t="s">
        <v>106</v>
      </c>
      <c r="J72">
        <v>48008</v>
      </c>
      <c r="K72" t="s">
        <v>102</v>
      </c>
      <c r="L72" t="s">
        <v>140</v>
      </c>
      <c r="M72" t="s">
        <v>141</v>
      </c>
      <c r="N72" t="s">
        <v>142</v>
      </c>
      <c r="O72">
        <v>2100837</v>
      </c>
      <c r="P72" t="s">
        <v>143</v>
      </c>
      <c r="Q72" t="s">
        <v>144</v>
      </c>
      <c r="R72">
        <v>2</v>
      </c>
      <c r="S72">
        <v>2265</v>
      </c>
      <c r="T72">
        <v>2265</v>
      </c>
      <c r="U72" s="1">
        <v>1132.5</v>
      </c>
      <c r="V72" t="s">
        <v>85</v>
      </c>
      <c r="W72" s="43">
        <v>5.5</v>
      </c>
      <c r="X72" s="44">
        <v>315</v>
      </c>
      <c r="Y72" s="44">
        <v>0.45</v>
      </c>
      <c r="Z72" s="44">
        <v>490</v>
      </c>
      <c r="AA72">
        <v>1.5</v>
      </c>
      <c r="AB72" s="45">
        <v>27</v>
      </c>
      <c r="AC72" s="45">
        <v>0.156</v>
      </c>
      <c r="AD72" s="45">
        <v>24</v>
      </c>
      <c r="AE72">
        <v>35</v>
      </c>
      <c r="AF72">
        <v>0.14000000000000001</v>
      </c>
      <c r="AG72" t="s">
        <v>86</v>
      </c>
      <c r="AH72" s="44">
        <v>380</v>
      </c>
      <c r="AI72" s="44">
        <v>9.85</v>
      </c>
      <c r="AJ72" s="44">
        <v>6.6</v>
      </c>
      <c r="AK72" s="44">
        <v>3.95</v>
      </c>
      <c r="AL72" s="44">
        <v>3.7</v>
      </c>
      <c r="AM72" s="44">
        <v>3.45</v>
      </c>
      <c r="AN72" s="44">
        <v>3.3000000000000003</v>
      </c>
      <c r="AO72" s="44">
        <v>3.3000000000000003</v>
      </c>
      <c r="AP72" s="44">
        <v>3.3000000000000003</v>
      </c>
      <c r="AQ72">
        <v>3</v>
      </c>
      <c r="AR72" t="s">
        <v>135</v>
      </c>
      <c r="AS72">
        <v>2</v>
      </c>
      <c r="AT72">
        <v>2</v>
      </c>
      <c r="AU72">
        <v>165</v>
      </c>
      <c r="AV72">
        <v>0.1</v>
      </c>
      <c r="AW72">
        <v>250</v>
      </c>
      <c r="AX72">
        <v>1</v>
      </c>
      <c r="AY72">
        <v>150</v>
      </c>
      <c r="AZ72">
        <v>0.01</v>
      </c>
      <c r="BA72" s="43" t="str">
        <f t="shared" si="2"/>
        <v>Economy</v>
      </c>
      <c r="BB72" s="46">
        <f>IFERROR((AD72+IF(Calculator_v2!$E$6*Y72&lt;X72,X72,IF(Calculator_v2!$E$6*Y72&gt;Z72,Z72,Calculator_v2!$E$6*Y72))+IF(Calculator_v2!$E$6*AC72&lt;AB72,AB72,Calculator_v2!$E$6*AC72)+IFERROR(_xlfn.LET(_xlpm.tarifa,IF(Calculator_v2!$E$6&lt;=$AI$1,AI72,IF(Calculator_v2!$E$6&lt;=$AK$1,AJ72,IF(Calculator_v2!$E$6&lt;=$AL$1,AK72,IF(Calculator_v2!$E$6&lt;=$AM$1,AL72,IF(Calculator_v2!$E$6&lt;=$AN$1,AM72,IF(Calculator_v2!$E$6&lt;=$AO$1,AN72,IF(Calculator_v2!$E$6&lt;=$AP$1,AO72,AP72))))))),_xlpm.resultado,_xlpm.tarifa*Calculator_v2!$E$6,IF(_xlpm.resultado&lt;AH72,AH72,_xlpm.resultado)),0)+IF(Calculator_v2!$E$6*AV72&lt;AU72,AU72,IF(Calculator_v2!$E$6*AV72&gt;AW72,AW72,Calculator_v2!$E$6*AV72))+IF(Calculator_v2!$E$6*AZ72&lt;=AY72,AY72,Calculator_v2!$E$6*AZ72)),0)</f>
        <v>2788.752</v>
      </c>
      <c r="BC72" s="47">
        <f>IFERROR(+BB72/Calculator_v2!$E$6,0)+IFERROR(VLOOKUP(A72,DHL_ADDER!$B$4:$E$26,4,0),0)</f>
        <v>5.3107297297297293</v>
      </c>
      <c r="BD72" s="48">
        <f t="shared" si="3"/>
        <v>2</v>
      </c>
      <c r="BE72" s="48">
        <f>+T[[#This Row],[Airport to Destination Transit Time Days]]+T[[#This Row],[Airport to Airport Transit Time Days]]+T[[#This Row],[Origin to Airport Transit Time in days]]</f>
        <v>5.5</v>
      </c>
    </row>
    <row r="73" spans="1:57" customFormat="1" x14ac:dyDescent="0.35">
      <c r="A73" t="str">
        <f>+T[[#This Row],[Provider_Name]]&amp;"_"&amp;T[[#This Row],[AXIS]]</f>
        <v>DHL_B_ES&gt;CL</v>
      </c>
      <c r="B73" t="s">
        <v>71</v>
      </c>
      <c r="C73" t="s">
        <v>137</v>
      </c>
      <c r="D73" t="s">
        <v>138</v>
      </c>
      <c r="E73" t="s">
        <v>136</v>
      </c>
      <c r="F73" t="s">
        <v>92</v>
      </c>
      <c r="G73" t="s">
        <v>100</v>
      </c>
      <c r="H73" t="s">
        <v>106</v>
      </c>
      <c r="I73" t="s">
        <v>106</v>
      </c>
      <c r="J73">
        <v>48008</v>
      </c>
      <c r="K73" t="s">
        <v>139</v>
      </c>
      <c r="L73" t="s">
        <v>140</v>
      </c>
      <c r="M73" t="s">
        <v>141</v>
      </c>
      <c r="N73" t="s">
        <v>142</v>
      </c>
      <c r="O73">
        <v>2100837</v>
      </c>
      <c r="P73" t="s">
        <v>143</v>
      </c>
      <c r="Q73" t="s">
        <v>144</v>
      </c>
      <c r="R73">
        <v>6</v>
      </c>
      <c r="S73">
        <v>3000</v>
      </c>
      <c r="T73">
        <v>3000</v>
      </c>
      <c r="U73" s="1">
        <v>500</v>
      </c>
      <c r="V73" t="s">
        <v>90</v>
      </c>
      <c r="W73" s="43">
        <v>3</v>
      </c>
      <c r="X73" s="44">
        <v>1197</v>
      </c>
      <c r="Y73" s="44">
        <v>0</v>
      </c>
      <c r="Z73" s="44" t="s">
        <v>145</v>
      </c>
      <c r="AA73">
        <v>1</v>
      </c>
      <c r="AB73" s="45">
        <v>48</v>
      </c>
      <c r="AC73" s="45">
        <v>0.01</v>
      </c>
      <c r="AD73" s="45">
        <v>43</v>
      </c>
      <c r="AE73">
        <v>0</v>
      </c>
      <c r="AF73">
        <v>0</v>
      </c>
      <c r="AG73" t="s">
        <v>86</v>
      </c>
      <c r="AH73" s="44">
        <v>150</v>
      </c>
      <c r="AI73" s="44">
        <v>12.92</v>
      </c>
      <c r="AJ73" s="44">
        <v>12.13</v>
      </c>
      <c r="AK73" s="44">
        <v>11.56</v>
      </c>
      <c r="AL73" s="44">
        <v>10.77</v>
      </c>
      <c r="AM73" s="44">
        <v>10.32</v>
      </c>
      <c r="AN73" s="44">
        <v>9.86</v>
      </c>
      <c r="AO73" s="44">
        <v>9.86</v>
      </c>
      <c r="AP73" s="44">
        <v>9.86</v>
      </c>
      <c r="AQ73">
        <v>1</v>
      </c>
      <c r="AR73" t="s">
        <v>147</v>
      </c>
      <c r="AS73">
        <v>0</v>
      </c>
      <c r="AT73">
        <v>7</v>
      </c>
      <c r="AU73">
        <v>165</v>
      </c>
      <c r="AV73">
        <v>0.1</v>
      </c>
      <c r="AW73">
        <v>250</v>
      </c>
      <c r="AX73">
        <v>1</v>
      </c>
      <c r="AY73">
        <v>150</v>
      </c>
      <c r="AZ73">
        <v>0.01</v>
      </c>
      <c r="BA73" s="43" t="str">
        <f t="shared" si="2"/>
        <v>Express</v>
      </c>
      <c r="BB73" s="46">
        <f>IFERROR((AD73+IF(Calculator_v2!$E$6*Y73&lt;X73,X73,IF(Calculator_v2!$E$6*Y73&gt;Z73,Z73,Calculator_v2!$E$6*Y73))+IF(Calculator_v2!$E$6*AC73&lt;AB73,AB73,Calculator_v2!$E$6*AC73)+IFERROR(_xlfn.LET(_xlpm.tarifa,IF(Calculator_v2!$E$6&lt;=$AI$1,AI73,IF(Calculator_v2!$E$6&lt;=$AK$1,AJ73,IF(Calculator_v2!$E$6&lt;=$AL$1,AK73,IF(Calculator_v2!$E$6&lt;=$AM$1,AL73,IF(Calculator_v2!$E$6&lt;=$AN$1,AM73,IF(Calculator_v2!$E$6&lt;=$AO$1,AN73,IF(Calculator_v2!$E$6&lt;=$AP$1,AO73,AP73))))))),_xlpm.resultado,_xlpm.tarifa*Calculator_v2!$E$6,IF(_xlpm.resultado&lt;AH73,AH73,_xlpm.resultado)),0)+IF(Calculator_v2!$E$6*AV73&lt;AU73,AU73,IF(Calculator_v2!$E$6*AV73&gt;AW73,AW73,Calculator_v2!$E$6*AV73))+IF(Calculator_v2!$E$6*AZ73&lt;=AY73,AY73,Calculator_v2!$E$6*AZ73)),0)</f>
        <v>7712.4400000000005</v>
      </c>
      <c r="BC73" s="47">
        <f>IFERROR(+BB73/Calculator_v2!$E$6,0)+IFERROR(VLOOKUP(A73,DHL_ADDER!$B$4:$E$26,4,0),0)</f>
        <v>13.62777027027027</v>
      </c>
      <c r="BD73" s="48">
        <f t="shared" si="3"/>
        <v>7</v>
      </c>
      <c r="BE73" s="48">
        <f>+T[[#This Row],[Airport to Destination Transit Time Days]]+T[[#This Row],[Airport to Airport Transit Time Days]]+T[[#This Row],[Origin to Airport Transit Time in days]]</f>
        <v>3</v>
      </c>
    </row>
    <row r="74" spans="1:57" customFormat="1" x14ac:dyDescent="0.35">
      <c r="A74" t="str">
        <f>+T[[#This Row],[Provider_Name]]&amp;"_"&amp;T[[#This Row],[AXIS]]</f>
        <v>DHL_B_ES&gt;CL</v>
      </c>
      <c r="B74" t="s">
        <v>71</v>
      </c>
      <c r="C74" t="s">
        <v>137</v>
      </c>
      <c r="D74" t="s">
        <v>138</v>
      </c>
      <c r="E74" t="s">
        <v>134</v>
      </c>
      <c r="F74" t="s">
        <v>92</v>
      </c>
      <c r="G74" t="s">
        <v>100</v>
      </c>
      <c r="H74" t="s">
        <v>106</v>
      </c>
      <c r="I74" t="s">
        <v>106</v>
      </c>
      <c r="J74">
        <v>48008</v>
      </c>
      <c r="K74" t="s">
        <v>102</v>
      </c>
      <c r="L74" t="s">
        <v>140</v>
      </c>
      <c r="M74" t="s">
        <v>141</v>
      </c>
      <c r="N74" t="s">
        <v>142</v>
      </c>
      <c r="O74">
        <v>2100837</v>
      </c>
      <c r="P74" t="s">
        <v>143</v>
      </c>
      <c r="Q74" t="s">
        <v>144</v>
      </c>
      <c r="R74">
        <v>2</v>
      </c>
      <c r="S74">
        <v>2265</v>
      </c>
      <c r="T74">
        <v>2265</v>
      </c>
      <c r="U74" s="1">
        <v>1132.5</v>
      </c>
      <c r="V74" t="s">
        <v>90</v>
      </c>
      <c r="W74" s="43">
        <v>3.5</v>
      </c>
      <c r="X74" s="44">
        <v>315</v>
      </c>
      <c r="Y74" s="44">
        <v>0.45</v>
      </c>
      <c r="Z74" s="44">
        <v>490</v>
      </c>
      <c r="AA74">
        <v>1.5</v>
      </c>
      <c r="AB74" s="45">
        <v>27</v>
      </c>
      <c r="AC74" s="45">
        <v>0.156</v>
      </c>
      <c r="AD74" s="45">
        <v>24</v>
      </c>
      <c r="AE74">
        <v>35</v>
      </c>
      <c r="AF74">
        <v>0.14000000000000001</v>
      </c>
      <c r="AG74" t="s">
        <v>86</v>
      </c>
      <c r="AH74" s="44">
        <v>475</v>
      </c>
      <c r="AI74" s="44">
        <v>11.2</v>
      </c>
      <c r="AJ74" s="44">
        <v>7.9499999999999993</v>
      </c>
      <c r="AK74" s="44">
        <v>4.8999999999999995</v>
      </c>
      <c r="AL74" s="44">
        <v>4.4499999999999993</v>
      </c>
      <c r="AM74" s="44">
        <v>4.1999999999999993</v>
      </c>
      <c r="AN74" s="44">
        <v>3.95</v>
      </c>
      <c r="AO74" s="44">
        <v>3.95</v>
      </c>
      <c r="AP74" s="44">
        <v>3.95</v>
      </c>
      <c r="AQ74">
        <v>1</v>
      </c>
      <c r="AR74" t="s">
        <v>135</v>
      </c>
      <c r="AS74">
        <v>1</v>
      </c>
      <c r="AT74">
        <v>7</v>
      </c>
      <c r="AU74">
        <v>165</v>
      </c>
      <c r="AV74">
        <v>0.1</v>
      </c>
      <c r="AW74">
        <v>250</v>
      </c>
      <c r="AX74">
        <v>1</v>
      </c>
      <c r="AY74">
        <v>150</v>
      </c>
      <c r="AZ74">
        <v>0.01</v>
      </c>
      <c r="BA74" s="43" t="str">
        <f t="shared" si="2"/>
        <v>Express</v>
      </c>
      <c r="BB74" s="46">
        <f>IFERROR((AD74+IF(Calculator_v2!$E$6*Y74&lt;X74,X74,IF(Calculator_v2!$E$6*Y74&gt;Z74,Z74,Calculator_v2!$E$6*Y74))+IF(Calculator_v2!$E$6*AC74&lt;AB74,AB74,Calculator_v2!$E$6*AC74)+IFERROR(_xlfn.LET(_xlpm.tarifa,IF(Calculator_v2!$E$6&lt;=$AI$1,AI74,IF(Calculator_v2!$E$6&lt;=$AK$1,AJ74,IF(Calculator_v2!$E$6&lt;=$AL$1,AK74,IF(Calculator_v2!$E$6&lt;=$AM$1,AL74,IF(Calculator_v2!$E$6&lt;=$AN$1,AM74,IF(Calculator_v2!$E$6&lt;=$AO$1,AN74,IF(Calculator_v2!$E$6&lt;=$AP$1,AO74,AP74))))))),_xlpm.resultado,_xlpm.tarifa*Calculator_v2!$E$6,IF(_xlpm.resultado&lt;AH74,AH74,_xlpm.resultado)),0)+IF(Calculator_v2!$E$6*AV74&lt;AU74,AU74,IF(Calculator_v2!$E$6*AV74&gt;AW74,AW74,Calculator_v2!$E$6*AV74))+IF(Calculator_v2!$E$6*AZ74&lt;=AY74,AY74,Calculator_v2!$E$6*AZ74)),0)</f>
        <v>3232.7519999999995</v>
      </c>
      <c r="BC74" s="47">
        <f>IFERROR(+BB74/Calculator_v2!$E$6,0)+IFERROR(VLOOKUP(A74,DHL_ADDER!$B$4:$E$26,4,0),0)</f>
        <v>6.0607297297297285</v>
      </c>
      <c r="BD74" s="48">
        <f t="shared" si="3"/>
        <v>7</v>
      </c>
      <c r="BE74" s="48">
        <f>+T[[#This Row],[Airport to Destination Transit Time Days]]+T[[#This Row],[Airport to Airport Transit Time Days]]+T[[#This Row],[Origin to Airport Transit Time in days]]</f>
        <v>3.5</v>
      </c>
    </row>
    <row r="75" spans="1:57" customFormat="1" x14ac:dyDescent="0.35">
      <c r="A75" t="str">
        <f>+T[[#This Row],[Provider_Name]]&amp;"_"&amp;T[[#This Row],[AXIS]]</f>
        <v>DHL_B_ES&gt;CL</v>
      </c>
      <c r="B75" t="s">
        <v>71</v>
      </c>
      <c r="C75" t="s">
        <v>137</v>
      </c>
      <c r="D75" t="s">
        <v>138</v>
      </c>
      <c r="E75" t="s">
        <v>136</v>
      </c>
      <c r="F75" t="s">
        <v>92</v>
      </c>
      <c r="G75" t="s">
        <v>100</v>
      </c>
      <c r="H75" t="s">
        <v>106</v>
      </c>
      <c r="I75" t="s">
        <v>106</v>
      </c>
      <c r="J75">
        <v>48008</v>
      </c>
      <c r="K75" t="s">
        <v>139</v>
      </c>
      <c r="L75" t="s">
        <v>140</v>
      </c>
      <c r="M75" t="s">
        <v>141</v>
      </c>
      <c r="N75" t="s">
        <v>142</v>
      </c>
      <c r="O75">
        <v>2100837</v>
      </c>
      <c r="P75" t="s">
        <v>143</v>
      </c>
      <c r="Q75" t="s">
        <v>144</v>
      </c>
      <c r="R75">
        <v>6</v>
      </c>
      <c r="S75">
        <v>3000</v>
      </c>
      <c r="T75">
        <v>3000</v>
      </c>
      <c r="U75" s="1">
        <v>500</v>
      </c>
      <c r="V75" t="s">
        <v>91</v>
      </c>
      <c r="W75" s="43">
        <v>6</v>
      </c>
      <c r="X75">
        <v>254</v>
      </c>
      <c r="Y75">
        <v>0.92</v>
      </c>
      <c r="Z75" t="s">
        <v>145</v>
      </c>
      <c r="AA75">
        <v>2</v>
      </c>
      <c r="AB75">
        <v>48</v>
      </c>
      <c r="AC75">
        <v>0.01</v>
      </c>
      <c r="AD75">
        <v>43</v>
      </c>
      <c r="AE75">
        <v>0</v>
      </c>
      <c r="AF75">
        <v>0</v>
      </c>
      <c r="AG75" t="s">
        <v>86</v>
      </c>
      <c r="AH75">
        <v>150</v>
      </c>
      <c r="AI75" s="1">
        <v>12.92</v>
      </c>
      <c r="AJ75" s="1">
        <v>12.13</v>
      </c>
      <c r="AK75" s="1">
        <v>7.32</v>
      </c>
      <c r="AL75" s="1">
        <v>6.83</v>
      </c>
      <c r="AM75" s="1">
        <v>6.54</v>
      </c>
      <c r="AN75" s="1">
        <v>6.26</v>
      </c>
      <c r="AO75" s="1">
        <v>6.26</v>
      </c>
      <c r="AP75" s="1">
        <v>6.26</v>
      </c>
      <c r="AQ75">
        <v>3</v>
      </c>
      <c r="AR75" t="s">
        <v>147</v>
      </c>
      <c r="AS75">
        <v>1</v>
      </c>
      <c r="AT75">
        <v>7</v>
      </c>
      <c r="AU75">
        <v>165</v>
      </c>
      <c r="AV75">
        <v>0.1</v>
      </c>
      <c r="AW75">
        <v>250</v>
      </c>
      <c r="AX75">
        <v>1</v>
      </c>
      <c r="AY75">
        <v>150</v>
      </c>
      <c r="AZ75">
        <v>0.01</v>
      </c>
      <c r="BA75" s="43" t="str">
        <f t="shared" si="2"/>
        <v>Normal</v>
      </c>
      <c r="BB75" s="46">
        <f>IFERROR((AD75+IF(Calculator_v2!$E$6*Y75&lt;X75,X75,IF(Calculator_v2!$E$6*Y75&gt;Z75,Z75,Calculator_v2!$E$6*Y75))+IF(Calculator_v2!$E$6*AC75&lt;AB75,AB75,Calculator_v2!$E$6*AC75)+IFERROR(_xlfn.LET(_xlpm.tarifa,IF(Calculator_v2!$E$6&lt;=$AI$1,AI75,IF(Calculator_v2!$E$6&lt;=$AK$1,AJ75,IF(Calculator_v2!$E$6&lt;=$AL$1,AK75,IF(Calculator_v2!$E$6&lt;=$AM$1,AL75,IF(Calculator_v2!$E$6&lt;=$AN$1,AM75,IF(Calculator_v2!$E$6&lt;=$AO$1,AN75,IF(Calculator_v2!$E$6&lt;=$AP$1,AO75,AP75))))))),_xlpm.resultado,_xlpm.tarifa*Calculator_v2!$E$6,IF(_xlpm.resultado&lt;AH75,AH75,_xlpm.resultado)),0)+IF(Calculator_v2!$E$6*AV75&lt;AU75,AU75,IF(Calculator_v2!$E$6*AV75&gt;AW75,AW75,Calculator_v2!$E$6*AV75))+IF(Calculator_v2!$E$6*AZ75&lt;=AY75,AY75,Calculator_v2!$E$6*AZ75)),0)</f>
        <v>4822.32</v>
      </c>
      <c r="BC75" s="47">
        <f>IFERROR(+BB75/Calculator_v2!$E$6,0)+IFERROR(VLOOKUP(A75,DHL_ADDER!$B$4:$E$26,4,0),0)</f>
        <v>8.7458108108108092</v>
      </c>
      <c r="BD75" s="48">
        <f t="shared" si="3"/>
        <v>7</v>
      </c>
      <c r="BE75" s="48">
        <f>+T[[#This Row],[Airport to Destination Transit Time Days]]+T[[#This Row],[Airport to Airport Transit Time Days]]+T[[#This Row],[Origin to Airport Transit Time in days]]</f>
        <v>6</v>
      </c>
    </row>
    <row r="76" spans="1:57" customFormat="1" x14ac:dyDescent="0.35">
      <c r="A76" t="str">
        <f>+T[[#This Row],[Provider_Name]]&amp;"_"&amp;T[[#This Row],[AXIS]]</f>
        <v>DHL_B_ES&gt;CL</v>
      </c>
      <c r="B76" t="s">
        <v>71</v>
      </c>
      <c r="C76" t="s">
        <v>137</v>
      </c>
      <c r="D76" t="s">
        <v>138</v>
      </c>
      <c r="E76" t="s">
        <v>134</v>
      </c>
      <c r="F76" t="s">
        <v>92</v>
      </c>
      <c r="G76" t="s">
        <v>100</v>
      </c>
      <c r="H76" t="s">
        <v>106</v>
      </c>
      <c r="I76" t="s">
        <v>106</v>
      </c>
      <c r="J76">
        <v>48008</v>
      </c>
      <c r="K76" t="s">
        <v>102</v>
      </c>
      <c r="L76" t="s">
        <v>140</v>
      </c>
      <c r="M76" t="s">
        <v>141</v>
      </c>
      <c r="N76" t="s">
        <v>142</v>
      </c>
      <c r="O76">
        <v>2100837</v>
      </c>
      <c r="P76" t="s">
        <v>143</v>
      </c>
      <c r="Q76" t="s">
        <v>144</v>
      </c>
      <c r="R76">
        <v>2</v>
      </c>
      <c r="S76">
        <v>2265</v>
      </c>
      <c r="T76">
        <v>2265</v>
      </c>
      <c r="U76" s="1">
        <v>1132.5</v>
      </c>
      <c r="V76" t="s">
        <v>91</v>
      </c>
      <c r="W76" s="43">
        <v>4.5</v>
      </c>
      <c r="X76">
        <v>315</v>
      </c>
      <c r="Y76">
        <v>0.45</v>
      </c>
      <c r="Z76">
        <v>490</v>
      </c>
      <c r="AA76">
        <v>1.5</v>
      </c>
      <c r="AB76">
        <v>27</v>
      </c>
      <c r="AC76">
        <v>0.156</v>
      </c>
      <c r="AD76">
        <v>24</v>
      </c>
      <c r="AE76">
        <v>35</v>
      </c>
      <c r="AF76">
        <v>0.14000000000000001</v>
      </c>
      <c r="AG76" t="s">
        <v>86</v>
      </c>
      <c r="AH76">
        <v>450</v>
      </c>
      <c r="AI76" s="1">
        <v>10.95</v>
      </c>
      <c r="AJ76" s="1">
        <v>7.6999999999999993</v>
      </c>
      <c r="AK76" s="1">
        <v>4.6499999999999995</v>
      </c>
      <c r="AL76" s="1">
        <v>4.1999999999999993</v>
      </c>
      <c r="AM76" s="1">
        <v>3.95</v>
      </c>
      <c r="AN76" s="1">
        <v>3.7</v>
      </c>
      <c r="AO76" s="1">
        <v>3.7</v>
      </c>
      <c r="AP76" s="1">
        <v>3.7</v>
      </c>
      <c r="AQ76">
        <v>2</v>
      </c>
      <c r="AR76" t="s">
        <v>135</v>
      </c>
      <c r="AS76">
        <v>1</v>
      </c>
      <c r="AT76">
        <v>7</v>
      </c>
      <c r="AU76">
        <v>165</v>
      </c>
      <c r="AV76">
        <v>0.1</v>
      </c>
      <c r="AW76">
        <v>250</v>
      </c>
      <c r="AX76">
        <v>1</v>
      </c>
      <c r="AY76">
        <v>150</v>
      </c>
      <c r="AZ76">
        <v>0.01</v>
      </c>
      <c r="BA76" s="43" t="str">
        <f t="shared" si="2"/>
        <v>Normal</v>
      </c>
      <c r="BB76" s="46">
        <f>IFERROR((AD76+IF(Calculator_v2!$E$6*Y76&lt;X76,X76,IF(Calculator_v2!$E$6*Y76&gt;Z76,Z76,Calculator_v2!$E$6*Y76))+IF(Calculator_v2!$E$6*AC76&lt;AB76,AB76,Calculator_v2!$E$6*AC76)+IFERROR(_xlfn.LET(_xlpm.tarifa,IF(Calculator_v2!$E$6&lt;=$AI$1,AI76,IF(Calculator_v2!$E$6&lt;=$AK$1,AJ76,IF(Calculator_v2!$E$6&lt;=$AL$1,AK76,IF(Calculator_v2!$E$6&lt;=$AM$1,AL76,IF(Calculator_v2!$E$6&lt;=$AN$1,AM76,IF(Calculator_v2!$E$6&lt;=$AO$1,AN76,IF(Calculator_v2!$E$6&lt;=$AP$1,AO76,AP76))))))),_xlpm.resultado,_xlpm.tarifa*Calculator_v2!$E$6,IF(_xlpm.resultado&lt;AH76,AH76,_xlpm.resultado)),0)+IF(Calculator_v2!$E$6*AV76&lt;AU76,AU76,IF(Calculator_v2!$E$6*AV76&gt;AW76,AW76,Calculator_v2!$E$6*AV76))+IF(Calculator_v2!$E$6*AZ76&lt;=AY76,AY76,Calculator_v2!$E$6*AZ76)),0)</f>
        <v>3084.752</v>
      </c>
      <c r="BC76" s="47">
        <f>IFERROR(+BB76/Calculator_v2!$E$6,0)+IFERROR(VLOOKUP(A76,DHL_ADDER!$B$4:$E$26,4,0),0)</f>
        <v>5.8107297297297293</v>
      </c>
      <c r="BD76" s="48">
        <f t="shared" si="3"/>
        <v>7</v>
      </c>
      <c r="BE76" s="48">
        <f>+T[[#This Row],[Airport to Destination Transit Time Days]]+T[[#This Row],[Airport to Airport Transit Time Days]]+T[[#This Row],[Origin to Airport Transit Time in days]]</f>
        <v>4.5</v>
      </c>
    </row>
    <row r="77" spans="1:57" customFormat="1" x14ac:dyDescent="0.35">
      <c r="A77" t="str">
        <f>+T[[#This Row],[Provider_Name]]&amp;"_"&amp;T[[#This Row],[AXIS]]</f>
        <v>DHL_B_FR&gt;BR</v>
      </c>
      <c r="B77" t="s">
        <v>71</v>
      </c>
      <c r="C77" t="s">
        <v>148</v>
      </c>
      <c r="D77" t="s">
        <v>149</v>
      </c>
      <c r="E77" t="s">
        <v>150</v>
      </c>
      <c r="F77" t="s">
        <v>75</v>
      </c>
      <c r="G77" t="s">
        <v>151</v>
      </c>
      <c r="H77" t="s">
        <v>152</v>
      </c>
      <c r="I77" t="s">
        <v>153</v>
      </c>
      <c r="J77">
        <v>76410</v>
      </c>
      <c r="K77" t="s">
        <v>139</v>
      </c>
      <c r="L77" t="s">
        <v>79</v>
      </c>
      <c r="M77" t="s">
        <v>80</v>
      </c>
      <c r="N77" t="s">
        <v>81</v>
      </c>
      <c r="O77" t="s">
        <v>82</v>
      </c>
      <c r="P77" t="s">
        <v>83</v>
      </c>
      <c r="Q77" t="s">
        <v>84</v>
      </c>
      <c r="R77">
        <v>6</v>
      </c>
      <c r="S77">
        <v>3000</v>
      </c>
      <c r="T77">
        <v>3000</v>
      </c>
      <c r="U77" s="1">
        <v>500</v>
      </c>
      <c r="V77" t="s">
        <v>85</v>
      </c>
      <c r="W77" s="43">
        <v>10</v>
      </c>
      <c r="X77">
        <v>77</v>
      </c>
      <c r="Y77">
        <v>0.61</v>
      </c>
      <c r="Z77" t="s">
        <v>145</v>
      </c>
      <c r="AA77">
        <v>2</v>
      </c>
      <c r="AB77">
        <v>28</v>
      </c>
      <c r="AC77">
        <v>0.01</v>
      </c>
      <c r="AD77">
        <v>43</v>
      </c>
      <c r="AE77">
        <v>0</v>
      </c>
      <c r="AF77">
        <v>0</v>
      </c>
      <c r="AG77" t="s">
        <v>86</v>
      </c>
      <c r="AH77">
        <v>45</v>
      </c>
      <c r="AI77" s="1">
        <v>3.4000000000000004</v>
      </c>
      <c r="AJ77" s="1">
        <v>3.4000000000000004</v>
      </c>
      <c r="AK77" s="1">
        <v>3.4000000000000004</v>
      </c>
      <c r="AL77" s="1">
        <v>3.4000000000000004</v>
      </c>
      <c r="AM77" s="1">
        <v>3.4000000000000004</v>
      </c>
      <c r="AN77" s="1">
        <v>3.3000000000000003</v>
      </c>
      <c r="AO77" s="1">
        <v>3.3000000000000003</v>
      </c>
      <c r="AP77" s="1">
        <v>3.3000000000000003</v>
      </c>
      <c r="AQ77">
        <v>5</v>
      </c>
      <c r="AR77" t="s">
        <v>154</v>
      </c>
      <c r="AS77">
        <v>2</v>
      </c>
      <c r="AT77">
        <v>5</v>
      </c>
      <c r="AX77">
        <v>1</v>
      </c>
      <c r="AY77">
        <v>120</v>
      </c>
      <c r="AZ77">
        <v>0.06</v>
      </c>
      <c r="BA77" s="43" t="str">
        <f t="shared" si="2"/>
        <v>Economy</v>
      </c>
      <c r="BB77" s="46">
        <f>IFERROR((AD77+IF(Calculator_v2!$E$6*Y77&lt;X77,X77,IF(Calculator_v2!$E$6*Y77&gt;Z77,Z77,Calculator_v2!$E$6*Y77))+IF(Calculator_v2!$E$6*AC77&lt;AB77,AB77,Calculator_v2!$E$6*AC77)+IFERROR(_xlfn.LET(_xlpm.tarifa,IF(Calculator_v2!$E$6&lt;=$AI$1,AI77,IF(Calculator_v2!$E$6&lt;=$AK$1,AJ77,IF(Calculator_v2!$E$6&lt;=$AL$1,AK77,IF(Calculator_v2!$E$6&lt;=$AM$1,AL77,IF(Calculator_v2!$E$6&lt;=$AN$1,AM77,IF(Calculator_v2!$E$6&lt;=$AO$1,AN77,IF(Calculator_v2!$E$6&lt;=$AP$1,AO77,AP77))))))),_xlpm.resultado,_xlpm.tarifa*Calculator_v2!$E$6,IF(_xlpm.resultado&lt;AH77,AH77,_xlpm.resultado)),0)+IF(Calculator_v2!$E$6*AV77&lt;AU77,AU77,IF(Calculator_v2!$E$6*AV77&gt;AW77,AW77,Calculator_v2!$E$6*AV77))+IF(Calculator_v2!$E$6*AZ77&lt;=AY77,AY77,Calculator_v2!$E$6*AZ77)),0)</f>
        <v>2564.92</v>
      </c>
      <c r="BC77" s="47">
        <f>IFERROR(+BB77/Calculator_v2!$E$6,0)+IFERROR(VLOOKUP(A77,DHL_ADDER!$B$4:$E$26,4,0),0)</f>
        <v>5.2126351351351348</v>
      </c>
      <c r="BD77" s="48">
        <f t="shared" si="3"/>
        <v>5</v>
      </c>
      <c r="BE77" s="48">
        <f>+T[[#This Row],[Airport to Destination Transit Time Days]]+T[[#This Row],[Airport to Airport Transit Time Days]]+T[[#This Row],[Origin to Airport Transit Time in days]]</f>
        <v>8</v>
      </c>
    </row>
    <row r="78" spans="1:57" customFormat="1" x14ac:dyDescent="0.35">
      <c r="A78" t="str">
        <f>+T[[#This Row],[Provider_Name]]&amp;"_"&amp;T[[#This Row],[AXIS]]</f>
        <v>DHL_B_FR&gt;BR</v>
      </c>
      <c r="B78" t="s">
        <v>71</v>
      </c>
      <c r="C78" t="s">
        <v>148</v>
      </c>
      <c r="D78" t="s">
        <v>149</v>
      </c>
      <c r="E78" t="s">
        <v>155</v>
      </c>
      <c r="F78" t="s">
        <v>75</v>
      </c>
      <c r="G78" t="s">
        <v>151</v>
      </c>
      <c r="H78" t="s">
        <v>156</v>
      </c>
      <c r="I78" t="s">
        <v>157</v>
      </c>
      <c r="J78">
        <v>27220</v>
      </c>
      <c r="K78" t="s">
        <v>139</v>
      </c>
      <c r="L78" t="s">
        <v>79</v>
      </c>
      <c r="M78" t="s">
        <v>80</v>
      </c>
      <c r="N78" t="s">
        <v>81</v>
      </c>
      <c r="O78" t="s">
        <v>82</v>
      </c>
      <c r="P78" t="s">
        <v>83</v>
      </c>
      <c r="Q78" t="s">
        <v>84</v>
      </c>
      <c r="R78">
        <v>6</v>
      </c>
      <c r="S78">
        <v>3000</v>
      </c>
      <c r="T78">
        <v>3000</v>
      </c>
      <c r="U78" s="1">
        <v>500</v>
      </c>
      <c r="V78" t="s">
        <v>85</v>
      </c>
      <c r="W78" s="43">
        <v>10</v>
      </c>
      <c r="X78" s="44">
        <v>72</v>
      </c>
      <c r="Y78" s="44">
        <v>0.56000000000000005</v>
      </c>
      <c r="Z78" s="44" t="s">
        <v>145</v>
      </c>
      <c r="AA78">
        <v>2</v>
      </c>
      <c r="AB78" s="45">
        <v>28</v>
      </c>
      <c r="AC78" s="45">
        <v>0.01</v>
      </c>
      <c r="AD78" s="45">
        <v>43</v>
      </c>
      <c r="AE78">
        <v>0</v>
      </c>
      <c r="AF78">
        <v>0</v>
      </c>
      <c r="AG78" t="s">
        <v>86</v>
      </c>
      <c r="AH78" s="44">
        <v>45</v>
      </c>
      <c r="AI78" s="44">
        <v>3.4000000000000004</v>
      </c>
      <c r="AJ78" s="44">
        <v>3.4000000000000004</v>
      </c>
      <c r="AK78" s="44">
        <v>3.4000000000000004</v>
      </c>
      <c r="AL78" s="44">
        <v>3.4000000000000004</v>
      </c>
      <c r="AM78" s="44">
        <v>3.4000000000000004</v>
      </c>
      <c r="AN78" s="44">
        <v>3.3000000000000003</v>
      </c>
      <c r="AO78" s="44">
        <v>3.3000000000000003</v>
      </c>
      <c r="AP78" s="44">
        <v>3.3000000000000003</v>
      </c>
      <c r="AQ78">
        <v>5</v>
      </c>
      <c r="AR78" t="s">
        <v>154</v>
      </c>
      <c r="AS78">
        <v>2</v>
      </c>
      <c r="AT78">
        <v>5</v>
      </c>
      <c r="AX78">
        <v>1</v>
      </c>
      <c r="AY78">
        <v>120</v>
      </c>
      <c r="AZ78">
        <v>0.06</v>
      </c>
      <c r="BA78" s="43" t="str">
        <f t="shared" si="2"/>
        <v>Economy</v>
      </c>
      <c r="BB78" s="46">
        <f>IFERROR((AD78+IF(Calculator_v2!$E$6*Y78&lt;X78,X78,IF(Calculator_v2!$E$6*Y78&gt;Z78,Z78,Calculator_v2!$E$6*Y78))+IF(Calculator_v2!$E$6*AC78&lt;AB78,AB78,Calculator_v2!$E$6*AC78)+IFERROR(_xlfn.LET(_xlpm.tarifa,IF(Calculator_v2!$E$6&lt;=$AI$1,AI78,IF(Calculator_v2!$E$6&lt;=$AK$1,AJ78,IF(Calculator_v2!$E$6&lt;=$AL$1,AK78,IF(Calculator_v2!$E$6&lt;=$AM$1,AL78,IF(Calculator_v2!$E$6&lt;=$AN$1,AM78,IF(Calculator_v2!$E$6&lt;=$AO$1,AN78,IF(Calculator_v2!$E$6&lt;=$AP$1,AO78,AP78))))))),_xlpm.resultado,_xlpm.tarifa*Calculator_v2!$E$6,IF(_xlpm.resultado&lt;AH78,AH78,_xlpm.resultado)),0)+IF(Calculator_v2!$E$6*AV78&lt;AU78,AU78,IF(Calculator_v2!$E$6*AV78&gt;AW78,AW78,Calculator_v2!$E$6*AV78))+IF(Calculator_v2!$E$6*AZ78&lt;=AY78,AY78,Calculator_v2!$E$6*AZ78)),0)</f>
        <v>2535.3200000000002</v>
      </c>
      <c r="BC78" s="47">
        <f>IFERROR(+BB78/Calculator_v2!$E$6,0)+IFERROR(VLOOKUP(A78,DHL_ADDER!$B$4:$E$26,4,0),0)</f>
        <v>5.1626351351351349</v>
      </c>
      <c r="BD78" s="48">
        <f t="shared" si="3"/>
        <v>5</v>
      </c>
      <c r="BE78" s="48">
        <f>+T[[#This Row],[Airport to Destination Transit Time Days]]+T[[#This Row],[Airport to Airport Transit Time Days]]+T[[#This Row],[Origin to Airport Transit Time in days]]</f>
        <v>8</v>
      </c>
    </row>
    <row r="79" spans="1:57" customFormat="1" x14ac:dyDescent="0.35">
      <c r="A79" t="str">
        <f>+T[[#This Row],[Provider_Name]]&amp;"_"&amp;T[[#This Row],[AXIS]]</f>
        <v>DHL_B_FR&gt;BR</v>
      </c>
      <c r="B79" t="s">
        <v>71</v>
      </c>
      <c r="C79" t="s">
        <v>148</v>
      </c>
      <c r="D79" t="s">
        <v>149</v>
      </c>
      <c r="E79" t="s">
        <v>150</v>
      </c>
      <c r="F79" t="s">
        <v>75</v>
      </c>
      <c r="G79" t="s">
        <v>151</v>
      </c>
      <c r="H79" t="s">
        <v>152</v>
      </c>
      <c r="I79" t="s">
        <v>153</v>
      </c>
      <c r="J79">
        <v>76410</v>
      </c>
      <c r="K79" t="s">
        <v>139</v>
      </c>
      <c r="L79" t="s">
        <v>79</v>
      </c>
      <c r="M79" t="s">
        <v>80</v>
      </c>
      <c r="N79" t="s">
        <v>81</v>
      </c>
      <c r="O79" t="s">
        <v>82</v>
      </c>
      <c r="P79" t="s">
        <v>89</v>
      </c>
      <c r="Q79" t="s">
        <v>84</v>
      </c>
      <c r="R79">
        <v>6</v>
      </c>
      <c r="S79">
        <v>3000</v>
      </c>
      <c r="T79">
        <v>3000</v>
      </c>
      <c r="U79" s="1">
        <v>500</v>
      </c>
      <c r="V79" t="s">
        <v>85</v>
      </c>
      <c r="W79" s="43">
        <v>8</v>
      </c>
      <c r="X79" s="44">
        <v>77</v>
      </c>
      <c r="Y79" s="44">
        <v>0.61</v>
      </c>
      <c r="Z79" s="44" t="s">
        <v>145</v>
      </c>
      <c r="AA79">
        <v>2</v>
      </c>
      <c r="AB79" s="45">
        <v>48</v>
      </c>
      <c r="AC79" s="45">
        <v>0.01</v>
      </c>
      <c r="AD79" s="45">
        <v>43</v>
      </c>
      <c r="AE79">
        <v>0</v>
      </c>
      <c r="AF79">
        <v>0</v>
      </c>
      <c r="AG79" t="s">
        <v>86</v>
      </c>
      <c r="AH79" s="44">
        <v>205</v>
      </c>
      <c r="AI79" s="44">
        <v>5.6499999999999995</v>
      </c>
      <c r="AJ79" s="44">
        <v>5.2499999999999991</v>
      </c>
      <c r="AK79" s="44">
        <v>3.8000000000000003</v>
      </c>
      <c r="AL79" s="44">
        <v>3.0500000000000003</v>
      </c>
      <c r="AM79" s="44">
        <v>2.9000000000000004</v>
      </c>
      <c r="AN79" s="44">
        <v>2.7</v>
      </c>
      <c r="AO79" s="44">
        <v>2.7</v>
      </c>
      <c r="AP79" s="44">
        <v>2.7</v>
      </c>
      <c r="AQ79">
        <v>5</v>
      </c>
      <c r="AR79" t="s">
        <v>158</v>
      </c>
      <c r="AS79">
        <v>2</v>
      </c>
      <c r="AT79">
        <v>7</v>
      </c>
      <c r="AX79">
        <v>1</v>
      </c>
      <c r="AY79">
        <v>120</v>
      </c>
      <c r="AZ79">
        <v>0.06</v>
      </c>
      <c r="BA79" s="43" t="str">
        <f t="shared" si="2"/>
        <v>Economy</v>
      </c>
      <c r="BB79" s="46">
        <f>IFERROR((AD79+IF(Calculator_v2!$E$6*Y79&lt;X79,X79,IF(Calculator_v2!$E$6*Y79&gt;Z79,Z79,Calculator_v2!$E$6*Y79))+IF(Calculator_v2!$E$6*AC79&lt;AB79,AB79,Calculator_v2!$E$6*AC79)+IFERROR(_xlfn.LET(_xlpm.tarifa,IF(Calculator_v2!$E$6&lt;=$AI$1,AI79,IF(Calculator_v2!$E$6&lt;=$AK$1,AJ79,IF(Calculator_v2!$E$6&lt;=$AL$1,AK79,IF(Calculator_v2!$E$6&lt;=$AM$1,AL79,IF(Calculator_v2!$E$6&lt;=$AN$1,AM79,IF(Calculator_v2!$E$6&lt;=$AO$1,AN79,IF(Calculator_v2!$E$6&lt;=$AP$1,AO79,AP79))))))),_xlpm.resultado,_xlpm.tarifa*Calculator_v2!$E$6,IF(_xlpm.resultado&lt;AH79,AH79,_xlpm.resultado)),0)+IF(Calculator_v2!$E$6*AV79&lt;AU79,AU79,IF(Calculator_v2!$E$6*AV79&gt;AW79,AW79,Calculator_v2!$E$6*AV79))+IF(Calculator_v2!$E$6*AZ79&lt;=AY79,AY79,Calculator_v2!$E$6*AZ79)),0)</f>
        <v>2288.92</v>
      </c>
      <c r="BC79" s="47">
        <f>IFERROR(+BB79/Calculator_v2!$E$6,0)+IFERROR(VLOOKUP(A79,DHL_ADDER!$B$4:$E$26,4,0),0)</f>
        <v>4.746418918918919</v>
      </c>
      <c r="BD79" s="48">
        <f t="shared" si="3"/>
        <v>7</v>
      </c>
      <c r="BE79" s="48">
        <f>+T[[#This Row],[Airport to Destination Transit Time Days]]+T[[#This Row],[Airport to Airport Transit Time Days]]+T[[#This Row],[Origin to Airport Transit Time in days]]</f>
        <v>8</v>
      </c>
    </row>
    <row r="80" spans="1:57" customFormat="1" x14ac:dyDescent="0.35">
      <c r="A80" t="str">
        <f>+T[[#This Row],[Provider_Name]]&amp;"_"&amp;T[[#This Row],[AXIS]]</f>
        <v>DHL_B_FR&gt;BR</v>
      </c>
      <c r="B80" t="s">
        <v>71</v>
      </c>
      <c r="C80" t="s">
        <v>148</v>
      </c>
      <c r="D80" t="s">
        <v>149</v>
      </c>
      <c r="E80" t="s">
        <v>155</v>
      </c>
      <c r="F80" t="s">
        <v>75</v>
      </c>
      <c r="G80" t="s">
        <v>151</v>
      </c>
      <c r="H80" t="s">
        <v>156</v>
      </c>
      <c r="I80" t="s">
        <v>157</v>
      </c>
      <c r="J80">
        <v>27220</v>
      </c>
      <c r="K80" t="s">
        <v>139</v>
      </c>
      <c r="L80" t="s">
        <v>79</v>
      </c>
      <c r="M80" t="s">
        <v>80</v>
      </c>
      <c r="N80" t="s">
        <v>81</v>
      </c>
      <c r="O80" t="s">
        <v>82</v>
      </c>
      <c r="P80" t="s">
        <v>89</v>
      </c>
      <c r="Q80" t="s">
        <v>84</v>
      </c>
      <c r="R80">
        <v>6</v>
      </c>
      <c r="S80">
        <v>3000</v>
      </c>
      <c r="T80">
        <v>3000</v>
      </c>
      <c r="U80" s="1">
        <v>500</v>
      </c>
      <c r="V80" t="s">
        <v>85</v>
      </c>
      <c r="W80" s="43">
        <v>8</v>
      </c>
      <c r="X80" s="44">
        <v>72</v>
      </c>
      <c r="Y80" s="44">
        <v>0.56000000000000005</v>
      </c>
      <c r="Z80" s="44" t="s">
        <v>145</v>
      </c>
      <c r="AA80">
        <v>2</v>
      </c>
      <c r="AB80" s="45">
        <v>48</v>
      </c>
      <c r="AC80" s="45">
        <v>0.01</v>
      </c>
      <c r="AD80" s="45">
        <v>43</v>
      </c>
      <c r="AE80">
        <v>0</v>
      </c>
      <c r="AF80">
        <v>0</v>
      </c>
      <c r="AG80" t="s">
        <v>86</v>
      </c>
      <c r="AH80" s="44">
        <v>205</v>
      </c>
      <c r="AI80" s="44">
        <v>5.6499999999999995</v>
      </c>
      <c r="AJ80" s="44">
        <v>5.2499999999999991</v>
      </c>
      <c r="AK80" s="44">
        <v>3.8000000000000003</v>
      </c>
      <c r="AL80" s="44">
        <v>3.0500000000000003</v>
      </c>
      <c r="AM80" s="44">
        <v>2.9000000000000004</v>
      </c>
      <c r="AN80" s="44">
        <v>2.7</v>
      </c>
      <c r="AO80" s="44">
        <v>2.7</v>
      </c>
      <c r="AP80" s="44">
        <v>2.7</v>
      </c>
      <c r="AQ80">
        <v>5</v>
      </c>
      <c r="AR80" t="s">
        <v>158</v>
      </c>
      <c r="AS80">
        <v>2</v>
      </c>
      <c r="AT80">
        <v>7</v>
      </c>
      <c r="AX80">
        <v>1</v>
      </c>
      <c r="AY80">
        <v>120</v>
      </c>
      <c r="AZ80">
        <v>0.06</v>
      </c>
      <c r="BA80" s="43" t="str">
        <f t="shared" si="2"/>
        <v>Economy</v>
      </c>
      <c r="BB80" s="46">
        <f>IFERROR((AD80+IF(Calculator_v2!$E$6*Y80&lt;X80,X80,IF(Calculator_v2!$E$6*Y80&gt;Z80,Z80,Calculator_v2!$E$6*Y80))+IF(Calculator_v2!$E$6*AC80&lt;AB80,AB80,Calculator_v2!$E$6*AC80)+IFERROR(_xlfn.LET(_xlpm.tarifa,IF(Calculator_v2!$E$6&lt;=$AI$1,AI80,IF(Calculator_v2!$E$6&lt;=$AK$1,AJ80,IF(Calculator_v2!$E$6&lt;=$AL$1,AK80,IF(Calculator_v2!$E$6&lt;=$AM$1,AL80,IF(Calculator_v2!$E$6&lt;=$AN$1,AM80,IF(Calculator_v2!$E$6&lt;=$AO$1,AN80,IF(Calculator_v2!$E$6&lt;=$AP$1,AO80,AP80))))))),_xlpm.resultado,_xlpm.tarifa*Calculator_v2!$E$6,IF(_xlpm.resultado&lt;AH80,AH80,_xlpm.resultado)),0)+IF(Calculator_v2!$E$6*AV80&lt;AU80,AU80,IF(Calculator_v2!$E$6*AV80&gt;AW80,AW80,Calculator_v2!$E$6*AV80))+IF(Calculator_v2!$E$6*AZ80&lt;=AY80,AY80,Calculator_v2!$E$6*AZ80)),0)</f>
        <v>2259.3200000000002</v>
      </c>
      <c r="BC80" s="47">
        <f>IFERROR(+BB80/Calculator_v2!$E$6,0)+IFERROR(VLOOKUP(A80,DHL_ADDER!$B$4:$E$26,4,0),0)</f>
        <v>4.6964189189189192</v>
      </c>
      <c r="BD80" s="48">
        <f t="shared" si="3"/>
        <v>7</v>
      </c>
      <c r="BE80" s="48">
        <f>+T[[#This Row],[Airport to Destination Transit Time Days]]+T[[#This Row],[Airport to Airport Transit Time Days]]+T[[#This Row],[Origin to Airport Transit Time in days]]</f>
        <v>8</v>
      </c>
    </row>
    <row r="81" spans="1:57" customFormat="1" x14ac:dyDescent="0.35">
      <c r="A81" t="str">
        <f>+T[[#This Row],[Provider_Name]]&amp;"_"&amp;T[[#This Row],[AXIS]]</f>
        <v>DHL_B_FR&gt;BR</v>
      </c>
      <c r="B81" t="s">
        <v>71</v>
      </c>
      <c r="C81" t="s">
        <v>148</v>
      </c>
      <c r="D81" t="s">
        <v>149</v>
      </c>
      <c r="E81" t="s">
        <v>150</v>
      </c>
      <c r="F81" t="s">
        <v>75</v>
      </c>
      <c r="G81" t="s">
        <v>151</v>
      </c>
      <c r="H81" t="s">
        <v>152</v>
      </c>
      <c r="I81" t="s">
        <v>153</v>
      </c>
      <c r="J81">
        <v>76410</v>
      </c>
      <c r="K81" t="s">
        <v>139</v>
      </c>
      <c r="L81" t="s">
        <v>79</v>
      </c>
      <c r="M81" t="s">
        <v>80</v>
      </c>
      <c r="N81" t="s">
        <v>81</v>
      </c>
      <c r="O81" t="s">
        <v>82</v>
      </c>
      <c r="P81" t="s">
        <v>83</v>
      </c>
      <c r="Q81" t="s">
        <v>84</v>
      </c>
      <c r="R81">
        <v>6</v>
      </c>
      <c r="S81">
        <v>3000</v>
      </c>
      <c r="T81">
        <v>3000</v>
      </c>
      <c r="U81" s="1">
        <v>500</v>
      </c>
      <c r="V81" t="s">
        <v>90</v>
      </c>
      <c r="W81" s="43">
        <v>6</v>
      </c>
      <c r="X81">
        <v>600</v>
      </c>
      <c r="Y81">
        <v>0.01</v>
      </c>
      <c r="Z81" t="s">
        <v>145</v>
      </c>
      <c r="AA81">
        <v>1</v>
      </c>
      <c r="AB81">
        <v>48</v>
      </c>
      <c r="AC81">
        <v>0.01</v>
      </c>
      <c r="AD81">
        <v>43</v>
      </c>
      <c r="AE81">
        <v>0</v>
      </c>
      <c r="AF81">
        <v>0</v>
      </c>
      <c r="AG81" t="s">
        <v>86</v>
      </c>
      <c r="AH81">
        <v>140</v>
      </c>
      <c r="AI81" s="1">
        <v>8.75</v>
      </c>
      <c r="AJ81" s="1">
        <v>8.49</v>
      </c>
      <c r="AK81" s="1">
        <v>7.6999999999999993</v>
      </c>
      <c r="AL81" s="1">
        <v>6.6499999999999995</v>
      </c>
      <c r="AM81" s="1">
        <v>6.39</v>
      </c>
      <c r="AN81" s="1">
        <v>6.39</v>
      </c>
      <c r="AO81" s="1">
        <v>6.39</v>
      </c>
      <c r="AP81" s="1">
        <v>6.39</v>
      </c>
      <c r="AQ81">
        <v>2</v>
      </c>
      <c r="AR81" t="s">
        <v>159</v>
      </c>
      <c r="AS81">
        <v>1</v>
      </c>
      <c r="AT81">
        <v>4</v>
      </c>
      <c r="AX81">
        <v>1</v>
      </c>
      <c r="AY81">
        <v>120</v>
      </c>
      <c r="AZ81">
        <v>0.06</v>
      </c>
      <c r="BA81" s="43" t="str">
        <f t="shared" si="2"/>
        <v>Express</v>
      </c>
      <c r="BB81" s="46">
        <f>IFERROR((AD81+IF(Calculator_v2!$E$6*Y81&lt;X81,X81,IF(Calculator_v2!$E$6*Y81&gt;Z81,Z81,Calculator_v2!$E$6*Y81))+IF(Calculator_v2!$E$6*AC81&lt;AB81,AB81,Calculator_v2!$E$6*AC81)+IFERROR(_xlfn.LET(_xlpm.tarifa,IF(Calculator_v2!$E$6&lt;=$AI$1,AI81,IF(Calculator_v2!$E$6&lt;=$AK$1,AJ81,IF(Calculator_v2!$E$6&lt;=$AL$1,AK81,IF(Calculator_v2!$E$6&lt;=$AM$1,AL81,IF(Calculator_v2!$E$6&lt;=$AN$1,AM81,IF(Calculator_v2!$E$6&lt;=$AO$1,AN81,IF(Calculator_v2!$E$6&lt;=$AP$1,AO81,AP81))))))),_xlpm.resultado,_xlpm.tarifa*Calculator_v2!$E$6,IF(_xlpm.resultado&lt;AH81,AH81,_xlpm.resultado)),0)+IF(Calculator_v2!$E$6*AV81&lt;AU81,AU81,IF(Calculator_v2!$E$6*AV81&gt;AW81,AW81,Calculator_v2!$E$6*AV81))+IF(Calculator_v2!$E$6*AZ81&lt;=AY81,AY81,Calculator_v2!$E$6*AZ81)),0)</f>
        <v>4593.8799999999992</v>
      </c>
      <c r="BC81" s="47">
        <f>IFERROR(+BB81/Calculator_v2!$E$6,0)+IFERROR(VLOOKUP(A81,DHL_ADDER!$B$4:$E$26,4,0),0)</f>
        <v>8.6399324324324311</v>
      </c>
      <c r="BD81" s="48">
        <f t="shared" si="3"/>
        <v>4</v>
      </c>
      <c r="BE81" s="48">
        <f>+T[[#This Row],[Airport to Destination Transit Time Days]]+T[[#This Row],[Airport to Airport Transit Time Days]]+T[[#This Row],[Origin to Airport Transit Time in days]]</f>
        <v>4</v>
      </c>
    </row>
    <row r="82" spans="1:57" customFormat="1" x14ac:dyDescent="0.35">
      <c r="A82" t="str">
        <f>+T[[#This Row],[Provider_Name]]&amp;"_"&amp;T[[#This Row],[AXIS]]</f>
        <v>DHL_B_FR&gt;BR</v>
      </c>
      <c r="B82" t="s">
        <v>71</v>
      </c>
      <c r="C82" t="s">
        <v>148</v>
      </c>
      <c r="D82" t="s">
        <v>149</v>
      </c>
      <c r="E82" t="s">
        <v>155</v>
      </c>
      <c r="F82" t="s">
        <v>75</v>
      </c>
      <c r="G82" t="s">
        <v>151</v>
      </c>
      <c r="H82" t="s">
        <v>156</v>
      </c>
      <c r="I82" t="s">
        <v>157</v>
      </c>
      <c r="J82">
        <v>27220</v>
      </c>
      <c r="K82" t="s">
        <v>139</v>
      </c>
      <c r="L82" t="s">
        <v>79</v>
      </c>
      <c r="M82" t="s">
        <v>80</v>
      </c>
      <c r="N82" t="s">
        <v>81</v>
      </c>
      <c r="O82" t="s">
        <v>82</v>
      </c>
      <c r="P82" t="s">
        <v>83</v>
      </c>
      <c r="Q82" t="s">
        <v>84</v>
      </c>
      <c r="R82">
        <v>6</v>
      </c>
      <c r="S82">
        <v>3000</v>
      </c>
      <c r="T82">
        <v>3000</v>
      </c>
      <c r="U82" s="1">
        <v>500</v>
      </c>
      <c r="V82" t="s">
        <v>90</v>
      </c>
      <c r="W82" s="43">
        <v>6</v>
      </c>
      <c r="X82" s="44">
        <v>526</v>
      </c>
      <c r="Y82" s="44">
        <v>0.01</v>
      </c>
      <c r="Z82" s="44" t="s">
        <v>145</v>
      </c>
      <c r="AA82">
        <v>1</v>
      </c>
      <c r="AB82" s="45">
        <v>48</v>
      </c>
      <c r="AC82" s="45">
        <v>0.01</v>
      </c>
      <c r="AD82" s="45">
        <v>43</v>
      </c>
      <c r="AE82">
        <v>0</v>
      </c>
      <c r="AF82">
        <v>0</v>
      </c>
      <c r="AG82" t="s">
        <v>86</v>
      </c>
      <c r="AH82" s="44">
        <v>140</v>
      </c>
      <c r="AI82" s="44">
        <v>8.75</v>
      </c>
      <c r="AJ82" s="44">
        <v>8.49</v>
      </c>
      <c r="AK82" s="44">
        <v>7.6999999999999993</v>
      </c>
      <c r="AL82" s="44">
        <v>6.6499999999999995</v>
      </c>
      <c r="AM82" s="44">
        <v>6.39</v>
      </c>
      <c r="AN82" s="44">
        <v>6.39</v>
      </c>
      <c r="AO82" s="44">
        <v>6.39</v>
      </c>
      <c r="AP82" s="44">
        <v>6.39</v>
      </c>
      <c r="AQ82">
        <v>2</v>
      </c>
      <c r="AR82" t="s">
        <v>159</v>
      </c>
      <c r="AS82">
        <v>1</v>
      </c>
      <c r="AT82">
        <v>4</v>
      </c>
      <c r="AU82" s="45"/>
      <c r="AV82" s="45"/>
      <c r="AW82" s="45"/>
      <c r="AX82">
        <v>1</v>
      </c>
      <c r="AY82">
        <v>120</v>
      </c>
      <c r="AZ82">
        <v>0.06</v>
      </c>
      <c r="BA82" s="43" t="str">
        <f t="shared" si="2"/>
        <v>Express</v>
      </c>
      <c r="BB82" s="46">
        <f>IFERROR((AD82+IF(Calculator_v2!$E$6*Y82&lt;X82,X82,IF(Calculator_v2!$E$6*Y82&gt;Z82,Z82,Calculator_v2!$E$6*Y82))+IF(Calculator_v2!$E$6*AC82&lt;AB82,AB82,Calculator_v2!$E$6*AC82)+IFERROR(_xlfn.LET(_xlpm.tarifa,IF(Calculator_v2!$E$6&lt;=$AI$1,AI82,IF(Calculator_v2!$E$6&lt;=$AK$1,AJ82,IF(Calculator_v2!$E$6&lt;=$AL$1,AK82,IF(Calculator_v2!$E$6&lt;=$AM$1,AL82,IF(Calculator_v2!$E$6&lt;=$AN$1,AM82,IF(Calculator_v2!$E$6&lt;=$AO$1,AN82,IF(Calculator_v2!$E$6&lt;=$AP$1,AO82,AP82))))))),_xlpm.resultado,_xlpm.tarifa*Calculator_v2!$E$6,IF(_xlpm.resultado&lt;AH82,AH82,_xlpm.resultado)),0)+IF(Calculator_v2!$E$6*AV82&lt;AU82,AU82,IF(Calculator_v2!$E$6*AV82&gt;AW82,AW82,Calculator_v2!$E$6*AV82))+IF(Calculator_v2!$E$6*AZ82&lt;=AY82,AY82,Calculator_v2!$E$6*AZ82)),0)</f>
        <v>4519.8799999999992</v>
      </c>
      <c r="BC82" s="47">
        <f>IFERROR(+BB82/Calculator_v2!$E$6,0)+IFERROR(VLOOKUP(A82,DHL_ADDER!$B$4:$E$26,4,0),0)</f>
        <v>8.5149324324324311</v>
      </c>
      <c r="BD82" s="48">
        <f t="shared" si="3"/>
        <v>4</v>
      </c>
      <c r="BE82" s="48">
        <f>+T[[#This Row],[Airport to Destination Transit Time Days]]+T[[#This Row],[Airport to Airport Transit Time Days]]+T[[#This Row],[Origin to Airport Transit Time in days]]</f>
        <v>4</v>
      </c>
    </row>
    <row r="83" spans="1:57" customFormat="1" x14ac:dyDescent="0.35">
      <c r="A83" t="str">
        <f>+T[[#This Row],[Provider_Name]]&amp;"_"&amp;T[[#This Row],[AXIS]]</f>
        <v>DHL_B_FR&gt;BR</v>
      </c>
      <c r="B83" t="s">
        <v>71</v>
      </c>
      <c r="C83" t="s">
        <v>148</v>
      </c>
      <c r="D83" t="s">
        <v>149</v>
      </c>
      <c r="E83" t="s">
        <v>150</v>
      </c>
      <c r="F83" t="s">
        <v>75</v>
      </c>
      <c r="G83" t="s">
        <v>151</v>
      </c>
      <c r="H83" t="s">
        <v>152</v>
      </c>
      <c r="I83" t="s">
        <v>153</v>
      </c>
      <c r="J83">
        <v>76410</v>
      </c>
      <c r="K83" t="s">
        <v>139</v>
      </c>
      <c r="L83" t="s">
        <v>79</v>
      </c>
      <c r="M83" t="s">
        <v>80</v>
      </c>
      <c r="N83" t="s">
        <v>81</v>
      </c>
      <c r="O83" t="s">
        <v>82</v>
      </c>
      <c r="P83" t="s">
        <v>89</v>
      </c>
      <c r="Q83" t="s">
        <v>84</v>
      </c>
      <c r="R83">
        <v>6</v>
      </c>
      <c r="S83">
        <v>3000</v>
      </c>
      <c r="T83">
        <v>3000</v>
      </c>
      <c r="U83" s="1">
        <v>500</v>
      </c>
      <c r="V83" t="s">
        <v>90</v>
      </c>
      <c r="W83" s="43">
        <v>4</v>
      </c>
      <c r="X83">
        <v>600</v>
      </c>
      <c r="Y83">
        <v>0.01</v>
      </c>
      <c r="Z83" t="s">
        <v>145</v>
      </c>
      <c r="AA83">
        <v>1</v>
      </c>
      <c r="AB83">
        <v>48</v>
      </c>
      <c r="AC83">
        <v>0.01</v>
      </c>
      <c r="AD83">
        <v>43</v>
      </c>
      <c r="AE83">
        <v>0</v>
      </c>
      <c r="AF83">
        <v>0</v>
      </c>
      <c r="AG83" t="s">
        <v>86</v>
      </c>
      <c r="AH83">
        <v>140</v>
      </c>
      <c r="AI83" s="1">
        <v>11.51</v>
      </c>
      <c r="AJ83" s="1">
        <v>11.12</v>
      </c>
      <c r="AK83" s="1">
        <v>9.94</v>
      </c>
      <c r="AL83" s="1">
        <v>8.3699999999999992</v>
      </c>
      <c r="AM83" s="1">
        <v>7.98</v>
      </c>
      <c r="AN83" s="1">
        <v>7.98</v>
      </c>
      <c r="AO83" s="1">
        <v>7.98</v>
      </c>
      <c r="AP83" s="1">
        <v>7.98</v>
      </c>
      <c r="AQ83">
        <v>2</v>
      </c>
      <c r="AR83" t="s">
        <v>159</v>
      </c>
      <c r="AS83">
        <v>1</v>
      </c>
      <c r="AT83">
        <v>3</v>
      </c>
      <c r="AX83">
        <v>1</v>
      </c>
      <c r="AY83">
        <v>120</v>
      </c>
      <c r="AZ83">
        <v>0.06</v>
      </c>
      <c r="BA83" s="43" t="str">
        <f t="shared" si="2"/>
        <v>Express</v>
      </c>
      <c r="BB83" s="46">
        <f>IFERROR((AD83+IF(Calculator_v2!$E$6*Y83&lt;X83,X83,IF(Calculator_v2!$E$6*Y83&gt;Z83,Z83,Calculator_v2!$E$6*Y83))+IF(Calculator_v2!$E$6*AC83&lt;AB83,AB83,Calculator_v2!$E$6*AC83)+IFERROR(_xlfn.LET(_xlpm.tarifa,IF(Calculator_v2!$E$6&lt;=$AI$1,AI83,IF(Calculator_v2!$E$6&lt;=$AK$1,AJ83,IF(Calculator_v2!$E$6&lt;=$AL$1,AK83,IF(Calculator_v2!$E$6&lt;=$AM$1,AL83,IF(Calculator_v2!$E$6&lt;=$AN$1,AM83,IF(Calculator_v2!$E$6&lt;=$AO$1,AN83,IF(Calculator_v2!$E$6&lt;=$AP$1,AO83,AP83))))))),_xlpm.resultado,_xlpm.tarifa*Calculator_v2!$E$6,IF(_xlpm.resultado&lt;AH83,AH83,_xlpm.resultado)),0)+IF(Calculator_v2!$E$6*AV83&lt;AU83,AU83,IF(Calculator_v2!$E$6*AV83&gt;AW83,AW83,Calculator_v2!$E$6*AV83))+IF(Calculator_v2!$E$6*AZ83&lt;=AY83,AY83,Calculator_v2!$E$6*AZ83)),0)</f>
        <v>5535.16</v>
      </c>
      <c r="BC83" s="47">
        <f>IFERROR(+BB83/Calculator_v2!$E$6,0)+IFERROR(VLOOKUP(A83,DHL_ADDER!$B$4:$E$26,4,0),0)</f>
        <v>10.229932432432431</v>
      </c>
      <c r="BD83" s="48">
        <f t="shared" si="3"/>
        <v>3</v>
      </c>
      <c r="BE83" s="48">
        <f>+T[[#This Row],[Airport to Destination Transit Time Days]]+T[[#This Row],[Airport to Airport Transit Time Days]]+T[[#This Row],[Origin to Airport Transit Time in days]]</f>
        <v>4</v>
      </c>
    </row>
    <row r="84" spans="1:57" customFormat="1" x14ac:dyDescent="0.35">
      <c r="A84" t="str">
        <f>+T[[#This Row],[Provider_Name]]&amp;"_"&amp;T[[#This Row],[AXIS]]</f>
        <v>DHL_B_FR&gt;BR</v>
      </c>
      <c r="B84" t="s">
        <v>71</v>
      </c>
      <c r="C84" t="s">
        <v>148</v>
      </c>
      <c r="D84" t="s">
        <v>149</v>
      </c>
      <c r="E84" t="s">
        <v>155</v>
      </c>
      <c r="F84" t="s">
        <v>75</v>
      </c>
      <c r="G84" t="s">
        <v>151</v>
      </c>
      <c r="H84" t="s">
        <v>156</v>
      </c>
      <c r="I84" t="s">
        <v>157</v>
      </c>
      <c r="J84">
        <v>27220</v>
      </c>
      <c r="K84" t="s">
        <v>139</v>
      </c>
      <c r="L84" t="s">
        <v>79</v>
      </c>
      <c r="M84" t="s">
        <v>80</v>
      </c>
      <c r="N84" t="s">
        <v>81</v>
      </c>
      <c r="O84" t="s">
        <v>82</v>
      </c>
      <c r="P84" t="s">
        <v>89</v>
      </c>
      <c r="Q84" t="s">
        <v>84</v>
      </c>
      <c r="R84">
        <v>6</v>
      </c>
      <c r="S84">
        <v>3000</v>
      </c>
      <c r="T84">
        <v>3000</v>
      </c>
      <c r="U84" s="1">
        <v>500</v>
      </c>
      <c r="V84" t="s">
        <v>90</v>
      </c>
      <c r="W84" s="43">
        <v>4</v>
      </c>
      <c r="X84">
        <v>526</v>
      </c>
      <c r="Y84">
        <v>0.01</v>
      </c>
      <c r="Z84" t="s">
        <v>145</v>
      </c>
      <c r="AA84">
        <v>1</v>
      </c>
      <c r="AB84">
        <v>48</v>
      </c>
      <c r="AC84">
        <v>0.01</v>
      </c>
      <c r="AD84">
        <v>43</v>
      </c>
      <c r="AE84">
        <v>0</v>
      </c>
      <c r="AF84">
        <v>0</v>
      </c>
      <c r="AG84" t="s">
        <v>86</v>
      </c>
      <c r="AH84">
        <v>140</v>
      </c>
      <c r="AI84" s="1">
        <v>11.51</v>
      </c>
      <c r="AJ84" s="1">
        <v>11.12</v>
      </c>
      <c r="AK84" s="1">
        <v>9.94</v>
      </c>
      <c r="AL84" s="1">
        <v>8.3699999999999992</v>
      </c>
      <c r="AM84" s="1">
        <v>7.98</v>
      </c>
      <c r="AN84" s="1">
        <v>7.98</v>
      </c>
      <c r="AO84" s="1">
        <v>7.98</v>
      </c>
      <c r="AP84" s="1">
        <v>7.98</v>
      </c>
      <c r="AQ84">
        <v>2</v>
      </c>
      <c r="AR84" t="s">
        <v>159</v>
      </c>
      <c r="AS84">
        <v>1</v>
      </c>
      <c r="AT84">
        <v>3</v>
      </c>
      <c r="AX84">
        <v>1</v>
      </c>
      <c r="AY84">
        <v>120</v>
      </c>
      <c r="AZ84">
        <v>0.06</v>
      </c>
      <c r="BA84" s="43" t="str">
        <f t="shared" si="2"/>
        <v>Express</v>
      </c>
      <c r="BB84" s="46">
        <f>IFERROR((AD84+IF(Calculator_v2!$E$6*Y84&lt;X84,X84,IF(Calculator_v2!$E$6*Y84&gt;Z84,Z84,Calculator_v2!$E$6*Y84))+IF(Calculator_v2!$E$6*AC84&lt;AB84,AB84,Calculator_v2!$E$6*AC84)+IFERROR(_xlfn.LET(_xlpm.tarifa,IF(Calculator_v2!$E$6&lt;=$AI$1,AI84,IF(Calculator_v2!$E$6&lt;=$AK$1,AJ84,IF(Calculator_v2!$E$6&lt;=$AL$1,AK84,IF(Calculator_v2!$E$6&lt;=$AM$1,AL84,IF(Calculator_v2!$E$6&lt;=$AN$1,AM84,IF(Calculator_v2!$E$6&lt;=$AO$1,AN84,IF(Calculator_v2!$E$6&lt;=$AP$1,AO84,AP84))))))),_xlpm.resultado,_xlpm.tarifa*Calculator_v2!$E$6,IF(_xlpm.resultado&lt;AH84,AH84,_xlpm.resultado)),0)+IF(Calculator_v2!$E$6*AV84&lt;AU84,AU84,IF(Calculator_v2!$E$6*AV84&gt;AW84,AW84,Calculator_v2!$E$6*AV84))+IF(Calculator_v2!$E$6*AZ84&lt;=AY84,AY84,Calculator_v2!$E$6*AZ84)),0)</f>
        <v>5461.16</v>
      </c>
      <c r="BC84" s="47">
        <f>IFERROR(+BB84/Calculator_v2!$E$6,0)+IFERROR(VLOOKUP(A84,DHL_ADDER!$B$4:$E$26,4,0),0)</f>
        <v>10.104932432432431</v>
      </c>
      <c r="BD84" s="48">
        <f t="shared" si="3"/>
        <v>3</v>
      </c>
      <c r="BE84" s="48">
        <f>+T[[#This Row],[Airport to Destination Transit Time Days]]+T[[#This Row],[Airport to Airport Transit Time Days]]+T[[#This Row],[Origin to Airport Transit Time in days]]</f>
        <v>4</v>
      </c>
    </row>
    <row r="85" spans="1:57" customFormat="1" x14ac:dyDescent="0.35">
      <c r="A85" t="str">
        <f>+T[[#This Row],[Provider_Name]]&amp;"_"&amp;T[[#This Row],[AXIS]]</f>
        <v>DHL_B_FR&gt;BR</v>
      </c>
      <c r="B85" t="s">
        <v>71</v>
      </c>
      <c r="C85" t="s">
        <v>148</v>
      </c>
      <c r="D85" t="s">
        <v>149</v>
      </c>
      <c r="E85" t="s">
        <v>150</v>
      </c>
      <c r="F85" t="s">
        <v>75</v>
      </c>
      <c r="G85" t="s">
        <v>151</v>
      </c>
      <c r="H85" t="s">
        <v>152</v>
      </c>
      <c r="I85" t="s">
        <v>153</v>
      </c>
      <c r="J85">
        <v>76410</v>
      </c>
      <c r="K85" t="s">
        <v>139</v>
      </c>
      <c r="L85" t="s">
        <v>79</v>
      </c>
      <c r="M85" t="s">
        <v>80</v>
      </c>
      <c r="N85" t="s">
        <v>81</v>
      </c>
      <c r="O85" t="s">
        <v>82</v>
      </c>
      <c r="P85" t="s">
        <v>83</v>
      </c>
      <c r="Q85" t="s">
        <v>84</v>
      </c>
      <c r="R85">
        <v>6</v>
      </c>
      <c r="S85">
        <v>3000</v>
      </c>
      <c r="T85">
        <v>3000</v>
      </c>
      <c r="U85" s="1">
        <v>500</v>
      </c>
      <c r="V85" t="s">
        <v>91</v>
      </c>
      <c r="W85" s="43">
        <v>8</v>
      </c>
      <c r="X85">
        <v>77</v>
      </c>
      <c r="Y85">
        <v>0.61</v>
      </c>
      <c r="Z85" t="s">
        <v>145</v>
      </c>
      <c r="AA85">
        <v>2</v>
      </c>
      <c r="AB85">
        <v>48</v>
      </c>
      <c r="AC85">
        <v>0.01</v>
      </c>
      <c r="AD85">
        <v>43</v>
      </c>
      <c r="AE85">
        <v>0</v>
      </c>
      <c r="AF85">
        <v>0</v>
      </c>
      <c r="AG85" t="s">
        <v>86</v>
      </c>
      <c r="AH85">
        <v>120</v>
      </c>
      <c r="AI85" s="1">
        <v>7.4</v>
      </c>
      <c r="AJ85" s="1">
        <v>7.14</v>
      </c>
      <c r="AK85" s="1">
        <v>4.55</v>
      </c>
      <c r="AL85" s="1">
        <v>4.55</v>
      </c>
      <c r="AM85" s="1">
        <v>4.55</v>
      </c>
      <c r="AN85" s="1">
        <v>4.55</v>
      </c>
      <c r="AO85" s="1">
        <v>4.55</v>
      </c>
      <c r="AP85" s="1">
        <v>4.55</v>
      </c>
      <c r="AQ85">
        <v>3</v>
      </c>
      <c r="AR85" t="s">
        <v>160</v>
      </c>
      <c r="AS85">
        <v>1</v>
      </c>
      <c r="AT85">
        <v>4</v>
      </c>
      <c r="AX85">
        <v>1</v>
      </c>
      <c r="AY85">
        <v>120</v>
      </c>
      <c r="AZ85">
        <v>0.06</v>
      </c>
      <c r="BA85" s="43" t="str">
        <f t="shared" si="2"/>
        <v>Normal</v>
      </c>
      <c r="BB85" s="46">
        <f>IFERROR((AD85+IF(Calculator_v2!$E$6*Y85&lt;X85,X85,IF(Calculator_v2!$E$6*Y85&gt;Z85,Z85,Calculator_v2!$E$6*Y85))+IF(Calculator_v2!$E$6*AC85&lt;AB85,AB85,Calculator_v2!$E$6*AC85)+IFERROR(_xlfn.LET(_xlpm.tarifa,IF(Calculator_v2!$E$6&lt;=$AI$1,AI85,IF(Calculator_v2!$E$6&lt;=$AK$1,AJ85,IF(Calculator_v2!$E$6&lt;=$AL$1,AK85,IF(Calculator_v2!$E$6&lt;=$AM$1,AL85,IF(Calculator_v2!$E$6&lt;=$AN$1,AM85,IF(Calculator_v2!$E$6&lt;=$AO$1,AN85,IF(Calculator_v2!$E$6&lt;=$AP$1,AO85,AP85))))))),_xlpm.resultado,_xlpm.tarifa*Calculator_v2!$E$6,IF(_xlpm.resultado&lt;AH85,AH85,_xlpm.resultado)),0)+IF(Calculator_v2!$E$6*AV85&lt;AU85,AU85,IF(Calculator_v2!$E$6*AV85&gt;AW85,AW85,Calculator_v2!$E$6*AV85))+IF(Calculator_v2!$E$6*AZ85&lt;=AY85,AY85,Calculator_v2!$E$6*AZ85)),0)</f>
        <v>3265.72</v>
      </c>
      <c r="BC85" s="47">
        <f>IFERROR(+BB85/Calculator_v2!$E$6,0)+IFERROR(VLOOKUP(A85,DHL_ADDER!$B$4:$E$26,4,0),0)</f>
        <v>6.3964189189189185</v>
      </c>
      <c r="BD85" s="48">
        <f t="shared" si="3"/>
        <v>4</v>
      </c>
      <c r="BE85" s="48">
        <f>+T[[#This Row],[Airport to Destination Transit Time Days]]+T[[#This Row],[Airport to Airport Transit Time Days]]+T[[#This Row],[Origin to Airport Transit Time in days]]</f>
        <v>6</v>
      </c>
    </row>
    <row r="86" spans="1:57" customFormat="1" x14ac:dyDescent="0.35">
      <c r="A86" t="str">
        <f>+T[[#This Row],[Provider_Name]]&amp;"_"&amp;T[[#This Row],[AXIS]]</f>
        <v>DHL_B_FR&gt;BR</v>
      </c>
      <c r="B86" t="s">
        <v>71</v>
      </c>
      <c r="C86" t="s">
        <v>148</v>
      </c>
      <c r="D86" t="s">
        <v>149</v>
      </c>
      <c r="E86" t="s">
        <v>155</v>
      </c>
      <c r="F86" t="s">
        <v>75</v>
      </c>
      <c r="G86" t="s">
        <v>151</v>
      </c>
      <c r="H86" t="s">
        <v>156</v>
      </c>
      <c r="I86" t="s">
        <v>157</v>
      </c>
      <c r="J86">
        <v>27220</v>
      </c>
      <c r="K86" t="s">
        <v>139</v>
      </c>
      <c r="L86" t="s">
        <v>79</v>
      </c>
      <c r="M86" t="s">
        <v>80</v>
      </c>
      <c r="N86" t="s">
        <v>81</v>
      </c>
      <c r="O86" t="s">
        <v>82</v>
      </c>
      <c r="P86" t="s">
        <v>83</v>
      </c>
      <c r="Q86" t="s">
        <v>84</v>
      </c>
      <c r="R86">
        <v>6</v>
      </c>
      <c r="S86">
        <v>3000</v>
      </c>
      <c r="T86">
        <v>3000</v>
      </c>
      <c r="U86" s="1">
        <v>500</v>
      </c>
      <c r="V86" t="s">
        <v>91</v>
      </c>
      <c r="W86" s="43">
        <v>8</v>
      </c>
      <c r="X86">
        <v>72</v>
      </c>
      <c r="Y86">
        <v>0.56000000000000005</v>
      </c>
      <c r="Z86" t="s">
        <v>145</v>
      </c>
      <c r="AA86">
        <v>2</v>
      </c>
      <c r="AB86">
        <v>48</v>
      </c>
      <c r="AC86">
        <v>0.01</v>
      </c>
      <c r="AD86">
        <v>43</v>
      </c>
      <c r="AE86">
        <v>0</v>
      </c>
      <c r="AF86">
        <v>0</v>
      </c>
      <c r="AG86" t="s">
        <v>86</v>
      </c>
      <c r="AH86">
        <v>120</v>
      </c>
      <c r="AI86" s="1">
        <v>7.4</v>
      </c>
      <c r="AJ86" s="1">
        <v>7.14</v>
      </c>
      <c r="AK86" s="1">
        <v>4.55</v>
      </c>
      <c r="AL86" s="1">
        <v>4.55</v>
      </c>
      <c r="AM86" s="1">
        <v>4.55</v>
      </c>
      <c r="AN86" s="1">
        <v>4.55</v>
      </c>
      <c r="AO86" s="1">
        <v>4.55</v>
      </c>
      <c r="AP86" s="1">
        <v>4.55</v>
      </c>
      <c r="AQ86">
        <v>3</v>
      </c>
      <c r="AR86" t="s">
        <v>160</v>
      </c>
      <c r="AS86">
        <v>1</v>
      </c>
      <c r="AT86">
        <v>4</v>
      </c>
      <c r="AX86">
        <v>1</v>
      </c>
      <c r="AY86">
        <v>120</v>
      </c>
      <c r="AZ86">
        <v>0.06</v>
      </c>
      <c r="BA86" s="43" t="str">
        <f t="shared" si="2"/>
        <v>Normal</v>
      </c>
      <c r="BB86" s="46">
        <f>IFERROR((AD86+IF(Calculator_v2!$E$6*Y86&lt;X86,X86,IF(Calculator_v2!$E$6*Y86&gt;Z86,Z86,Calculator_v2!$E$6*Y86))+IF(Calculator_v2!$E$6*AC86&lt;AB86,AB86,Calculator_v2!$E$6*AC86)+IFERROR(_xlfn.LET(_xlpm.tarifa,IF(Calculator_v2!$E$6&lt;=$AI$1,AI86,IF(Calculator_v2!$E$6&lt;=$AK$1,AJ86,IF(Calculator_v2!$E$6&lt;=$AL$1,AK86,IF(Calculator_v2!$E$6&lt;=$AM$1,AL86,IF(Calculator_v2!$E$6&lt;=$AN$1,AM86,IF(Calculator_v2!$E$6&lt;=$AO$1,AN86,IF(Calculator_v2!$E$6&lt;=$AP$1,AO86,AP86))))))),_xlpm.resultado,_xlpm.tarifa*Calculator_v2!$E$6,IF(_xlpm.resultado&lt;AH86,AH86,_xlpm.resultado)),0)+IF(Calculator_v2!$E$6*AV86&lt;AU86,AU86,IF(Calculator_v2!$E$6*AV86&gt;AW86,AW86,Calculator_v2!$E$6*AV86))+IF(Calculator_v2!$E$6*AZ86&lt;=AY86,AY86,Calculator_v2!$E$6*AZ86)),0)</f>
        <v>3236.12</v>
      </c>
      <c r="BC86" s="47">
        <f>IFERROR(+BB86/Calculator_v2!$E$6,0)+IFERROR(VLOOKUP(A86,DHL_ADDER!$B$4:$E$26,4,0),0)</f>
        <v>6.3464189189189186</v>
      </c>
      <c r="BD86" s="48">
        <f t="shared" si="3"/>
        <v>4</v>
      </c>
      <c r="BE86" s="48">
        <f>+T[[#This Row],[Airport to Destination Transit Time Days]]+T[[#This Row],[Airport to Airport Transit Time Days]]+T[[#This Row],[Origin to Airport Transit Time in days]]</f>
        <v>6</v>
      </c>
    </row>
    <row r="87" spans="1:57" customFormat="1" x14ac:dyDescent="0.35">
      <c r="A87" t="str">
        <f>+T[[#This Row],[Provider_Name]]&amp;"_"&amp;T[[#This Row],[AXIS]]</f>
        <v>DHL_B_FR&gt;BR</v>
      </c>
      <c r="B87" t="s">
        <v>71</v>
      </c>
      <c r="C87" t="s">
        <v>148</v>
      </c>
      <c r="D87" t="s">
        <v>149</v>
      </c>
      <c r="E87" t="s">
        <v>150</v>
      </c>
      <c r="F87" t="s">
        <v>75</v>
      </c>
      <c r="G87" t="s">
        <v>151</v>
      </c>
      <c r="H87" t="s">
        <v>152</v>
      </c>
      <c r="I87" t="s">
        <v>153</v>
      </c>
      <c r="J87">
        <v>76410</v>
      </c>
      <c r="K87" t="s">
        <v>139</v>
      </c>
      <c r="L87" t="s">
        <v>79</v>
      </c>
      <c r="M87" t="s">
        <v>80</v>
      </c>
      <c r="N87" t="s">
        <v>81</v>
      </c>
      <c r="O87" t="s">
        <v>82</v>
      </c>
      <c r="P87" t="s">
        <v>89</v>
      </c>
      <c r="Q87" t="s">
        <v>84</v>
      </c>
      <c r="R87">
        <v>6</v>
      </c>
      <c r="S87">
        <v>3000</v>
      </c>
      <c r="T87">
        <v>3000</v>
      </c>
      <c r="U87" s="1">
        <v>500</v>
      </c>
      <c r="V87" t="s">
        <v>91</v>
      </c>
      <c r="W87" s="43">
        <v>6</v>
      </c>
      <c r="X87" s="44">
        <v>77</v>
      </c>
      <c r="Y87" s="44">
        <v>0.61</v>
      </c>
      <c r="Z87" s="44" t="s">
        <v>145</v>
      </c>
      <c r="AA87">
        <v>2</v>
      </c>
      <c r="AB87" s="45">
        <v>48</v>
      </c>
      <c r="AC87" s="45">
        <v>0.01</v>
      </c>
      <c r="AD87" s="45">
        <v>43</v>
      </c>
      <c r="AE87">
        <v>0</v>
      </c>
      <c r="AF87">
        <v>0</v>
      </c>
      <c r="AG87" t="s">
        <v>86</v>
      </c>
      <c r="AH87" s="44">
        <v>120</v>
      </c>
      <c r="AI87" s="44">
        <v>10.51</v>
      </c>
      <c r="AJ87" s="44">
        <v>10.119999999999999</v>
      </c>
      <c r="AK87" s="44">
        <v>8.94</v>
      </c>
      <c r="AL87" s="44">
        <v>7.37</v>
      </c>
      <c r="AM87" s="44">
        <v>6.98</v>
      </c>
      <c r="AN87" s="44">
        <v>6.98</v>
      </c>
      <c r="AO87" s="44">
        <v>6.98</v>
      </c>
      <c r="AP87" s="44">
        <v>6.98</v>
      </c>
      <c r="AQ87">
        <v>3</v>
      </c>
      <c r="AR87" t="s">
        <v>159</v>
      </c>
      <c r="AS87">
        <v>1</v>
      </c>
      <c r="AT87">
        <v>3</v>
      </c>
      <c r="AX87">
        <v>1</v>
      </c>
      <c r="AY87">
        <v>120</v>
      </c>
      <c r="AZ87">
        <v>0.06</v>
      </c>
      <c r="BA87" s="43" t="str">
        <f t="shared" si="2"/>
        <v>Normal</v>
      </c>
      <c r="BB87" s="46">
        <f>IFERROR((AD87+IF(Calculator_v2!$E$6*Y87&lt;X87,X87,IF(Calculator_v2!$E$6*Y87&gt;Z87,Z87,Calculator_v2!$E$6*Y87))+IF(Calculator_v2!$E$6*AC87&lt;AB87,AB87,Calculator_v2!$E$6*AC87)+IFERROR(_xlfn.LET(_xlpm.tarifa,IF(Calculator_v2!$E$6&lt;=$AI$1,AI87,IF(Calculator_v2!$E$6&lt;=$AK$1,AJ87,IF(Calculator_v2!$E$6&lt;=$AL$1,AK87,IF(Calculator_v2!$E$6&lt;=$AM$1,AL87,IF(Calculator_v2!$E$6&lt;=$AN$1,AM87,IF(Calculator_v2!$E$6&lt;=$AO$1,AN87,IF(Calculator_v2!$E$6&lt;=$AP$1,AO87,AP87))))))),_xlpm.resultado,_xlpm.tarifa*Calculator_v2!$E$6,IF(_xlpm.resultado&lt;AH87,AH87,_xlpm.resultado)),0)+IF(Calculator_v2!$E$6*AV87&lt;AU87,AU87,IF(Calculator_v2!$E$6*AV87&gt;AW87,AW87,Calculator_v2!$E$6*AV87))+IF(Calculator_v2!$E$6*AZ87&lt;=AY87,AY87,Calculator_v2!$E$6*AZ87)),0)</f>
        <v>4704.28</v>
      </c>
      <c r="BC87" s="47">
        <f>IFERROR(+BB87/Calculator_v2!$E$6,0)+IFERROR(VLOOKUP(A87,DHL_ADDER!$B$4:$E$26,4,0),0)</f>
        <v>8.8264189189189182</v>
      </c>
      <c r="BD87" s="48">
        <f t="shared" si="3"/>
        <v>3</v>
      </c>
      <c r="BE87" s="48">
        <f>+T[[#This Row],[Airport to Destination Transit Time Days]]+T[[#This Row],[Airport to Airport Transit Time Days]]+T[[#This Row],[Origin to Airport Transit Time in days]]</f>
        <v>6</v>
      </c>
    </row>
    <row r="88" spans="1:57" customFormat="1" x14ac:dyDescent="0.35">
      <c r="A88" t="str">
        <f>+T[[#This Row],[Provider_Name]]&amp;"_"&amp;T[[#This Row],[AXIS]]</f>
        <v>DHL_B_FR&gt;BR</v>
      </c>
      <c r="B88" t="s">
        <v>71</v>
      </c>
      <c r="C88" t="s">
        <v>148</v>
      </c>
      <c r="D88" t="s">
        <v>149</v>
      </c>
      <c r="E88" t="s">
        <v>155</v>
      </c>
      <c r="F88" t="s">
        <v>75</v>
      </c>
      <c r="G88" t="s">
        <v>151</v>
      </c>
      <c r="H88" t="s">
        <v>156</v>
      </c>
      <c r="I88" t="s">
        <v>157</v>
      </c>
      <c r="J88">
        <v>27220</v>
      </c>
      <c r="K88" t="s">
        <v>139</v>
      </c>
      <c r="L88" t="s">
        <v>79</v>
      </c>
      <c r="M88" t="s">
        <v>80</v>
      </c>
      <c r="N88" t="s">
        <v>81</v>
      </c>
      <c r="O88" t="s">
        <v>82</v>
      </c>
      <c r="P88" t="s">
        <v>89</v>
      </c>
      <c r="Q88" t="s">
        <v>84</v>
      </c>
      <c r="R88">
        <v>6</v>
      </c>
      <c r="S88">
        <v>3000</v>
      </c>
      <c r="T88">
        <v>3000</v>
      </c>
      <c r="U88" s="1">
        <v>500</v>
      </c>
      <c r="V88" t="s">
        <v>91</v>
      </c>
      <c r="W88" s="43">
        <v>6</v>
      </c>
      <c r="X88">
        <v>72</v>
      </c>
      <c r="Y88">
        <v>0.56000000000000005</v>
      </c>
      <c r="Z88" t="s">
        <v>145</v>
      </c>
      <c r="AA88">
        <v>2</v>
      </c>
      <c r="AB88">
        <v>48</v>
      </c>
      <c r="AC88">
        <v>0.01</v>
      </c>
      <c r="AD88">
        <v>43</v>
      </c>
      <c r="AE88">
        <v>0</v>
      </c>
      <c r="AF88">
        <v>0</v>
      </c>
      <c r="AG88" t="s">
        <v>86</v>
      </c>
      <c r="AH88">
        <v>120</v>
      </c>
      <c r="AI88" s="1">
        <v>10.51</v>
      </c>
      <c r="AJ88" s="1">
        <v>10.119999999999999</v>
      </c>
      <c r="AK88" s="1">
        <v>8.94</v>
      </c>
      <c r="AL88" s="1">
        <v>7.37</v>
      </c>
      <c r="AM88" s="1">
        <v>6.98</v>
      </c>
      <c r="AN88" s="1">
        <v>6.98</v>
      </c>
      <c r="AO88" s="1">
        <v>6.98</v>
      </c>
      <c r="AP88" s="1">
        <v>6.98</v>
      </c>
      <c r="AQ88">
        <v>3</v>
      </c>
      <c r="AR88" t="s">
        <v>159</v>
      </c>
      <c r="AS88">
        <v>1</v>
      </c>
      <c r="AT88">
        <v>3</v>
      </c>
      <c r="AX88">
        <v>1</v>
      </c>
      <c r="AY88">
        <v>120</v>
      </c>
      <c r="AZ88">
        <v>0.06</v>
      </c>
      <c r="BA88" s="43" t="str">
        <f t="shared" si="2"/>
        <v>Normal</v>
      </c>
      <c r="BB88" s="46">
        <f>IFERROR((AD88+IF(Calculator_v2!$E$6*Y88&lt;X88,X88,IF(Calculator_v2!$E$6*Y88&gt;Z88,Z88,Calculator_v2!$E$6*Y88))+IF(Calculator_v2!$E$6*AC88&lt;AB88,AB88,Calculator_v2!$E$6*AC88)+IFERROR(_xlfn.LET(_xlpm.tarifa,IF(Calculator_v2!$E$6&lt;=$AI$1,AI88,IF(Calculator_v2!$E$6&lt;=$AK$1,AJ88,IF(Calculator_v2!$E$6&lt;=$AL$1,AK88,IF(Calculator_v2!$E$6&lt;=$AM$1,AL88,IF(Calculator_v2!$E$6&lt;=$AN$1,AM88,IF(Calculator_v2!$E$6&lt;=$AO$1,AN88,IF(Calculator_v2!$E$6&lt;=$AP$1,AO88,AP88))))))),_xlpm.resultado,_xlpm.tarifa*Calculator_v2!$E$6,IF(_xlpm.resultado&lt;AH88,AH88,_xlpm.resultado)),0)+IF(Calculator_v2!$E$6*AV88&lt;AU88,AU88,IF(Calculator_v2!$E$6*AV88&gt;AW88,AW88,Calculator_v2!$E$6*AV88))+IF(Calculator_v2!$E$6*AZ88&lt;=AY88,AY88,Calculator_v2!$E$6*AZ88)),0)</f>
        <v>4674.68</v>
      </c>
      <c r="BC88" s="47">
        <f>IFERROR(+BB88/Calculator_v2!$E$6,0)+IFERROR(VLOOKUP(A88,DHL_ADDER!$B$4:$E$26,4,0),0)</f>
        <v>8.7764189189189192</v>
      </c>
      <c r="BD88" s="48">
        <f t="shared" si="3"/>
        <v>3</v>
      </c>
      <c r="BE88" s="48">
        <f>+T[[#This Row],[Airport to Destination Transit Time Days]]+T[[#This Row],[Airport to Airport Transit Time Days]]+T[[#This Row],[Origin to Airport Transit Time in days]]</f>
        <v>6</v>
      </c>
    </row>
    <row r="89" spans="1:57" customFormat="1" x14ac:dyDescent="0.35">
      <c r="A89" t="str">
        <f>+T[[#This Row],[Provider_Name]]&amp;"_"&amp;T[[#This Row],[AXIS]]</f>
        <v>DHL_B_FR&gt;BR</v>
      </c>
      <c r="B89" t="s">
        <v>71</v>
      </c>
      <c r="C89" t="s">
        <v>148</v>
      </c>
      <c r="D89" t="s">
        <v>149</v>
      </c>
      <c r="E89" t="s">
        <v>150</v>
      </c>
      <c r="F89" t="s">
        <v>92</v>
      </c>
      <c r="G89" t="s">
        <v>151</v>
      </c>
      <c r="H89" t="s">
        <v>152</v>
      </c>
      <c r="I89" t="s">
        <v>153</v>
      </c>
      <c r="J89">
        <v>76410</v>
      </c>
      <c r="K89" t="s">
        <v>139</v>
      </c>
      <c r="L89" t="s">
        <v>79</v>
      </c>
      <c r="M89" t="s">
        <v>80</v>
      </c>
      <c r="N89" t="s">
        <v>81</v>
      </c>
      <c r="O89" t="s">
        <v>82</v>
      </c>
      <c r="P89" t="s">
        <v>93</v>
      </c>
      <c r="Q89" t="s">
        <v>84</v>
      </c>
      <c r="R89">
        <v>6</v>
      </c>
      <c r="S89">
        <v>3000</v>
      </c>
      <c r="T89">
        <v>3000</v>
      </c>
      <c r="U89" s="1">
        <v>500</v>
      </c>
      <c r="V89" t="s">
        <v>85</v>
      </c>
      <c r="W89" s="43">
        <v>10</v>
      </c>
      <c r="X89" s="44">
        <v>77</v>
      </c>
      <c r="Y89" s="44">
        <v>0.61</v>
      </c>
      <c r="Z89" s="44" t="s">
        <v>145</v>
      </c>
      <c r="AA89">
        <v>2</v>
      </c>
      <c r="AB89" s="45">
        <v>28</v>
      </c>
      <c r="AC89" s="45">
        <v>0.01</v>
      </c>
      <c r="AD89" s="45">
        <v>43</v>
      </c>
      <c r="AE89">
        <v>0</v>
      </c>
      <c r="AF89">
        <v>0</v>
      </c>
      <c r="AG89" t="s">
        <v>86</v>
      </c>
      <c r="AH89" s="44">
        <v>45</v>
      </c>
      <c r="AI89" s="44">
        <v>1.9000000000000001</v>
      </c>
      <c r="AJ89" s="44">
        <v>1.9000000000000001</v>
      </c>
      <c r="AK89" s="44">
        <v>1.9000000000000001</v>
      </c>
      <c r="AL89" s="44">
        <v>1.9000000000000001</v>
      </c>
      <c r="AM89" s="44">
        <v>1.9000000000000001</v>
      </c>
      <c r="AN89" s="44">
        <v>1.9000000000000001</v>
      </c>
      <c r="AO89" s="44">
        <v>1.9000000000000001</v>
      </c>
      <c r="AP89" s="44">
        <v>1.9000000000000001</v>
      </c>
      <c r="AQ89">
        <v>5</v>
      </c>
      <c r="AR89" t="s">
        <v>161</v>
      </c>
      <c r="AS89">
        <v>2</v>
      </c>
      <c r="AT89">
        <v>2</v>
      </c>
      <c r="AX89">
        <v>1</v>
      </c>
      <c r="AY89">
        <v>120</v>
      </c>
      <c r="AZ89">
        <v>0.06</v>
      </c>
      <c r="BA89" s="43" t="str">
        <f t="shared" si="2"/>
        <v>Economy</v>
      </c>
      <c r="BB89" s="46">
        <f>IFERROR((AD89+IF(Calculator_v2!$E$6*Y89&lt;X89,X89,IF(Calculator_v2!$E$6*Y89&gt;Z89,Z89,Calculator_v2!$E$6*Y89))+IF(Calculator_v2!$E$6*AC89&lt;AB89,AB89,Calculator_v2!$E$6*AC89)+IFERROR(_xlfn.LET(_xlpm.tarifa,IF(Calculator_v2!$E$6&lt;=$AI$1,AI89,IF(Calculator_v2!$E$6&lt;=$AK$1,AJ89,IF(Calculator_v2!$E$6&lt;=$AL$1,AK89,IF(Calculator_v2!$E$6&lt;=$AM$1,AL89,IF(Calculator_v2!$E$6&lt;=$AN$1,AM89,IF(Calculator_v2!$E$6&lt;=$AO$1,AN89,IF(Calculator_v2!$E$6&lt;=$AP$1,AO89,AP89))))))),_xlpm.resultado,_xlpm.tarifa*Calculator_v2!$E$6,IF(_xlpm.resultado&lt;AH89,AH89,_xlpm.resultado)),0)+IF(Calculator_v2!$E$6*AV89&lt;AU89,AU89,IF(Calculator_v2!$E$6*AV89&gt;AW89,AW89,Calculator_v2!$E$6*AV89))+IF(Calculator_v2!$E$6*AZ89&lt;=AY89,AY89,Calculator_v2!$E$6*AZ89)),0)</f>
        <v>1676.92</v>
      </c>
      <c r="BC89" s="47">
        <f>IFERROR(+BB89/Calculator_v2!$E$6,0)+IFERROR(VLOOKUP(A89,DHL_ADDER!$B$4:$E$26,4,0),0)</f>
        <v>3.7126351351351352</v>
      </c>
      <c r="BD89" s="48">
        <f t="shared" si="3"/>
        <v>2</v>
      </c>
      <c r="BE89" s="48">
        <f>+T[[#This Row],[Airport to Destination Transit Time Days]]+T[[#This Row],[Airport to Airport Transit Time Days]]+T[[#This Row],[Origin to Airport Transit Time in days]]</f>
        <v>8</v>
      </c>
    </row>
    <row r="90" spans="1:57" customFormat="1" x14ac:dyDescent="0.35">
      <c r="A90" t="str">
        <f>+T[[#This Row],[Provider_Name]]&amp;"_"&amp;T[[#This Row],[AXIS]]</f>
        <v>DHL_B_FR&gt;BR</v>
      </c>
      <c r="B90" t="s">
        <v>71</v>
      </c>
      <c r="C90" t="s">
        <v>148</v>
      </c>
      <c r="D90" t="s">
        <v>149</v>
      </c>
      <c r="E90" t="s">
        <v>155</v>
      </c>
      <c r="F90" t="s">
        <v>92</v>
      </c>
      <c r="G90" t="s">
        <v>151</v>
      </c>
      <c r="H90" t="s">
        <v>156</v>
      </c>
      <c r="I90" t="s">
        <v>157</v>
      </c>
      <c r="J90">
        <v>27220</v>
      </c>
      <c r="K90" t="s">
        <v>139</v>
      </c>
      <c r="L90" t="s">
        <v>79</v>
      </c>
      <c r="M90" t="s">
        <v>80</v>
      </c>
      <c r="N90" t="s">
        <v>81</v>
      </c>
      <c r="O90" t="s">
        <v>82</v>
      </c>
      <c r="P90" t="s">
        <v>93</v>
      </c>
      <c r="Q90" t="s">
        <v>84</v>
      </c>
      <c r="R90">
        <v>6</v>
      </c>
      <c r="S90">
        <v>3000</v>
      </c>
      <c r="T90">
        <v>3000</v>
      </c>
      <c r="U90" s="1">
        <v>500</v>
      </c>
      <c r="V90" t="s">
        <v>85</v>
      </c>
      <c r="W90" s="43">
        <v>10</v>
      </c>
      <c r="X90">
        <v>72</v>
      </c>
      <c r="Y90">
        <v>0.56000000000000005</v>
      </c>
      <c r="Z90" t="s">
        <v>145</v>
      </c>
      <c r="AA90">
        <v>2</v>
      </c>
      <c r="AB90">
        <v>28</v>
      </c>
      <c r="AC90">
        <v>0.01</v>
      </c>
      <c r="AD90">
        <v>43</v>
      </c>
      <c r="AE90">
        <v>0</v>
      </c>
      <c r="AF90">
        <v>0</v>
      </c>
      <c r="AG90" t="s">
        <v>86</v>
      </c>
      <c r="AH90">
        <v>45</v>
      </c>
      <c r="AI90" s="1">
        <v>1.9000000000000001</v>
      </c>
      <c r="AJ90" s="1">
        <v>1.9000000000000001</v>
      </c>
      <c r="AK90" s="1">
        <v>1.9000000000000001</v>
      </c>
      <c r="AL90" s="1">
        <v>1.9000000000000001</v>
      </c>
      <c r="AM90" s="1">
        <v>1.9000000000000001</v>
      </c>
      <c r="AN90" s="1">
        <v>1.9000000000000001</v>
      </c>
      <c r="AO90" s="1">
        <v>1.9000000000000001</v>
      </c>
      <c r="AP90" s="1">
        <v>1.9000000000000001</v>
      </c>
      <c r="AQ90">
        <v>5</v>
      </c>
      <c r="AR90" t="s">
        <v>161</v>
      </c>
      <c r="AS90">
        <v>2</v>
      </c>
      <c r="AT90">
        <v>2</v>
      </c>
      <c r="AX90">
        <v>1</v>
      </c>
      <c r="AY90">
        <v>120</v>
      </c>
      <c r="AZ90">
        <v>0.06</v>
      </c>
      <c r="BA90" s="43" t="str">
        <f t="shared" si="2"/>
        <v>Economy</v>
      </c>
      <c r="BB90" s="46">
        <f>IFERROR((AD90+IF(Calculator_v2!$E$6*Y90&lt;X90,X90,IF(Calculator_v2!$E$6*Y90&gt;Z90,Z90,Calculator_v2!$E$6*Y90))+IF(Calculator_v2!$E$6*AC90&lt;AB90,AB90,Calculator_v2!$E$6*AC90)+IFERROR(_xlfn.LET(_xlpm.tarifa,IF(Calculator_v2!$E$6&lt;=$AI$1,AI90,IF(Calculator_v2!$E$6&lt;=$AK$1,AJ90,IF(Calculator_v2!$E$6&lt;=$AL$1,AK90,IF(Calculator_v2!$E$6&lt;=$AM$1,AL90,IF(Calculator_v2!$E$6&lt;=$AN$1,AM90,IF(Calculator_v2!$E$6&lt;=$AO$1,AN90,IF(Calculator_v2!$E$6&lt;=$AP$1,AO90,AP90))))))),_xlpm.resultado,_xlpm.tarifa*Calculator_v2!$E$6,IF(_xlpm.resultado&lt;AH90,AH90,_xlpm.resultado)),0)+IF(Calculator_v2!$E$6*AV90&lt;AU90,AU90,IF(Calculator_v2!$E$6*AV90&gt;AW90,AW90,Calculator_v2!$E$6*AV90))+IF(Calculator_v2!$E$6*AZ90&lt;=AY90,AY90,Calculator_v2!$E$6*AZ90)),0)</f>
        <v>1647.3200000000002</v>
      </c>
      <c r="BC90" s="47">
        <f>IFERROR(+BB90/Calculator_v2!$E$6,0)+IFERROR(VLOOKUP(A90,DHL_ADDER!$B$4:$E$26,4,0),0)</f>
        <v>3.6626351351351354</v>
      </c>
      <c r="BD90" s="48">
        <f t="shared" si="3"/>
        <v>2</v>
      </c>
      <c r="BE90" s="48">
        <f>+T[[#This Row],[Airport to Destination Transit Time Days]]+T[[#This Row],[Airport to Airport Transit Time Days]]+T[[#This Row],[Origin to Airport Transit Time in days]]</f>
        <v>8</v>
      </c>
    </row>
    <row r="91" spans="1:57" customFormat="1" x14ac:dyDescent="0.35">
      <c r="A91" t="str">
        <f>+T[[#This Row],[Provider_Name]]&amp;"_"&amp;T[[#This Row],[AXIS]]</f>
        <v>DHL_B_FR&gt;BR</v>
      </c>
      <c r="B91" t="s">
        <v>71</v>
      </c>
      <c r="C91" t="s">
        <v>148</v>
      </c>
      <c r="D91" t="s">
        <v>149</v>
      </c>
      <c r="E91" t="s">
        <v>150</v>
      </c>
      <c r="F91" t="s">
        <v>92</v>
      </c>
      <c r="G91" t="s">
        <v>151</v>
      </c>
      <c r="H91" t="s">
        <v>152</v>
      </c>
      <c r="I91" t="s">
        <v>153</v>
      </c>
      <c r="J91">
        <v>76410</v>
      </c>
      <c r="K91" t="s">
        <v>139</v>
      </c>
      <c r="L91" t="s">
        <v>79</v>
      </c>
      <c r="M91" t="s">
        <v>80</v>
      </c>
      <c r="N91" t="s">
        <v>81</v>
      </c>
      <c r="O91" t="s">
        <v>82</v>
      </c>
      <c r="P91" t="s">
        <v>93</v>
      </c>
      <c r="Q91" t="s">
        <v>84</v>
      </c>
      <c r="R91">
        <v>6</v>
      </c>
      <c r="S91">
        <v>3000</v>
      </c>
      <c r="T91">
        <v>3000</v>
      </c>
      <c r="U91" s="1">
        <v>500</v>
      </c>
      <c r="V91" t="s">
        <v>90</v>
      </c>
      <c r="W91" s="43">
        <v>5</v>
      </c>
      <c r="X91" s="44">
        <v>600</v>
      </c>
      <c r="Y91" s="44">
        <v>0.01</v>
      </c>
      <c r="Z91" s="44" t="s">
        <v>145</v>
      </c>
      <c r="AA91">
        <v>1</v>
      </c>
      <c r="AB91" s="45">
        <v>48</v>
      </c>
      <c r="AC91" s="45">
        <v>0.01</v>
      </c>
      <c r="AD91" s="45">
        <v>43</v>
      </c>
      <c r="AE91">
        <v>0</v>
      </c>
      <c r="AF91">
        <v>0</v>
      </c>
      <c r="AG91" t="s">
        <v>86</v>
      </c>
      <c r="AH91" s="44">
        <v>150</v>
      </c>
      <c r="AI91" s="44">
        <v>8.27</v>
      </c>
      <c r="AJ91" s="44">
        <v>7.76</v>
      </c>
      <c r="AK91" s="44">
        <v>7.41</v>
      </c>
      <c r="AL91" s="44">
        <v>6.91</v>
      </c>
      <c r="AM91" s="44">
        <v>6.62</v>
      </c>
      <c r="AN91" s="44">
        <v>6.33</v>
      </c>
      <c r="AO91" s="44">
        <v>6.33</v>
      </c>
      <c r="AP91" s="44">
        <v>6.33</v>
      </c>
      <c r="AQ91">
        <v>1</v>
      </c>
      <c r="AR91" t="s">
        <v>147</v>
      </c>
      <c r="AS91">
        <v>0</v>
      </c>
      <c r="AT91">
        <v>7</v>
      </c>
      <c r="AX91">
        <v>1</v>
      </c>
      <c r="AY91">
        <v>120</v>
      </c>
      <c r="AZ91">
        <v>0.06</v>
      </c>
      <c r="BA91" s="43" t="str">
        <f t="shared" si="2"/>
        <v>Express</v>
      </c>
      <c r="BB91" s="46">
        <f>IFERROR((AD91+IF(Calculator_v2!$E$6*Y91&lt;X91,X91,IF(Calculator_v2!$E$6*Y91&gt;Z91,Z91,Calculator_v2!$E$6*Y91))+IF(Calculator_v2!$E$6*AC91&lt;AB91,AB91,Calculator_v2!$E$6*AC91)+IFERROR(_xlfn.LET(_xlpm.tarifa,IF(Calculator_v2!$E$6&lt;=$AI$1,AI91,IF(Calculator_v2!$E$6&lt;=$AK$1,AJ91,IF(Calculator_v2!$E$6&lt;=$AL$1,AK91,IF(Calculator_v2!$E$6&lt;=$AM$1,AL91,IF(Calculator_v2!$E$6&lt;=$AN$1,AM91,IF(Calculator_v2!$E$6&lt;=$AO$1,AN91,IF(Calculator_v2!$E$6&lt;=$AP$1,AO91,AP91))))))),_xlpm.resultado,_xlpm.tarifa*Calculator_v2!$E$6,IF(_xlpm.resultado&lt;AH91,AH91,_xlpm.resultado)),0)+IF(Calculator_v2!$E$6*AV91&lt;AU91,AU91,IF(Calculator_v2!$E$6*AV91&gt;AW91,AW91,Calculator_v2!$E$6*AV91))+IF(Calculator_v2!$E$6*AZ91&lt;=AY91,AY91,Calculator_v2!$E$6*AZ91)),0)</f>
        <v>4730.04</v>
      </c>
      <c r="BC91" s="47">
        <f>IFERROR(+BB91/Calculator_v2!$E$6,0)+IFERROR(VLOOKUP(A91,DHL_ADDER!$B$4:$E$26,4,0),0)</f>
        <v>8.8699324324324316</v>
      </c>
      <c r="BD91" s="48">
        <f t="shared" si="3"/>
        <v>7</v>
      </c>
      <c r="BE91" s="48">
        <f>+T[[#This Row],[Airport to Destination Transit Time Days]]+T[[#This Row],[Airport to Airport Transit Time Days]]+T[[#This Row],[Origin to Airport Transit Time in days]]</f>
        <v>3</v>
      </c>
    </row>
    <row r="92" spans="1:57" customFormat="1" x14ac:dyDescent="0.35">
      <c r="A92" t="str">
        <f>+T[[#This Row],[Provider_Name]]&amp;"_"&amp;T[[#This Row],[AXIS]]</f>
        <v>DHL_B_FR&gt;BR</v>
      </c>
      <c r="B92" t="s">
        <v>71</v>
      </c>
      <c r="C92" t="s">
        <v>148</v>
      </c>
      <c r="D92" t="s">
        <v>149</v>
      </c>
      <c r="E92" t="s">
        <v>155</v>
      </c>
      <c r="F92" t="s">
        <v>92</v>
      </c>
      <c r="G92" t="s">
        <v>151</v>
      </c>
      <c r="H92" t="s">
        <v>156</v>
      </c>
      <c r="I92" t="s">
        <v>157</v>
      </c>
      <c r="J92">
        <v>27220</v>
      </c>
      <c r="K92" t="s">
        <v>139</v>
      </c>
      <c r="L92" t="s">
        <v>79</v>
      </c>
      <c r="M92" t="s">
        <v>80</v>
      </c>
      <c r="N92" t="s">
        <v>81</v>
      </c>
      <c r="O92" t="s">
        <v>82</v>
      </c>
      <c r="P92" t="s">
        <v>93</v>
      </c>
      <c r="Q92" t="s">
        <v>84</v>
      </c>
      <c r="R92">
        <v>6</v>
      </c>
      <c r="S92">
        <v>3000</v>
      </c>
      <c r="T92">
        <v>3000</v>
      </c>
      <c r="U92" s="1">
        <v>500</v>
      </c>
      <c r="V92" t="s">
        <v>90</v>
      </c>
      <c r="W92" s="43">
        <v>5</v>
      </c>
      <c r="X92" s="44">
        <v>526</v>
      </c>
      <c r="Y92" s="44">
        <v>0.01</v>
      </c>
      <c r="Z92" s="44" t="s">
        <v>145</v>
      </c>
      <c r="AA92">
        <v>1</v>
      </c>
      <c r="AB92" s="45">
        <v>48</v>
      </c>
      <c r="AC92" s="45">
        <v>0.01</v>
      </c>
      <c r="AD92" s="45">
        <v>43</v>
      </c>
      <c r="AE92">
        <v>0</v>
      </c>
      <c r="AF92">
        <v>0</v>
      </c>
      <c r="AG92" t="s">
        <v>86</v>
      </c>
      <c r="AH92" s="44">
        <v>150</v>
      </c>
      <c r="AI92" s="44">
        <v>8.27</v>
      </c>
      <c r="AJ92" s="44">
        <v>7.76</v>
      </c>
      <c r="AK92" s="44">
        <v>7.41</v>
      </c>
      <c r="AL92" s="44">
        <v>6.91</v>
      </c>
      <c r="AM92" s="44">
        <v>6.62</v>
      </c>
      <c r="AN92" s="44">
        <v>6.33</v>
      </c>
      <c r="AO92" s="44">
        <v>6.33</v>
      </c>
      <c r="AP92" s="44">
        <v>6.33</v>
      </c>
      <c r="AQ92">
        <v>1</v>
      </c>
      <c r="AR92" t="s">
        <v>147</v>
      </c>
      <c r="AS92">
        <v>0</v>
      </c>
      <c r="AT92">
        <v>7</v>
      </c>
      <c r="AX92">
        <v>1</v>
      </c>
      <c r="AY92">
        <v>120</v>
      </c>
      <c r="AZ92">
        <v>0.06</v>
      </c>
      <c r="BA92" s="43" t="str">
        <f t="shared" si="2"/>
        <v>Express</v>
      </c>
      <c r="BB92" s="46">
        <f>IFERROR((AD92+IF(Calculator_v2!$E$6*Y92&lt;X92,X92,IF(Calculator_v2!$E$6*Y92&gt;Z92,Z92,Calculator_v2!$E$6*Y92))+IF(Calculator_v2!$E$6*AC92&lt;AB92,AB92,Calculator_v2!$E$6*AC92)+IFERROR(_xlfn.LET(_xlpm.tarifa,IF(Calculator_v2!$E$6&lt;=$AI$1,AI92,IF(Calculator_v2!$E$6&lt;=$AK$1,AJ92,IF(Calculator_v2!$E$6&lt;=$AL$1,AK92,IF(Calculator_v2!$E$6&lt;=$AM$1,AL92,IF(Calculator_v2!$E$6&lt;=$AN$1,AM92,IF(Calculator_v2!$E$6&lt;=$AO$1,AN92,IF(Calculator_v2!$E$6&lt;=$AP$1,AO92,AP92))))))),_xlpm.resultado,_xlpm.tarifa*Calculator_v2!$E$6,IF(_xlpm.resultado&lt;AH92,AH92,_xlpm.resultado)),0)+IF(Calculator_v2!$E$6*AV92&lt;AU92,AU92,IF(Calculator_v2!$E$6*AV92&gt;AW92,AW92,Calculator_v2!$E$6*AV92))+IF(Calculator_v2!$E$6*AZ92&lt;=AY92,AY92,Calculator_v2!$E$6*AZ92)),0)</f>
        <v>4656.04</v>
      </c>
      <c r="BC92" s="47">
        <f>IFERROR(+BB92/Calculator_v2!$E$6,0)+IFERROR(VLOOKUP(A92,DHL_ADDER!$B$4:$E$26,4,0),0)</f>
        <v>8.7449324324324316</v>
      </c>
      <c r="BD92" s="48">
        <f t="shared" si="3"/>
        <v>7</v>
      </c>
      <c r="BE92" s="48">
        <f>+T[[#This Row],[Airport to Destination Transit Time Days]]+T[[#This Row],[Airport to Airport Transit Time Days]]+T[[#This Row],[Origin to Airport Transit Time in days]]</f>
        <v>3</v>
      </c>
    </row>
    <row r="93" spans="1:57" customFormat="1" x14ac:dyDescent="0.35">
      <c r="A93" t="str">
        <f>+T[[#This Row],[Provider_Name]]&amp;"_"&amp;T[[#This Row],[AXIS]]</f>
        <v>DHL_B_FR&gt;BR</v>
      </c>
      <c r="B93" t="s">
        <v>71</v>
      </c>
      <c r="C93" t="s">
        <v>148</v>
      </c>
      <c r="D93" t="s">
        <v>149</v>
      </c>
      <c r="E93" t="s">
        <v>150</v>
      </c>
      <c r="F93" t="s">
        <v>92</v>
      </c>
      <c r="G93" t="s">
        <v>151</v>
      </c>
      <c r="H93" t="s">
        <v>152</v>
      </c>
      <c r="I93" t="s">
        <v>153</v>
      </c>
      <c r="J93">
        <v>76410</v>
      </c>
      <c r="K93" t="s">
        <v>139</v>
      </c>
      <c r="L93" t="s">
        <v>79</v>
      </c>
      <c r="M93" t="s">
        <v>80</v>
      </c>
      <c r="N93" t="s">
        <v>81</v>
      </c>
      <c r="O93" t="s">
        <v>82</v>
      </c>
      <c r="P93" t="s">
        <v>93</v>
      </c>
      <c r="Q93" t="s">
        <v>84</v>
      </c>
      <c r="R93">
        <v>6</v>
      </c>
      <c r="S93">
        <v>3000</v>
      </c>
      <c r="T93">
        <v>3000</v>
      </c>
      <c r="U93" s="1">
        <v>500</v>
      </c>
      <c r="V93" t="s">
        <v>91</v>
      </c>
      <c r="W93" s="48">
        <v>8</v>
      </c>
      <c r="X93" s="44">
        <v>77</v>
      </c>
      <c r="Y93" s="44">
        <v>0.61</v>
      </c>
      <c r="Z93" s="44" t="s">
        <v>145</v>
      </c>
      <c r="AA93">
        <v>2</v>
      </c>
      <c r="AB93" s="45">
        <v>48</v>
      </c>
      <c r="AC93" s="45">
        <v>0.01</v>
      </c>
      <c r="AD93" s="45">
        <v>43</v>
      </c>
      <c r="AE93">
        <v>0</v>
      </c>
      <c r="AF93">
        <v>0</v>
      </c>
      <c r="AG93" t="s">
        <v>86</v>
      </c>
      <c r="AH93" s="44">
        <v>150</v>
      </c>
      <c r="AI93" s="44">
        <v>8.27</v>
      </c>
      <c r="AJ93" s="44">
        <v>7.76</v>
      </c>
      <c r="AK93" s="44">
        <v>4.72</v>
      </c>
      <c r="AL93" s="44">
        <v>4.41</v>
      </c>
      <c r="AM93" s="44">
        <v>4.2299999999999995</v>
      </c>
      <c r="AN93" s="44">
        <v>4.05</v>
      </c>
      <c r="AO93" s="44">
        <v>4.05</v>
      </c>
      <c r="AP93" s="44">
        <v>4.05</v>
      </c>
      <c r="AQ93">
        <v>3</v>
      </c>
      <c r="AR93" t="s">
        <v>147</v>
      </c>
      <c r="AS93">
        <v>1</v>
      </c>
      <c r="AT93">
        <v>7</v>
      </c>
      <c r="AU93" s="45"/>
      <c r="AV93" s="45"/>
      <c r="AW93" s="45"/>
      <c r="AX93">
        <v>1</v>
      </c>
      <c r="AY93">
        <v>120</v>
      </c>
      <c r="AZ93">
        <v>0.06</v>
      </c>
      <c r="BA93" s="43" t="str">
        <f t="shared" si="2"/>
        <v>Normal</v>
      </c>
      <c r="BB93" s="46">
        <f>IFERROR((AD93+IF(Calculator_v2!$E$6*Y93&lt;X93,X93,IF(Calculator_v2!$E$6*Y93&gt;Z93,Z93,Calculator_v2!$E$6*Y93))+IF(Calculator_v2!$E$6*AC93&lt;AB93,AB93,Calculator_v2!$E$6*AC93)+IFERROR(_xlfn.LET(_xlpm.tarifa,IF(Calculator_v2!$E$6&lt;=$AI$1,AI93,IF(Calculator_v2!$E$6&lt;=$AK$1,AJ93,IF(Calculator_v2!$E$6&lt;=$AL$1,AK93,IF(Calculator_v2!$E$6&lt;=$AM$1,AL93,IF(Calculator_v2!$E$6&lt;=$AN$1,AM93,IF(Calculator_v2!$E$6&lt;=$AO$1,AN93,IF(Calculator_v2!$E$6&lt;=$AP$1,AO93,AP93))))))),_xlpm.resultado,_xlpm.tarifa*Calculator_v2!$E$6,IF(_xlpm.resultado&lt;AH93,AH93,_xlpm.resultado)),0)+IF(Calculator_v2!$E$6*AV93&lt;AU93,AU93,IF(Calculator_v2!$E$6*AV93&gt;AW93,AW93,Calculator_v2!$E$6*AV93))+IF(Calculator_v2!$E$6*AZ93&lt;=AY93,AY93,Calculator_v2!$E$6*AZ93)),0)</f>
        <v>3076.2799999999997</v>
      </c>
      <c r="BC93" s="47">
        <f>IFERROR(+BB93/Calculator_v2!$E$6,0)+IFERROR(VLOOKUP(A93,DHL_ADDER!$B$4:$E$26,4,0),0)</f>
        <v>6.0764189189189182</v>
      </c>
      <c r="BD93" s="48">
        <f t="shared" si="3"/>
        <v>7</v>
      </c>
      <c r="BE93" s="48">
        <f>+T[[#This Row],[Airport to Destination Transit Time Days]]+T[[#This Row],[Airport to Airport Transit Time Days]]+T[[#This Row],[Origin to Airport Transit Time in days]]</f>
        <v>6</v>
      </c>
    </row>
    <row r="94" spans="1:57" customFormat="1" x14ac:dyDescent="0.35">
      <c r="A94" t="str">
        <f>+T[[#This Row],[Provider_Name]]&amp;"_"&amp;T[[#This Row],[AXIS]]</f>
        <v>DHL_B_FR&gt;BR</v>
      </c>
      <c r="B94" t="s">
        <v>71</v>
      </c>
      <c r="C94" t="s">
        <v>148</v>
      </c>
      <c r="D94" t="s">
        <v>149</v>
      </c>
      <c r="E94" t="s">
        <v>155</v>
      </c>
      <c r="F94" t="s">
        <v>92</v>
      </c>
      <c r="G94" t="s">
        <v>151</v>
      </c>
      <c r="H94" t="s">
        <v>156</v>
      </c>
      <c r="I94" t="s">
        <v>157</v>
      </c>
      <c r="J94">
        <v>27220</v>
      </c>
      <c r="K94" t="s">
        <v>139</v>
      </c>
      <c r="L94" t="s">
        <v>79</v>
      </c>
      <c r="M94" t="s">
        <v>80</v>
      </c>
      <c r="N94" t="s">
        <v>81</v>
      </c>
      <c r="O94" t="s">
        <v>82</v>
      </c>
      <c r="P94" t="s">
        <v>93</v>
      </c>
      <c r="Q94" t="s">
        <v>84</v>
      </c>
      <c r="R94">
        <v>6</v>
      </c>
      <c r="S94">
        <v>3000</v>
      </c>
      <c r="T94">
        <v>3000</v>
      </c>
      <c r="U94" s="1">
        <v>500</v>
      </c>
      <c r="V94" t="s">
        <v>91</v>
      </c>
      <c r="W94" s="48">
        <v>8</v>
      </c>
      <c r="X94" s="44">
        <v>72</v>
      </c>
      <c r="Y94" s="44">
        <v>0.56000000000000005</v>
      </c>
      <c r="Z94" s="44" t="s">
        <v>145</v>
      </c>
      <c r="AA94">
        <v>2</v>
      </c>
      <c r="AB94" s="45">
        <v>48</v>
      </c>
      <c r="AC94" s="45">
        <v>0.01</v>
      </c>
      <c r="AD94" s="45">
        <v>43</v>
      </c>
      <c r="AE94">
        <v>0</v>
      </c>
      <c r="AF94">
        <v>0</v>
      </c>
      <c r="AG94" t="s">
        <v>86</v>
      </c>
      <c r="AH94" s="44">
        <v>150</v>
      </c>
      <c r="AI94" s="44">
        <v>8.27</v>
      </c>
      <c r="AJ94" s="44">
        <v>7.76</v>
      </c>
      <c r="AK94" s="44">
        <v>4.72</v>
      </c>
      <c r="AL94" s="44">
        <v>4.41</v>
      </c>
      <c r="AM94" s="44">
        <v>4.2299999999999995</v>
      </c>
      <c r="AN94" s="44">
        <v>4.05</v>
      </c>
      <c r="AO94" s="44">
        <v>4.05</v>
      </c>
      <c r="AP94" s="44">
        <v>4.05</v>
      </c>
      <c r="AQ94">
        <v>3</v>
      </c>
      <c r="AR94" t="s">
        <v>147</v>
      </c>
      <c r="AS94">
        <v>1</v>
      </c>
      <c r="AT94">
        <v>7</v>
      </c>
      <c r="AU94" s="45"/>
      <c r="AV94" s="45"/>
      <c r="AW94" s="45"/>
      <c r="AX94">
        <v>1</v>
      </c>
      <c r="AY94">
        <v>120</v>
      </c>
      <c r="AZ94">
        <v>0.06</v>
      </c>
      <c r="BA94" s="43" t="str">
        <f t="shared" si="2"/>
        <v>Normal</v>
      </c>
      <c r="BB94" s="46">
        <f>IFERROR((AD94+IF(Calculator_v2!$E$6*Y94&lt;X94,X94,IF(Calculator_v2!$E$6*Y94&gt;Z94,Z94,Calculator_v2!$E$6*Y94))+IF(Calculator_v2!$E$6*AC94&lt;AB94,AB94,Calculator_v2!$E$6*AC94)+IFERROR(_xlfn.LET(_xlpm.tarifa,IF(Calculator_v2!$E$6&lt;=$AI$1,AI94,IF(Calculator_v2!$E$6&lt;=$AK$1,AJ94,IF(Calculator_v2!$E$6&lt;=$AL$1,AK94,IF(Calculator_v2!$E$6&lt;=$AM$1,AL94,IF(Calculator_v2!$E$6&lt;=$AN$1,AM94,IF(Calculator_v2!$E$6&lt;=$AO$1,AN94,IF(Calculator_v2!$E$6&lt;=$AP$1,AO94,AP94))))))),_xlpm.resultado,_xlpm.tarifa*Calculator_v2!$E$6,IF(_xlpm.resultado&lt;AH94,AH94,_xlpm.resultado)),0)+IF(Calculator_v2!$E$6*AV94&lt;AU94,AU94,IF(Calculator_v2!$E$6*AV94&gt;AW94,AW94,Calculator_v2!$E$6*AV94))+IF(Calculator_v2!$E$6*AZ94&lt;=AY94,AY94,Calculator_v2!$E$6*AZ94)),0)</f>
        <v>3046.68</v>
      </c>
      <c r="BC94" s="47">
        <f>IFERROR(+BB94/Calculator_v2!$E$6,0)+IFERROR(VLOOKUP(A94,DHL_ADDER!$B$4:$E$26,4,0),0)</f>
        <v>6.0264189189189183</v>
      </c>
      <c r="BD94" s="48">
        <f t="shared" si="3"/>
        <v>7</v>
      </c>
      <c r="BE94" s="48">
        <f>+T[[#This Row],[Airport to Destination Transit Time Days]]+T[[#This Row],[Airport to Airport Transit Time Days]]+T[[#This Row],[Origin to Airport Transit Time in days]]</f>
        <v>6</v>
      </c>
    </row>
    <row r="95" spans="1:57" customFormat="1" x14ac:dyDescent="0.35">
      <c r="A95" t="str">
        <f>+T[[#This Row],[Provider_Name]]&amp;"_"&amp;T[[#This Row],[AXIS]]</f>
        <v>DHL_B_FR&gt;CL</v>
      </c>
      <c r="B95" t="s">
        <v>71</v>
      </c>
      <c r="C95" t="s">
        <v>162</v>
      </c>
      <c r="D95" t="s">
        <v>163</v>
      </c>
      <c r="E95" t="s">
        <v>150</v>
      </c>
      <c r="F95" t="s">
        <v>92</v>
      </c>
      <c r="G95" t="s">
        <v>151</v>
      </c>
      <c r="H95" t="s">
        <v>152</v>
      </c>
      <c r="I95" t="s">
        <v>153</v>
      </c>
      <c r="K95" t="s">
        <v>139</v>
      </c>
      <c r="L95" t="s">
        <v>140</v>
      </c>
      <c r="M95" t="s">
        <v>141</v>
      </c>
      <c r="N95" t="s">
        <v>142</v>
      </c>
      <c r="O95">
        <v>2100837</v>
      </c>
      <c r="P95" t="s">
        <v>143</v>
      </c>
      <c r="Q95" t="s">
        <v>144</v>
      </c>
      <c r="R95">
        <v>6</v>
      </c>
      <c r="S95">
        <v>3000</v>
      </c>
      <c r="T95">
        <v>3000</v>
      </c>
      <c r="U95" s="1">
        <v>500</v>
      </c>
      <c r="V95" t="s">
        <v>85</v>
      </c>
      <c r="W95" s="48">
        <v>8</v>
      </c>
      <c r="X95" s="44">
        <v>77</v>
      </c>
      <c r="Y95" s="44">
        <v>0.61</v>
      </c>
      <c r="Z95" s="44" t="s">
        <v>145</v>
      </c>
      <c r="AA95">
        <v>2</v>
      </c>
      <c r="AB95" s="45">
        <v>28</v>
      </c>
      <c r="AC95" s="45">
        <v>0.01</v>
      </c>
      <c r="AD95" s="45">
        <v>43</v>
      </c>
      <c r="AE95">
        <v>0</v>
      </c>
      <c r="AF95">
        <v>0</v>
      </c>
      <c r="AG95" t="s">
        <v>86</v>
      </c>
      <c r="AH95" s="44">
        <v>45</v>
      </c>
      <c r="AI95" s="44">
        <v>4</v>
      </c>
      <c r="AJ95" s="44">
        <v>4</v>
      </c>
      <c r="AK95" s="44">
        <v>4</v>
      </c>
      <c r="AL95" s="44">
        <v>4</v>
      </c>
      <c r="AM95" s="44">
        <v>4</v>
      </c>
      <c r="AN95" s="44">
        <v>4</v>
      </c>
      <c r="AO95" s="44">
        <v>4</v>
      </c>
      <c r="AP95" s="44">
        <v>4</v>
      </c>
      <c r="AQ95">
        <v>5</v>
      </c>
      <c r="AR95" t="s">
        <v>146</v>
      </c>
      <c r="AS95">
        <v>2</v>
      </c>
      <c r="AT95">
        <v>2</v>
      </c>
      <c r="AU95" s="45">
        <v>165</v>
      </c>
      <c r="AV95" s="45">
        <v>0.1</v>
      </c>
      <c r="AW95" s="45">
        <v>250</v>
      </c>
      <c r="AX95">
        <v>1</v>
      </c>
      <c r="AY95">
        <v>150</v>
      </c>
      <c r="AZ95">
        <v>0.01</v>
      </c>
      <c r="BA95" s="43" t="str">
        <f t="shared" si="2"/>
        <v>Economy</v>
      </c>
      <c r="BB95" s="46">
        <f>IFERROR((AD95+IF(Calculator_v2!$E$6*Y95&lt;X95,X95,IF(Calculator_v2!$E$6*Y95&gt;Z95,Z95,Calculator_v2!$E$6*Y95))+IF(Calculator_v2!$E$6*AC95&lt;AB95,AB95,Calculator_v2!$E$6*AC95)+IFERROR(_xlfn.LET(_xlpm.tarifa,IF(Calculator_v2!$E$6&lt;=$AI$1,AI95,IF(Calculator_v2!$E$6&lt;=$AK$1,AJ95,IF(Calculator_v2!$E$6&lt;=$AL$1,AK95,IF(Calculator_v2!$E$6&lt;=$AM$1,AL95,IF(Calculator_v2!$E$6&lt;=$AN$1,AM95,IF(Calculator_v2!$E$6&lt;=$AO$1,AN95,IF(Calculator_v2!$E$6&lt;=$AP$1,AO95,AP95))))))),_xlpm.resultado,_xlpm.tarifa*Calculator_v2!$E$6,IF(_xlpm.resultado&lt;AH95,AH95,_xlpm.resultado)),0)+IF(Calculator_v2!$E$6*AV95&lt;AU95,AU95,IF(Calculator_v2!$E$6*AV95&gt;AW95,AW95,Calculator_v2!$E$6*AV95))+IF(Calculator_v2!$E$6*AZ95&lt;=AY95,AY95,Calculator_v2!$E$6*AZ95)),0)</f>
        <v>3115.12</v>
      </c>
      <c r="BC95" s="47">
        <f>IFERROR(+BB95/Calculator_v2!$E$6,0)+IFERROR(VLOOKUP(A95,DHL_ADDER!$B$4:$E$26,4,0),0)</f>
        <v>6.6620270270270261</v>
      </c>
      <c r="BD95" s="48">
        <f t="shared" si="3"/>
        <v>2</v>
      </c>
      <c r="BE95" s="48">
        <f>+T[[#This Row],[Airport to Destination Transit Time Days]]+T[[#This Row],[Airport to Airport Transit Time Days]]+T[[#This Row],[Origin to Airport Transit Time in days]]</f>
        <v>8</v>
      </c>
    </row>
    <row r="96" spans="1:57" customFormat="1" x14ac:dyDescent="0.35">
      <c r="A96" t="str">
        <f>+T[[#This Row],[Provider_Name]]&amp;"_"&amp;T[[#This Row],[AXIS]]</f>
        <v>DHL_B_FR&gt;CL</v>
      </c>
      <c r="B96" t="s">
        <v>71</v>
      </c>
      <c r="C96" t="s">
        <v>162</v>
      </c>
      <c r="D96" t="s">
        <v>163</v>
      </c>
      <c r="E96" t="s">
        <v>155</v>
      </c>
      <c r="F96" t="s">
        <v>92</v>
      </c>
      <c r="G96" t="s">
        <v>151</v>
      </c>
      <c r="H96" t="s">
        <v>156</v>
      </c>
      <c r="I96" t="s">
        <v>157</v>
      </c>
      <c r="J96">
        <v>27220</v>
      </c>
      <c r="K96" t="s">
        <v>139</v>
      </c>
      <c r="L96" t="s">
        <v>140</v>
      </c>
      <c r="M96" t="s">
        <v>141</v>
      </c>
      <c r="N96" t="s">
        <v>142</v>
      </c>
      <c r="O96">
        <v>2100837</v>
      </c>
      <c r="P96" t="s">
        <v>143</v>
      </c>
      <c r="Q96" t="s">
        <v>144</v>
      </c>
      <c r="R96">
        <v>6</v>
      </c>
      <c r="S96">
        <v>3000</v>
      </c>
      <c r="T96">
        <v>3000</v>
      </c>
      <c r="U96" s="1">
        <v>500</v>
      </c>
      <c r="V96" t="s">
        <v>85</v>
      </c>
      <c r="W96" s="48">
        <v>8</v>
      </c>
      <c r="X96" s="44">
        <v>72</v>
      </c>
      <c r="Y96" s="44">
        <v>0.56000000000000005</v>
      </c>
      <c r="Z96" s="44" t="s">
        <v>145</v>
      </c>
      <c r="AA96">
        <v>2</v>
      </c>
      <c r="AB96" s="45">
        <v>28</v>
      </c>
      <c r="AC96" s="45">
        <v>0.01</v>
      </c>
      <c r="AD96" s="45">
        <v>43</v>
      </c>
      <c r="AE96">
        <v>0</v>
      </c>
      <c r="AF96">
        <v>0</v>
      </c>
      <c r="AG96" t="s">
        <v>86</v>
      </c>
      <c r="AH96" s="44">
        <v>45</v>
      </c>
      <c r="AI96" s="44">
        <v>4</v>
      </c>
      <c r="AJ96" s="44">
        <v>4</v>
      </c>
      <c r="AK96" s="44">
        <v>4</v>
      </c>
      <c r="AL96" s="44">
        <v>4</v>
      </c>
      <c r="AM96" s="44">
        <v>4</v>
      </c>
      <c r="AN96" s="44">
        <v>4</v>
      </c>
      <c r="AO96" s="44">
        <v>4</v>
      </c>
      <c r="AP96" s="44">
        <v>4</v>
      </c>
      <c r="AQ96">
        <v>5</v>
      </c>
      <c r="AR96" t="s">
        <v>146</v>
      </c>
      <c r="AS96">
        <v>2</v>
      </c>
      <c r="AT96">
        <v>2</v>
      </c>
      <c r="AU96" s="45">
        <v>165</v>
      </c>
      <c r="AV96" s="45">
        <v>0.1</v>
      </c>
      <c r="AW96" s="45">
        <v>250</v>
      </c>
      <c r="AX96">
        <v>1</v>
      </c>
      <c r="AY96">
        <v>150</v>
      </c>
      <c r="AZ96">
        <v>0.01</v>
      </c>
      <c r="BA96" s="43" t="str">
        <f t="shared" si="2"/>
        <v>Economy</v>
      </c>
      <c r="BB96" s="46">
        <f>IFERROR((AD96+IF(Calculator_v2!$E$6*Y96&lt;X96,X96,IF(Calculator_v2!$E$6*Y96&gt;Z96,Z96,Calculator_v2!$E$6*Y96))+IF(Calculator_v2!$E$6*AC96&lt;AB96,AB96,Calculator_v2!$E$6*AC96)+IFERROR(_xlfn.LET(_xlpm.tarifa,IF(Calculator_v2!$E$6&lt;=$AI$1,AI96,IF(Calculator_v2!$E$6&lt;=$AK$1,AJ96,IF(Calculator_v2!$E$6&lt;=$AL$1,AK96,IF(Calculator_v2!$E$6&lt;=$AM$1,AL96,IF(Calculator_v2!$E$6&lt;=$AN$1,AM96,IF(Calculator_v2!$E$6&lt;=$AO$1,AN96,IF(Calculator_v2!$E$6&lt;=$AP$1,AO96,AP96))))))),_xlpm.resultado,_xlpm.tarifa*Calculator_v2!$E$6,IF(_xlpm.resultado&lt;AH96,AH96,_xlpm.resultado)),0)+IF(Calculator_v2!$E$6*AV96&lt;AU96,AU96,IF(Calculator_v2!$E$6*AV96&gt;AW96,AW96,Calculator_v2!$E$6*AV96))+IF(Calculator_v2!$E$6*AZ96&lt;=AY96,AY96,Calculator_v2!$E$6*AZ96)),0)</f>
        <v>3085.52</v>
      </c>
      <c r="BC96" s="47">
        <f>IFERROR(+BB96/Calculator_v2!$E$6,0)+IFERROR(VLOOKUP(A96,DHL_ADDER!$B$4:$E$26,4,0),0)</f>
        <v>6.6120270270270272</v>
      </c>
      <c r="BD96" s="48">
        <f t="shared" si="3"/>
        <v>2</v>
      </c>
      <c r="BE96" s="48">
        <f>+T[[#This Row],[Airport to Destination Transit Time Days]]+T[[#This Row],[Airport to Airport Transit Time Days]]+T[[#This Row],[Origin to Airport Transit Time in days]]</f>
        <v>8</v>
      </c>
    </row>
    <row r="97" spans="1:57" customFormat="1" x14ac:dyDescent="0.35">
      <c r="A97" t="str">
        <f>+T[[#This Row],[Provider_Name]]&amp;"_"&amp;T[[#This Row],[AXIS]]</f>
        <v>DHL_B_FR&gt;CL</v>
      </c>
      <c r="B97" t="s">
        <v>71</v>
      </c>
      <c r="C97" t="s">
        <v>162</v>
      </c>
      <c r="D97" t="s">
        <v>163</v>
      </c>
      <c r="E97" t="s">
        <v>150</v>
      </c>
      <c r="F97" t="s">
        <v>92</v>
      </c>
      <c r="G97" t="s">
        <v>151</v>
      </c>
      <c r="H97" t="s">
        <v>152</v>
      </c>
      <c r="I97" t="s">
        <v>153</v>
      </c>
      <c r="K97" t="s">
        <v>139</v>
      </c>
      <c r="L97" t="s">
        <v>140</v>
      </c>
      <c r="M97" t="s">
        <v>141</v>
      </c>
      <c r="N97" t="s">
        <v>142</v>
      </c>
      <c r="O97">
        <v>2100837</v>
      </c>
      <c r="P97" t="s">
        <v>143</v>
      </c>
      <c r="Q97" t="s">
        <v>144</v>
      </c>
      <c r="R97">
        <v>6</v>
      </c>
      <c r="S97">
        <v>3000</v>
      </c>
      <c r="T97">
        <v>3000</v>
      </c>
      <c r="U97" s="1">
        <v>500</v>
      </c>
      <c r="V97" t="s">
        <v>90</v>
      </c>
      <c r="W97" s="48">
        <v>3</v>
      </c>
      <c r="X97" s="44">
        <v>600</v>
      </c>
      <c r="Y97" s="44">
        <v>0.01</v>
      </c>
      <c r="Z97" s="44" t="s">
        <v>145</v>
      </c>
      <c r="AA97">
        <v>1</v>
      </c>
      <c r="AB97" s="45">
        <v>48</v>
      </c>
      <c r="AC97" s="45">
        <v>0.01</v>
      </c>
      <c r="AD97" s="45">
        <v>43</v>
      </c>
      <c r="AE97">
        <v>0</v>
      </c>
      <c r="AF97">
        <v>0</v>
      </c>
      <c r="AG97" t="s">
        <v>86</v>
      </c>
      <c r="AH97" s="44">
        <v>150</v>
      </c>
      <c r="AI97" s="44">
        <v>12.92</v>
      </c>
      <c r="AJ97" s="44">
        <v>12.13</v>
      </c>
      <c r="AK97" s="44">
        <v>11.56</v>
      </c>
      <c r="AL97" s="44">
        <v>10.77</v>
      </c>
      <c r="AM97" s="44">
        <v>10.32</v>
      </c>
      <c r="AN97" s="44">
        <v>9.86</v>
      </c>
      <c r="AO97" s="44">
        <v>9.86</v>
      </c>
      <c r="AP97" s="44">
        <v>9.86</v>
      </c>
      <c r="AQ97">
        <v>1</v>
      </c>
      <c r="AR97" t="s">
        <v>147</v>
      </c>
      <c r="AS97">
        <v>0</v>
      </c>
      <c r="AT97">
        <v>7</v>
      </c>
      <c r="AU97" s="45">
        <v>165</v>
      </c>
      <c r="AV97" s="45">
        <v>0.1</v>
      </c>
      <c r="AW97" s="45">
        <v>250</v>
      </c>
      <c r="AX97">
        <v>1</v>
      </c>
      <c r="AY97">
        <v>150</v>
      </c>
      <c r="AZ97">
        <v>0.01</v>
      </c>
      <c r="BA97" s="43" t="str">
        <f t="shared" si="2"/>
        <v>Express</v>
      </c>
      <c r="BB97" s="46">
        <f>IFERROR((AD97+IF(Calculator_v2!$E$6*Y97&lt;X97,X97,IF(Calculator_v2!$E$6*Y97&gt;Z97,Z97,Calculator_v2!$E$6*Y97))+IF(Calculator_v2!$E$6*AC97&lt;AB97,AB97,Calculator_v2!$E$6*AC97)+IFERROR(_xlfn.LET(_xlpm.tarifa,IF(Calculator_v2!$E$6&lt;=$AI$1,AI97,IF(Calculator_v2!$E$6&lt;=$AK$1,AJ97,IF(Calculator_v2!$E$6&lt;=$AL$1,AK97,IF(Calculator_v2!$E$6&lt;=$AM$1,AL97,IF(Calculator_v2!$E$6&lt;=$AN$1,AM97,IF(Calculator_v2!$E$6&lt;=$AO$1,AN97,IF(Calculator_v2!$E$6&lt;=$AP$1,AO97,AP97))))))),_xlpm.resultado,_xlpm.tarifa*Calculator_v2!$E$6,IF(_xlpm.resultado&lt;AH97,AH97,_xlpm.resultado)),0)+IF(Calculator_v2!$E$6*AV97&lt;AU97,AU97,IF(Calculator_v2!$E$6*AV97&gt;AW97,AW97,Calculator_v2!$E$6*AV97))+IF(Calculator_v2!$E$6*AZ97&lt;=AY97,AY97,Calculator_v2!$E$6*AZ97)),0)</f>
        <v>7115.4400000000005</v>
      </c>
      <c r="BC97" s="47">
        <f>IFERROR(+BB97/Calculator_v2!$E$6,0)+IFERROR(VLOOKUP(A97,DHL_ADDER!$B$4:$E$26,4,0),0)</f>
        <v>13.419324324324325</v>
      </c>
      <c r="BD97" s="48">
        <f t="shared" si="3"/>
        <v>7</v>
      </c>
      <c r="BE97" s="48">
        <f>+T[[#This Row],[Airport to Destination Transit Time Days]]+T[[#This Row],[Airport to Airport Transit Time Days]]+T[[#This Row],[Origin to Airport Transit Time in days]]</f>
        <v>3</v>
      </c>
    </row>
    <row r="98" spans="1:57" customFormat="1" x14ac:dyDescent="0.35">
      <c r="A98" t="str">
        <f>+T[[#This Row],[Provider_Name]]&amp;"_"&amp;T[[#This Row],[AXIS]]</f>
        <v>DHL_B_FR&gt;CL</v>
      </c>
      <c r="B98" t="s">
        <v>71</v>
      </c>
      <c r="C98" t="s">
        <v>162</v>
      </c>
      <c r="D98" t="s">
        <v>163</v>
      </c>
      <c r="E98" t="s">
        <v>155</v>
      </c>
      <c r="F98" t="s">
        <v>92</v>
      </c>
      <c r="G98" t="s">
        <v>151</v>
      </c>
      <c r="H98" t="s">
        <v>156</v>
      </c>
      <c r="I98" t="s">
        <v>157</v>
      </c>
      <c r="J98">
        <v>27220</v>
      </c>
      <c r="K98" t="s">
        <v>139</v>
      </c>
      <c r="L98" t="s">
        <v>140</v>
      </c>
      <c r="M98" t="s">
        <v>141</v>
      </c>
      <c r="N98" t="s">
        <v>142</v>
      </c>
      <c r="O98">
        <v>2100837</v>
      </c>
      <c r="P98" t="s">
        <v>143</v>
      </c>
      <c r="Q98" t="s">
        <v>144</v>
      </c>
      <c r="R98">
        <v>6</v>
      </c>
      <c r="S98">
        <v>3000</v>
      </c>
      <c r="T98">
        <v>3000</v>
      </c>
      <c r="U98" s="1">
        <v>500</v>
      </c>
      <c r="V98" t="s">
        <v>90</v>
      </c>
      <c r="W98" s="43">
        <v>3</v>
      </c>
      <c r="X98">
        <v>526</v>
      </c>
      <c r="Y98">
        <v>0.01</v>
      </c>
      <c r="Z98" t="s">
        <v>145</v>
      </c>
      <c r="AA98">
        <v>1</v>
      </c>
      <c r="AB98">
        <v>48</v>
      </c>
      <c r="AC98">
        <v>0.01</v>
      </c>
      <c r="AD98">
        <v>43</v>
      </c>
      <c r="AE98">
        <v>0</v>
      </c>
      <c r="AF98">
        <v>0</v>
      </c>
      <c r="AG98" t="s">
        <v>86</v>
      </c>
      <c r="AH98">
        <v>150</v>
      </c>
      <c r="AI98" s="1">
        <v>12.92</v>
      </c>
      <c r="AJ98" s="1">
        <v>12.13</v>
      </c>
      <c r="AK98" s="1">
        <v>11.56</v>
      </c>
      <c r="AL98" s="1">
        <v>10.77</v>
      </c>
      <c r="AM98" s="1">
        <v>10.32</v>
      </c>
      <c r="AN98" s="1">
        <v>9.86</v>
      </c>
      <c r="AO98" s="1">
        <v>9.86</v>
      </c>
      <c r="AP98" s="1">
        <v>9.86</v>
      </c>
      <c r="AQ98">
        <v>1</v>
      </c>
      <c r="AR98" t="s">
        <v>147</v>
      </c>
      <c r="AS98">
        <v>0</v>
      </c>
      <c r="AT98">
        <v>7</v>
      </c>
      <c r="AU98">
        <v>165</v>
      </c>
      <c r="AV98">
        <v>0.1</v>
      </c>
      <c r="AW98">
        <v>250</v>
      </c>
      <c r="AX98">
        <v>1</v>
      </c>
      <c r="AY98">
        <v>150</v>
      </c>
      <c r="AZ98">
        <v>0.01</v>
      </c>
      <c r="BA98" s="43" t="str">
        <f t="shared" si="2"/>
        <v>Express</v>
      </c>
      <c r="BB98" s="46">
        <f>IFERROR((AD98+IF(Calculator_v2!$E$6*Y98&lt;X98,X98,IF(Calculator_v2!$E$6*Y98&gt;Z98,Z98,Calculator_v2!$E$6*Y98))+IF(Calculator_v2!$E$6*AC98&lt;AB98,AB98,Calculator_v2!$E$6*AC98)+IFERROR(_xlfn.LET(_xlpm.tarifa,IF(Calculator_v2!$E$6&lt;=$AI$1,AI98,IF(Calculator_v2!$E$6&lt;=$AK$1,AJ98,IF(Calculator_v2!$E$6&lt;=$AL$1,AK98,IF(Calculator_v2!$E$6&lt;=$AM$1,AL98,IF(Calculator_v2!$E$6&lt;=$AN$1,AM98,IF(Calculator_v2!$E$6&lt;=$AO$1,AN98,IF(Calculator_v2!$E$6&lt;=$AP$1,AO98,AP98))))))),_xlpm.resultado,_xlpm.tarifa*Calculator_v2!$E$6,IF(_xlpm.resultado&lt;AH98,AH98,_xlpm.resultado)),0)+IF(Calculator_v2!$E$6*AV98&lt;AU98,AU98,IF(Calculator_v2!$E$6*AV98&gt;AW98,AW98,Calculator_v2!$E$6*AV98))+IF(Calculator_v2!$E$6*AZ98&lt;=AY98,AY98,Calculator_v2!$E$6*AZ98)),0)</f>
        <v>7041.4400000000005</v>
      </c>
      <c r="BC98" s="47">
        <f>IFERROR(+BB98/Calculator_v2!$E$6,0)+IFERROR(VLOOKUP(A98,DHL_ADDER!$B$4:$E$26,4,0),0)</f>
        <v>13.294324324324325</v>
      </c>
      <c r="BD98" s="48">
        <f t="shared" si="3"/>
        <v>7</v>
      </c>
      <c r="BE98" s="48">
        <f>+T[[#This Row],[Airport to Destination Transit Time Days]]+T[[#This Row],[Airport to Airport Transit Time Days]]+T[[#This Row],[Origin to Airport Transit Time in days]]</f>
        <v>3</v>
      </c>
    </row>
    <row r="99" spans="1:57" customFormat="1" x14ac:dyDescent="0.35">
      <c r="A99" t="str">
        <f>+T[[#This Row],[Provider_Name]]&amp;"_"&amp;T[[#This Row],[AXIS]]</f>
        <v>DHL_B_FR&gt;CL</v>
      </c>
      <c r="B99" t="s">
        <v>71</v>
      </c>
      <c r="C99" t="s">
        <v>162</v>
      </c>
      <c r="D99" t="s">
        <v>163</v>
      </c>
      <c r="E99" t="s">
        <v>150</v>
      </c>
      <c r="F99" t="s">
        <v>92</v>
      </c>
      <c r="G99" t="s">
        <v>151</v>
      </c>
      <c r="H99" t="s">
        <v>152</v>
      </c>
      <c r="I99" t="s">
        <v>153</v>
      </c>
      <c r="K99" t="s">
        <v>139</v>
      </c>
      <c r="L99" t="s">
        <v>140</v>
      </c>
      <c r="M99" t="s">
        <v>141</v>
      </c>
      <c r="N99" t="s">
        <v>142</v>
      </c>
      <c r="O99">
        <v>2100837</v>
      </c>
      <c r="P99" t="s">
        <v>143</v>
      </c>
      <c r="Q99" t="s">
        <v>144</v>
      </c>
      <c r="R99">
        <v>6</v>
      </c>
      <c r="S99">
        <v>3000</v>
      </c>
      <c r="T99">
        <v>3000</v>
      </c>
      <c r="U99" s="1">
        <v>500</v>
      </c>
      <c r="V99" t="s">
        <v>91</v>
      </c>
      <c r="W99" s="43">
        <v>6</v>
      </c>
      <c r="X99" s="44">
        <v>77</v>
      </c>
      <c r="Y99" s="44">
        <v>0.61</v>
      </c>
      <c r="Z99" s="44" t="s">
        <v>145</v>
      </c>
      <c r="AA99">
        <v>2</v>
      </c>
      <c r="AB99" s="45">
        <v>48</v>
      </c>
      <c r="AC99" s="45">
        <v>0.01</v>
      </c>
      <c r="AD99" s="45">
        <v>43</v>
      </c>
      <c r="AE99">
        <v>0</v>
      </c>
      <c r="AF99">
        <v>0</v>
      </c>
      <c r="AG99" t="s">
        <v>86</v>
      </c>
      <c r="AH99" s="44">
        <v>150</v>
      </c>
      <c r="AI99" s="44">
        <v>12.92</v>
      </c>
      <c r="AJ99" s="44">
        <v>12.13</v>
      </c>
      <c r="AK99" s="44">
        <v>7.32</v>
      </c>
      <c r="AL99" s="44">
        <v>6.83</v>
      </c>
      <c r="AM99" s="44">
        <v>6.54</v>
      </c>
      <c r="AN99" s="44">
        <v>6.26</v>
      </c>
      <c r="AO99" s="44">
        <v>6.26</v>
      </c>
      <c r="AP99" s="44">
        <v>6.26</v>
      </c>
      <c r="AQ99">
        <v>3</v>
      </c>
      <c r="AR99" t="s">
        <v>147</v>
      </c>
      <c r="AS99">
        <v>1</v>
      </c>
      <c r="AT99">
        <v>7</v>
      </c>
      <c r="AU99" s="45">
        <v>165</v>
      </c>
      <c r="AV99" s="45">
        <v>0.1</v>
      </c>
      <c r="AW99" s="45">
        <v>250</v>
      </c>
      <c r="AX99">
        <v>1</v>
      </c>
      <c r="AY99">
        <v>150</v>
      </c>
      <c r="AZ99">
        <v>0.01</v>
      </c>
      <c r="BA99" s="43" t="str">
        <f t="shared" si="2"/>
        <v>Normal</v>
      </c>
      <c r="BB99" s="46">
        <f>IFERROR((AD99+IF(Calculator_v2!$E$6*Y99&lt;X99,X99,IF(Calculator_v2!$E$6*Y99&gt;Z99,Z99,Calculator_v2!$E$6*Y99))+IF(Calculator_v2!$E$6*AC99&lt;AB99,AB99,Calculator_v2!$E$6*AC99)+IFERROR(_xlfn.LET(_xlpm.tarifa,IF(Calculator_v2!$E$6&lt;=$AI$1,AI99,IF(Calculator_v2!$E$6&lt;=$AK$1,AJ99,IF(Calculator_v2!$E$6&lt;=$AL$1,AK99,IF(Calculator_v2!$E$6&lt;=$AM$1,AL99,IF(Calculator_v2!$E$6&lt;=$AN$1,AM99,IF(Calculator_v2!$E$6&lt;=$AO$1,AN99,IF(Calculator_v2!$E$6&lt;=$AP$1,AO99,AP99))))))),_xlpm.resultado,_xlpm.tarifa*Calculator_v2!$E$6,IF(_xlpm.resultado&lt;AH99,AH99,_xlpm.resultado)),0)+IF(Calculator_v2!$E$6*AV99&lt;AU99,AU99,IF(Calculator_v2!$E$6*AV99&gt;AW99,AW99,Calculator_v2!$E$6*AV99))+IF(Calculator_v2!$E$6*AZ99&lt;=AY99,AY99,Calculator_v2!$E$6*AZ99)),0)</f>
        <v>4638.8</v>
      </c>
      <c r="BC99" s="47">
        <f>IFERROR(+BB99/Calculator_v2!$E$6,0)+IFERROR(VLOOKUP(A99,DHL_ADDER!$B$4:$E$26,4,0),0)</f>
        <v>9.2358108108108112</v>
      </c>
      <c r="BD99" s="48">
        <f t="shared" si="3"/>
        <v>7</v>
      </c>
      <c r="BE99" s="48">
        <f>+T[[#This Row],[Airport to Destination Transit Time Days]]+T[[#This Row],[Airport to Airport Transit Time Days]]+T[[#This Row],[Origin to Airport Transit Time in days]]</f>
        <v>6</v>
      </c>
    </row>
    <row r="100" spans="1:57" customFormat="1" x14ac:dyDescent="0.35">
      <c r="A100" t="str">
        <f>+T[[#This Row],[Provider_Name]]&amp;"_"&amp;T[[#This Row],[AXIS]]</f>
        <v>DHL_B_FR&gt;CL</v>
      </c>
      <c r="B100" t="s">
        <v>71</v>
      </c>
      <c r="C100" t="s">
        <v>162</v>
      </c>
      <c r="D100" t="s">
        <v>163</v>
      </c>
      <c r="E100" t="s">
        <v>155</v>
      </c>
      <c r="F100" t="s">
        <v>92</v>
      </c>
      <c r="G100" t="s">
        <v>151</v>
      </c>
      <c r="H100" t="s">
        <v>156</v>
      </c>
      <c r="I100" t="s">
        <v>157</v>
      </c>
      <c r="J100">
        <v>27220</v>
      </c>
      <c r="K100" t="s">
        <v>139</v>
      </c>
      <c r="L100" t="s">
        <v>140</v>
      </c>
      <c r="M100" t="s">
        <v>141</v>
      </c>
      <c r="N100" t="s">
        <v>142</v>
      </c>
      <c r="O100">
        <v>2100837</v>
      </c>
      <c r="P100" t="s">
        <v>143</v>
      </c>
      <c r="Q100" t="s">
        <v>144</v>
      </c>
      <c r="R100">
        <v>6</v>
      </c>
      <c r="S100">
        <v>3000</v>
      </c>
      <c r="T100">
        <v>3000</v>
      </c>
      <c r="U100" s="1">
        <v>500</v>
      </c>
      <c r="V100" t="s">
        <v>91</v>
      </c>
      <c r="W100" s="43">
        <v>6</v>
      </c>
      <c r="X100" s="44">
        <v>72</v>
      </c>
      <c r="Y100" s="44">
        <v>0.56000000000000005</v>
      </c>
      <c r="Z100" s="44" t="s">
        <v>145</v>
      </c>
      <c r="AA100">
        <v>2</v>
      </c>
      <c r="AB100" s="45">
        <v>48</v>
      </c>
      <c r="AC100" s="45">
        <v>0.01</v>
      </c>
      <c r="AD100" s="45">
        <v>43</v>
      </c>
      <c r="AE100">
        <v>0</v>
      </c>
      <c r="AF100">
        <v>0</v>
      </c>
      <c r="AG100" t="s">
        <v>86</v>
      </c>
      <c r="AH100" s="44">
        <v>150</v>
      </c>
      <c r="AI100" s="44">
        <v>12.92</v>
      </c>
      <c r="AJ100" s="44">
        <v>12.13</v>
      </c>
      <c r="AK100" s="44">
        <v>7.32</v>
      </c>
      <c r="AL100" s="44">
        <v>6.83</v>
      </c>
      <c r="AM100" s="44">
        <v>6.54</v>
      </c>
      <c r="AN100" s="44">
        <v>6.26</v>
      </c>
      <c r="AO100" s="44">
        <v>6.26</v>
      </c>
      <c r="AP100" s="44">
        <v>6.26</v>
      </c>
      <c r="AQ100">
        <v>3</v>
      </c>
      <c r="AR100" t="s">
        <v>147</v>
      </c>
      <c r="AS100">
        <v>1</v>
      </c>
      <c r="AT100">
        <v>7</v>
      </c>
      <c r="AU100" s="45">
        <v>165</v>
      </c>
      <c r="AV100" s="45">
        <v>0.1</v>
      </c>
      <c r="AW100" s="45">
        <v>250</v>
      </c>
      <c r="AX100">
        <v>1</v>
      </c>
      <c r="AY100">
        <v>150</v>
      </c>
      <c r="AZ100">
        <v>0.01</v>
      </c>
      <c r="BA100" s="43" t="str">
        <f t="shared" si="2"/>
        <v>Normal</v>
      </c>
      <c r="BB100" s="46">
        <f>IFERROR((AD100+IF(Calculator_v2!$E$6*Y100&lt;X100,X100,IF(Calculator_v2!$E$6*Y100&gt;Z100,Z100,Calculator_v2!$E$6*Y100))+IF(Calculator_v2!$E$6*AC100&lt;AB100,AB100,Calculator_v2!$E$6*AC100)+IFERROR(_xlfn.LET(_xlpm.tarifa,IF(Calculator_v2!$E$6&lt;=$AI$1,AI100,IF(Calculator_v2!$E$6&lt;=$AK$1,AJ100,IF(Calculator_v2!$E$6&lt;=$AL$1,AK100,IF(Calculator_v2!$E$6&lt;=$AM$1,AL100,IF(Calculator_v2!$E$6&lt;=$AN$1,AM100,IF(Calculator_v2!$E$6&lt;=$AO$1,AN100,IF(Calculator_v2!$E$6&lt;=$AP$1,AO100,AP100))))))),_xlpm.resultado,_xlpm.tarifa*Calculator_v2!$E$6,IF(_xlpm.resultado&lt;AH100,AH100,_xlpm.resultado)),0)+IF(Calculator_v2!$E$6*AV100&lt;AU100,AU100,IF(Calculator_v2!$E$6*AV100&gt;AW100,AW100,Calculator_v2!$E$6*AV100))+IF(Calculator_v2!$E$6*AZ100&lt;=AY100,AY100,Calculator_v2!$E$6*AZ100)),0)</f>
        <v>4609.2</v>
      </c>
      <c r="BC100" s="47">
        <f>IFERROR(+BB100/Calculator_v2!$E$6,0)+IFERROR(VLOOKUP(A100,DHL_ADDER!$B$4:$E$26,4,0),0)</f>
        <v>9.1858108108108105</v>
      </c>
      <c r="BD100" s="48">
        <f t="shared" si="3"/>
        <v>7</v>
      </c>
      <c r="BE100" s="48">
        <f>+T[[#This Row],[Airport to Destination Transit Time Days]]+T[[#This Row],[Airport to Airport Transit Time Days]]+T[[#This Row],[Origin to Airport Transit Time in days]]</f>
        <v>6</v>
      </c>
    </row>
    <row r="101" spans="1:57" customFormat="1" x14ac:dyDescent="0.35">
      <c r="A101" t="str">
        <f>+T[[#This Row],[Provider_Name]]&amp;"_"&amp;T[[#This Row],[AXIS]]</f>
        <v>DHL_B_IN&gt;BR</v>
      </c>
      <c r="B101" t="s">
        <v>71</v>
      </c>
      <c r="C101" t="s">
        <v>164</v>
      </c>
      <c r="D101" t="s">
        <v>165</v>
      </c>
      <c r="E101" t="s">
        <v>166</v>
      </c>
      <c r="F101" t="s">
        <v>75</v>
      </c>
      <c r="G101" t="s">
        <v>167</v>
      </c>
      <c r="H101" t="s">
        <v>168</v>
      </c>
      <c r="I101" t="s">
        <v>169</v>
      </c>
      <c r="J101">
        <v>410507</v>
      </c>
      <c r="K101" t="s">
        <v>170</v>
      </c>
      <c r="L101" t="s">
        <v>79</v>
      </c>
      <c r="M101" t="s">
        <v>80</v>
      </c>
      <c r="N101" t="s">
        <v>81</v>
      </c>
      <c r="O101" t="s">
        <v>82</v>
      </c>
      <c r="P101" t="s">
        <v>83</v>
      </c>
      <c r="Q101" t="s">
        <v>84</v>
      </c>
      <c r="R101">
        <v>4</v>
      </c>
      <c r="S101">
        <v>399</v>
      </c>
      <c r="T101">
        <v>301.89499999999998</v>
      </c>
      <c r="U101" s="1">
        <v>75.473749999999995</v>
      </c>
      <c r="V101" t="s">
        <v>85</v>
      </c>
      <c r="W101" s="43">
        <v>10</v>
      </c>
      <c r="X101">
        <v>44.117647058823529</v>
      </c>
      <c r="Y101">
        <v>5.8823529411764705E-2</v>
      </c>
      <c r="Z101">
        <v>176.47058823529412</v>
      </c>
      <c r="AA101">
        <v>1</v>
      </c>
      <c r="AB101">
        <v>8.6274509803921564</v>
      </c>
      <c r="AC101">
        <v>3.9215686274509803E-2</v>
      </c>
      <c r="AD101">
        <v>24.509803921568629</v>
      </c>
      <c r="AE101">
        <v>3.6764705882352939</v>
      </c>
      <c r="AF101">
        <v>3.9215686274509803E-2</v>
      </c>
      <c r="AG101" t="s">
        <v>86</v>
      </c>
      <c r="AH101">
        <v>147.058823529412</v>
      </c>
      <c r="AI101" s="1">
        <v>7.2568627450980401</v>
      </c>
      <c r="AJ101" s="1">
        <v>6.7666666666666702</v>
      </c>
      <c r="AK101" s="1">
        <v>6.4235294117647097</v>
      </c>
      <c r="AL101" s="1">
        <v>6.0313725490196104</v>
      </c>
      <c r="AM101" s="1">
        <v>5.5090909090909088</v>
      </c>
      <c r="AN101" s="1">
        <v>5.5090909090909088</v>
      </c>
      <c r="AO101" s="1">
        <v>5.5090909090909088</v>
      </c>
      <c r="AP101" s="1">
        <v>5.5090909090909088</v>
      </c>
      <c r="AQ101">
        <v>6</v>
      </c>
      <c r="AR101" t="s">
        <v>171</v>
      </c>
      <c r="AS101">
        <v>2</v>
      </c>
      <c r="AT101">
        <v>7</v>
      </c>
      <c r="AX101">
        <v>1</v>
      </c>
      <c r="AY101">
        <v>120</v>
      </c>
      <c r="AZ101">
        <v>0.06</v>
      </c>
      <c r="BA101" s="43" t="str">
        <f t="shared" si="2"/>
        <v>Economy</v>
      </c>
      <c r="BB101" s="46">
        <f>IFERROR((AD101+IF(Calculator_v2!$E$6*Y101&lt;X101,X101,IF(Calculator_v2!$E$6*Y101&gt;Z101,Z101,Calculator_v2!$E$6*Y101))+IF(Calculator_v2!$E$6*AC101&lt;AB101,AB101,Calculator_v2!$E$6*AC101)+IFERROR(_xlfn.LET(_xlpm.tarifa,IF(Calculator_v2!$E$6&lt;=$AI$1,AI101,IF(Calculator_v2!$E$6&lt;=$AK$1,AJ101,IF(Calculator_v2!$E$6&lt;=$AL$1,AK101,IF(Calculator_v2!$E$6&lt;=$AM$1,AL101,IF(Calculator_v2!$E$6&lt;=$AN$1,AM101,IF(Calculator_v2!$E$6&lt;=$AO$1,AN101,IF(Calculator_v2!$E$6&lt;=$AP$1,AO101,AP101))))))),_xlpm.resultado,_xlpm.tarifa*Calculator_v2!$E$6,IF(_xlpm.resultado&lt;AH101,AH101,_xlpm.resultado)),0)+IF(Calculator_v2!$E$6*AV101&lt;AU101,AU101,IF(Calculator_v2!$E$6*AV101&gt;AW101,AW101,Calculator_v2!$E$6*AV101))+IF(Calculator_v2!$E$6*AZ101&lt;=AY101,AY101,Calculator_v2!$E$6*AZ101)),0)</f>
        <v>3473.2249554367199</v>
      </c>
      <c r="BC101" s="47">
        <f>IFERROR(+BB101/Calculator_v2!$E$6,0)+IFERROR(VLOOKUP(A101,DHL_ADDER!$B$4:$E$26,4,0),0)</f>
        <v>11.75693404634581</v>
      </c>
      <c r="BD101" s="48">
        <f t="shared" si="3"/>
        <v>7</v>
      </c>
      <c r="BE101" s="48">
        <f>+T[[#This Row],[Airport to Destination Transit Time Days]]+T[[#This Row],[Airport to Airport Transit Time Days]]+T[[#This Row],[Origin to Airport Transit Time in days]]</f>
        <v>8</v>
      </c>
    </row>
    <row r="102" spans="1:57" customFormat="1" x14ac:dyDescent="0.35">
      <c r="A102" t="str">
        <f>+T[[#This Row],[Provider_Name]]&amp;"_"&amp;T[[#This Row],[AXIS]]</f>
        <v>DHL_B_IN&gt;BR</v>
      </c>
      <c r="B102" t="s">
        <v>71</v>
      </c>
      <c r="C102" t="s">
        <v>164</v>
      </c>
      <c r="D102" t="s">
        <v>165</v>
      </c>
      <c r="E102" t="s">
        <v>166</v>
      </c>
      <c r="F102" t="s">
        <v>75</v>
      </c>
      <c r="G102" t="s">
        <v>167</v>
      </c>
      <c r="H102" t="s">
        <v>168</v>
      </c>
      <c r="I102" t="s">
        <v>169</v>
      </c>
      <c r="J102">
        <v>410507</v>
      </c>
      <c r="K102" t="s">
        <v>170</v>
      </c>
      <c r="L102" t="s">
        <v>79</v>
      </c>
      <c r="M102" t="s">
        <v>80</v>
      </c>
      <c r="N102" t="s">
        <v>81</v>
      </c>
      <c r="O102" t="s">
        <v>82</v>
      </c>
      <c r="P102" t="s">
        <v>89</v>
      </c>
      <c r="Q102" t="s">
        <v>84</v>
      </c>
      <c r="R102">
        <v>4</v>
      </c>
      <c r="S102">
        <v>399</v>
      </c>
      <c r="T102">
        <v>301.89499999999998</v>
      </c>
      <c r="U102" s="1">
        <v>75.473749999999995</v>
      </c>
      <c r="V102" t="s">
        <v>85</v>
      </c>
      <c r="W102" s="43">
        <v>10</v>
      </c>
      <c r="X102">
        <v>44.117647058823529</v>
      </c>
      <c r="Y102">
        <v>5.8823529411764705E-2</v>
      </c>
      <c r="Z102">
        <v>176.47058823529412</v>
      </c>
      <c r="AA102">
        <v>1</v>
      </c>
      <c r="AB102">
        <v>8.6274509803921564</v>
      </c>
      <c r="AC102">
        <v>3.9215686274509803E-2</v>
      </c>
      <c r="AD102">
        <v>24.509803921568629</v>
      </c>
      <c r="AE102">
        <v>3.6764705882352939</v>
      </c>
      <c r="AF102">
        <v>3.9215686274509803E-2</v>
      </c>
      <c r="AG102" t="s">
        <v>86</v>
      </c>
      <c r="AH102">
        <v>147.058823529412</v>
      </c>
      <c r="AI102" s="1">
        <v>9.8549019607843107</v>
      </c>
      <c r="AJ102" s="1">
        <v>9.6490196078431403</v>
      </c>
      <c r="AK102" s="1">
        <v>9.2470588235294109</v>
      </c>
      <c r="AL102" s="1">
        <v>8.1784313725490208</v>
      </c>
      <c r="AM102" s="1">
        <v>6.918181818181818</v>
      </c>
      <c r="AN102" s="1">
        <v>6.918181818181818</v>
      </c>
      <c r="AO102" s="1">
        <v>6.918181818181818</v>
      </c>
      <c r="AP102" s="1">
        <v>6.918181818181818</v>
      </c>
      <c r="AQ102">
        <v>8</v>
      </c>
      <c r="AR102" t="s">
        <v>171</v>
      </c>
      <c r="AS102">
        <v>2</v>
      </c>
      <c r="AT102">
        <v>7</v>
      </c>
      <c r="AX102">
        <v>1</v>
      </c>
      <c r="AY102">
        <v>120</v>
      </c>
      <c r="AZ102">
        <v>0.06</v>
      </c>
      <c r="BA102" s="43" t="str">
        <f t="shared" si="2"/>
        <v>Economy</v>
      </c>
      <c r="BB102" s="46">
        <f>IFERROR((AD102+IF(Calculator_v2!$E$6*Y102&lt;X102,X102,IF(Calculator_v2!$E$6*Y102&gt;Z102,Z102,Calculator_v2!$E$6*Y102))+IF(Calculator_v2!$E$6*AC102&lt;AB102,AB102,Calculator_v2!$E$6*AC102)+IFERROR(_xlfn.LET(_xlpm.tarifa,IF(Calculator_v2!$E$6&lt;=$AI$1,AI102,IF(Calculator_v2!$E$6&lt;=$AK$1,AJ102,IF(Calculator_v2!$E$6&lt;=$AL$1,AK102,IF(Calculator_v2!$E$6&lt;=$AM$1,AL102,IF(Calculator_v2!$E$6&lt;=$AN$1,AM102,IF(Calculator_v2!$E$6&lt;=$AO$1,AN102,IF(Calculator_v2!$E$6&lt;=$AP$1,AO102,AP102))))))),_xlpm.resultado,_xlpm.tarifa*Calculator_v2!$E$6,IF(_xlpm.resultado&lt;AH102,AH102,_xlpm.resultado)),0)+IF(Calculator_v2!$E$6*AV102&lt;AU102,AU102,IF(Calculator_v2!$E$6*AV102&gt;AW102,AW102,Calculator_v2!$E$6*AV102))+IF(Calculator_v2!$E$6*AZ102&lt;=AY102,AY102,Calculator_v2!$E$6*AZ102)),0)</f>
        <v>4307.406773618538</v>
      </c>
      <c r="BC102" s="47">
        <f>IFERROR(+BB102/Calculator_v2!$E$6,0)+IFERROR(VLOOKUP(A102,DHL_ADDER!$B$4:$E$26,4,0),0)</f>
        <v>13.166024955436718</v>
      </c>
      <c r="BD102" s="48">
        <f t="shared" si="3"/>
        <v>7</v>
      </c>
      <c r="BE102" s="48">
        <f>+T[[#This Row],[Airport to Destination Transit Time Days]]+T[[#This Row],[Airport to Airport Transit Time Days]]+T[[#This Row],[Origin to Airport Transit Time in days]]</f>
        <v>10</v>
      </c>
    </row>
    <row r="103" spans="1:57" customFormat="1" x14ac:dyDescent="0.35">
      <c r="A103" t="str">
        <f>+T[[#This Row],[Provider_Name]]&amp;"_"&amp;T[[#This Row],[AXIS]]</f>
        <v>DHL_B_IN&gt;BR</v>
      </c>
      <c r="B103" t="s">
        <v>71</v>
      </c>
      <c r="C103" t="s">
        <v>164</v>
      </c>
      <c r="D103" t="s">
        <v>165</v>
      </c>
      <c r="E103" t="s">
        <v>166</v>
      </c>
      <c r="F103" t="s">
        <v>75</v>
      </c>
      <c r="G103" t="s">
        <v>167</v>
      </c>
      <c r="H103" t="s">
        <v>172</v>
      </c>
      <c r="I103" t="s">
        <v>173</v>
      </c>
      <c r="J103">
        <v>602117</v>
      </c>
      <c r="K103" t="s">
        <v>174</v>
      </c>
      <c r="L103" t="s">
        <v>79</v>
      </c>
      <c r="M103" t="s">
        <v>80</v>
      </c>
      <c r="N103" t="s">
        <v>81</v>
      </c>
      <c r="O103" t="s">
        <v>82</v>
      </c>
      <c r="P103" t="s">
        <v>83</v>
      </c>
      <c r="Q103" t="s">
        <v>84</v>
      </c>
      <c r="R103">
        <v>63</v>
      </c>
      <c r="S103">
        <v>35349.4</v>
      </c>
      <c r="T103">
        <v>35637</v>
      </c>
      <c r="U103" s="1">
        <v>565.66666666666663</v>
      </c>
      <c r="V103" t="s">
        <v>85</v>
      </c>
      <c r="W103" s="43">
        <v>12</v>
      </c>
      <c r="X103">
        <v>44.117647058823529</v>
      </c>
      <c r="Y103">
        <v>5.8823529411764705E-2</v>
      </c>
      <c r="Z103">
        <v>176.47058823529412</v>
      </c>
      <c r="AA103">
        <v>1</v>
      </c>
      <c r="AB103">
        <v>6.3725490196078427</v>
      </c>
      <c r="AC103">
        <v>1.9607843137254902E-2</v>
      </c>
      <c r="AD103">
        <v>24.509803921568629</v>
      </c>
      <c r="AE103">
        <v>3.6764705882352939</v>
      </c>
      <c r="AF103">
        <v>3.9215686274509803E-2</v>
      </c>
      <c r="AG103" t="s">
        <v>86</v>
      </c>
      <c r="AH103">
        <v>147.058823529412</v>
      </c>
      <c r="AI103" s="1">
        <v>6.1784313725490199</v>
      </c>
      <c r="AJ103" s="1">
        <v>5.9823529411764698</v>
      </c>
      <c r="AK103" s="1">
        <v>5.4921568627450998</v>
      </c>
      <c r="AL103" s="1">
        <v>4.5117647058823502</v>
      </c>
      <c r="AM103" s="1">
        <v>4.5117647058823502</v>
      </c>
      <c r="AN103" s="1">
        <v>4.5117647058823502</v>
      </c>
      <c r="AO103" s="1">
        <v>4.5117647058823502</v>
      </c>
      <c r="AP103" s="1">
        <v>4.5117647058823502</v>
      </c>
      <c r="AQ103">
        <v>9</v>
      </c>
      <c r="AR103" t="s">
        <v>175</v>
      </c>
      <c r="AS103">
        <v>2</v>
      </c>
      <c r="AT103">
        <v>7</v>
      </c>
      <c r="AX103">
        <v>1</v>
      </c>
      <c r="AY103">
        <v>120</v>
      </c>
      <c r="AZ103">
        <v>0.06</v>
      </c>
      <c r="BA103" s="43" t="str">
        <f t="shared" si="2"/>
        <v>Economy</v>
      </c>
      <c r="BB103" s="46">
        <f>IFERROR((AD103+IF(Calculator_v2!$E$6*Y103&lt;X103,X103,IF(Calculator_v2!$E$6*Y103&gt;Z103,Z103,Calculator_v2!$E$6*Y103))+IF(Calculator_v2!$E$6*AC103&lt;AB103,AB103,Calculator_v2!$E$6*AC103)+IFERROR(_xlfn.LET(_xlpm.tarifa,IF(Calculator_v2!$E$6&lt;=$AI$1,AI103,IF(Calculator_v2!$E$6&lt;=$AK$1,AJ103,IF(Calculator_v2!$E$6&lt;=$AL$1,AK103,IF(Calculator_v2!$E$6&lt;=$AM$1,AL103,IF(Calculator_v2!$E$6&lt;=$AN$1,AM103,IF(Calculator_v2!$E$6&lt;=$AO$1,AN103,IF(Calculator_v2!$E$6&lt;=$AP$1,AO103,AP103))))))),_xlpm.resultado,_xlpm.tarifa*Calculator_v2!$E$6,IF(_xlpm.resultado&lt;AH103,AH103,_xlpm.resultado)),0)+IF(Calculator_v2!$E$6*AV103&lt;AU103,AU103,IF(Calculator_v2!$E$6*AV103&gt;AW103,AW103,Calculator_v2!$E$6*AV103))+IF(Calculator_v2!$E$6*AZ103&lt;=AY103,AY103,Calculator_v2!$E$6*AZ103)),0)</f>
        <v>2871.199999999998</v>
      </c>
      <c r="BC103" s="47">
        <f>IFERROR(+BB103/Calculator_v2!$E$6,0)+IFERROR(VLOOKUP(A103,DHL_ADDER!$B$4:$E$26,4,0),0)</f>
        <v>10.739999999999997</v>
      </c>
      <c r="BD103" s="48">
        <f t="shared" si="3"/>
        <v>7</v>
      </c>
      <c r="BE103" s="48">
        <f>+T[[#This Row],[Airport to Destination Transit Time Days]]+T[[#This Row],[Airport to Airport Transit Time Days]]+T[[#This Row],[Origin to Airport Transit Time in days]]</f>
        <v>11</v>
      </c>
    </row>
    <row r="104" spans="1:57" customFormat="1" x14ac:dyDescent="0.35">
      <c r="A104" t="str">
        <f>+T[[#This Row],[Provider_Name]]&amp;"_"&amp;T[[#This Row],[AXIS]]</f>
        <v>DHL_B_IN&gt;BR</v>
      </c>
      <c r="B104" t="s">
        <v>71</v>
      </c>
      <c r="C104" t="s">
        <v>164</v>
      </c>
      <c r="D104" t="s">
        <v>165</v>
      </c>
      <c r="E104" t="s">
        <v>166</v>
      </c>
      <c r="F104" t="s">
        <v>75</v>
      </c>
      <c r="G104" t="s">
        <v>167</v>
      </c>
      <c r="H104" t="s">
        <v>172</v>
      </c>
      <c r="I104" t="s">
        <v>173</v>
      </c>
      <c r="J104">
        <v>602117</v>
      </c>
      <c r="K104" t="s">
        <v>174</v>
      </c>
      <c r="L104" t="s">
        <v>79</v>
      </c>
      <c r="M104" t="s">
        <v>80</v>
      </c>
      <c r="N104" t="s">
        <v>81</v>
      </c>
      <c r="O104" t="s">
        <v>82</v>
      </c>
      <c r="P104" t="s">
        <v>89</v>
      </c>
      <c r="Q104" t="s">
        <v>84</v>
      </c>
      <c r="R104">
        <v>63</v>
      </c>
      <c r="S104">
        <v>35349.4</v>
      </c>
      <c r="T104">
        <v>35637</v>
      </c>
      <c r="U104" s="1">
        <v>565.66666666666663</v>
      </c>
      <c r="V104" t="s">
        <v>85</v>
      </c>
      <c r="W104" s="43">
        <v>11</v>
      </c>
      <c r="X104">
        <v>44.117647058823529</v>
      </c>
      <c r="Y104">
        <v>5.8823529411764705E-2</v>
      </c>
      <c r="Z104">
        <v>176.47058823529412</v>
      </c>
      <c r="AA104">
        <v>1</v>
      </c>
      <c r="AB104">
        <v>6.3725490196078427</v>
      </c>
      <c r="AC104">
        <v>1.9607843137254902E-2</v>
      </c>
      <c r="AD104">
        <v>24.509803921568629</v>
      </c>
      <c r="AE104">
        <v>3.6764705882352939</v>
      </c>
      <c r="AF104">
        <v>3.9215686274509803E-2</v>
      </c>
      <c r="AG104" t="s">
        <v>86</v>
      </c>
      <c r="AH104">
        <v>147.058823529412</v>
      </c>
      <c r="AI104" s="1">
        <v>9.8549019607843107</v>
      </c>
      <c r="AJ104" s="1">
        <v>8.7274509803921596</v>
      </c>
      <c r="AK104" s="1">
        <v>8.3352941176470594</v>
      </c>
      <c r="AL104" s="1">
        <v>6.7666666666666702</v>
      </c>
      <c r="AM104" s="1">
        <v>6.7666666666666702</v>
      </c>
      <c r="AN104" s="1">
        <v>6.7666666666666702</v>
      </c>
      <c r="AO104" s="1">
        <v>6.7666666666666702</v>
      </c>
      <c r="AP104" s="1">
        <v>6.7666666666666702</v>
      </c>
      <c r="AQ104">
        <v>9</v>
      </c>
      <c r="AR104" t="s">
        <v>175</v>
      </c>
      <c r="AS104">
        <v>2</v>
      </c>
      <c r="AT104">
        <v>7</v>
      </c>
      <c r="AX104">
        <v>1</v>
      </c>
      <c r="AY104">
        <v>120</v>
      </c>
      <c r="AZ104">
        <v>0.06</v>
      </c>
      <c r="BA104" s="43" t="str">
        <f t="shared" si="2"/>
        <v>Economy</v>
      </c>
      <c r="BB104" s="46">
        <f>IFERROR((AD104+IF(Calculator_v2!$E$6*Y104&lt;X104,X104,IF(Calculator_v2!$E$6*Y104&gt;Z104,Z104,Calculator_v2!$E$6*Y104))+IF(Calculator_v2!$E$6*AC104&lt;AB104,AB104,Calculator_v2!$E$6*AC104)+IFERROR(_xlfn.LET(_xlpm.tarifa,IF(Calculator_v2!$E$6&lt;=$AI$1,AI104,IF(Calculator_v2!$E$6&lt;=$AK$1,AJ104,IF(Calculator_v2!$E$6&lt;=$AL$1,AK104,IF(Calculator_v2!$E$6&lt;=$AM$1,AL104,IF(Calculator_v2!$E$6&lt;=$AN$1,AM104,IF(Calculator_v2!$E$6&lt;=$AO$1,AN104,IF(Calculator_v2!$E$6&lt;=$AP$1,AO104,AP104))))))),_xlpm.resultado,_xlpm.tarifa*Calculator_v2!$E$6,IF(_xlpm.resultado&lt;AH104,AH104,_xlpm.resultado)),0)+IF(Calculator_v2!$E$6*AV104&lt;AU104,AU104,IF(Calculator_v2!$E$6*AV104&gt;AW104,AW104,Calculator_v2!$E$6*AV104))+IF(Calculator_v2!$E$6*AZ104&lt;=AY104,AY104,Calculator_v2!$E$6*AZ104)),0)</f>
        <v>4206.1019607843155</v>
      </c>
      <c r="BC104" s="47">
        <f>IFERROR(+BB104/Calculator_v2!$E$6,0)+IFERROR(VLOOKUP(A104,DHL_ADDER!$B$4:$E$26,4,0),0)</f>
        <v>12.994901960784317</v>
      </c>
      <c r="BD104" s="48">
        <f t="shared" si="3"/>
        <v>7</v>
      </c>
      <c r="BE104" s="48">
        <f>+T[[#This Row],[Airport to Destination Transit Time Days]]+T[[#This Row],[Airport to Airport Transit Time Days]]+T[[#This Row],[Origin to Airport Transit Time in days]]</f>
        <v>11</v>
      </c>
    </row>
    <row r="105" spans="1:57" customFormat="1" x14ac:dyDescent="0.35">
      <c r="A105" t="str">
        <f>+T[[#This Row],[Provider_Name]]&amp;"_"&amp;T[[#This Row],[AXIS]]</f>
        <v>DHL_B_IN&gt;BR</v>
      </c>
      <c r="B105" t="s">
        <v>71</v>
      </c>
      <c r="C105" t="s">
        <v>164</v>
      </c>
      <c r="D105" t="s">
        <v>165</v>
      </c>
      <c r="E105" t="s">
        <v>166</v>
      </c>
      <c r="F105" t="s">
        <v>75</v>
      </c>
      <c r="G105" t="s">
        <v>167</v>
      </c>
      <c r="H105" t="s">
        <v>168</v>
      </c>
      <c r="I105" t="s">
        <v>169</v>
      </c>
      <c r="J105">
        <v>410507</v>
      </c>
      <c r="K105" t="s">
        <v>170</v>
      </c>
      <c r="L105" t="s">
        <v>79</v>
      </c>
      <c r="M105" t="s">
        <v>80</v>
      </c>
      <c r="N105" t="s">
        <v>81</v>
      </c>
      <c r="O105" t="s">
        <v>82</v>
      </c>
      <c r="P105" t="s">
        <v>83</v>
      </c>
      <c r="Q105" t="s">
        <v>84</v>
      </c>
      <c r="R105">
        <v>4</v>
      </c>
      <c r="S105">
        <v>399</v>
      </c>
      <c r="T105">
        <v>301.89499999999998</v>
      </c>
      <c r="U105" s="1">
        <v>75.473749999999995</v>
      </c>
      <c r="V105" t="s">
        <v>90</v>
      </c>
      <c r="W105" s="43">
        <v>8</v>
      </c>
      <c r="X105">
        <v>44.117647058823529</v>
      </c>
      <c r="Y105">
        <v>5.8823529411764705E-2</v>
      </c>
      <c r="Z105">
        <v>176.47058823529412</v>
      </c>
      <c r="AA105">
        <v>1</v>
      </c>
      <c r="AB105">
        <v>8.6274509803921564</v>
      </c>
      <c r="AC105">
        <v>3.9215686274509803E-2</v>
      </c>
      <c r="AD105">
        <v>24.509803921568629</v>
      </c>
      <c r="AE105">
        <v>3.6764705882352939</v>
      </c>
      <c r="AF105">
        <v>3.9215686274509803E-2</v>
      </c>
      <c r="AG105" t="s">
        <v>86</v>
      </c>
      <c r="AH105">
        <v>196.07843137254901</v>
      </c>
      <c r="AI105" s="1">
        <v>10.6882352941176</v>
      </c>
      <c r="AJ105" s="1">
        <v>9.8058823529411807</v>
      </c>
      <c r="AK105" s="1">
        <v>9.0705882352941192</v>
      </c>
      <c r="AL105" s="1">
        <v>8.3352941176470594</v>
      </c>
      <c r="AM105" s="1">
        <v>7.74705882352941</v>
      </c>
      <c r="AN105" s="1">
        <v>7.74705882352941</v>
      </c>
      <c r="AO105" s="1">
        <v>7.74705882352941</v>
      </c>
      <c r="AP105" s="1">
        <v>7.74705882352941</v>
      </c>
      <c r="AQ105">
        <v>4</v>
      </c>
      <c r="AR105" t="s">
        <v>171</v>
      </c>
      <c r="AS105">
        <v>1</v>
      </c>
      <c r="AT105">
        <v>7</v>
      </c>
      <c r="AX105">
        <v>1</v>
      </c>
      <c r="AY105">
        <v>120</v>
      </c>
      <c r="AZ105">
        <v>0.06</v>
      </c>
      <c r="BA105" s="43" t="str">
        <f t="shared" si="2"/>
        <v>Express</v>
      </c>
      <c r="BB105" s="46">
        <f>IFERROR((AD105+IF(Calculator_v2!$E$6*Y105&lt;X105,X105,IF(Calculator_v2!$E$6*Y105&gt;Z105,Z105,Calculator_v2!$E$6*Y105))+IF(Calculator_v2!$E$6*AC105&lt;AB105,AB105,Calculator_v2!$E$6*AC105)+IFERROR(_xlfn.LET(_xlpm.tarifa,IF(Calculator_v2!$E$6&lt;=$AI$1,AI105,IF(Calculator_v2!$E$6&lt;=$AK$1,AJ105,IF(Calculator_v2!$E$6&lt;=$AL$1,AK105,IF(Calculator_v2!$E$6&lt;=$AM$1,AL105,IF(Calculator_v2!$E$6&lt;=$AN$1,AM105,IF(Calculator_v2!$E$6&lt;=$AO$1,AN105,IF(Calculator_v2!$E$6&lt;=$AP$1,AO105,AP105))))))),_xlpm.resultado,_xlpm.tarifa*Calculator_v2!$E$6,IF(_xlpm.resultado&lt;AH105,AH105,_xlpm.resultado)),0)+IF(Calculator_v2!$E$6*AV105&lt;AU105,AU105,IF(Calculator_v2!$E$6*AV105&gt;AW105,AW105,Calculator_v2!$E$6*AV105))+IF(Calculator_v2!$E$6*AZ105&lt;=AY105,AY105,Calculator_v2!$E$6*AZ105)),0)</f>
        <v>4798.1019607843127</v>
      </c>
      <c r="BC105" s="47">
        <f>IFERROR(+BB105/Calculator_v2!$E$6,0)+IFERROR(VLOOKUP(A105,DHL_ADDER!$B$4:$E$26,4,0),0)</f>
        <v>13.994901960784311</v>
      </c>
      <c r="BD105" s="48">
        <f t="shared" si="3"/>
        <v>7</v>
      </c>
      <c r="BE105" s="48">
        <f>+T[[#This Row],[Airport to Destination Transit Time Days]]+T[[#This Row],[Airport to Airport Transit Time Days]]+T[[#This Row],[Origin to Airport Transit Time in days]]</f>
        <v>6</v>
      </c>
    </row>
    <row r="106" spans="1:57" customFormat="1" x14ac:dyDescent="0.35">
      <c r="A106" t="str">
        <f>+T[[#This Row],[Provider_Name]]&amp;"_"&amp;T[[#This Row],[AXIS]]</f>
        <v>DHL_B_IN&gt;BR</v>
      </c>
      <c r="B106" t="s">
        <v>71</v>
      </c>
      <c r="C106" t="s">
        <v>164</v>
      </c>
      <c r="D106" t="s">
        <v>165</v>
      </c>
      <c r="E106" t="s">
        <v>166</v>
      </c>
      <c r="F106" t="s">
        <v>75</v>
      </c>
      <c r="G106" t="s">
        <v>167</v>
      </c>
      <c r="H106" t="s">
        <v>168</v>
      </c>
      <c r="I106" t="s">
        <v>169</v>
      </c>
      <c r="J106">
        <v>410507</v>
      </c>
      <c r="K106" t="s">
        <v>170</v>
      </c>
      <c r="L106" t="s">
        <v>79</v>
      </c>
      <c r="M106" t="s">
        <v>80</v>
      </c>
      <c r="N106" t="s">
        <v>81</v>
      </c>
      <c r="O106" t="s">
        <v>82</v>
      </c>
      <c r="P106" t="s">
        <v>89</v>
      </c>
      <c r="Q106" t="s">
        <v>84</v>
      </c>
      <c r="R106">
        <v>4</v>
      </c>
      <c r="S106">
        <v>399</v>
      </c>
      <c r="T106">
        <v>301.89499999999998</v>
      </c>
      <c r="U106" s="1">
        <v>75.473749999999995</v>
      </c>
      <c r="V106" t="s">
        <v>90</v>
      </c>
      <c r="W106" s="43">
        <v>7</v>
      </c>
      <c r="X106">
        <v>44.117647058823529</v>
      </c>
      <c r="Y106">
        <v>5.8823529411764705E-2</v>
      </c>
      <c r="Z106">
        <v>176.47058823529412</v>
      </c>
      <c r="AA106">
        <v>1</v>
      </c>
      <c r="AB106">
        <v>8.6274509803921564</v>
      </c>
      <c r="AC106">
        <v>3.9215686274509803E-2</v>
      </c>
      <c r="AD106">
        <v>24.509803921568629</v>
      </c>
      <c r="AE106">
        <v>3.6764705882352939</v>
      </c>
      <c r="AF106">
        <v>3.9215686274509803E-2</v>
      </c>
      <c r="AG106" t="s">
        <v>86</v>
      </c>
      <c r="AH106">
        <v>196.07843137254901</v>
      </c>
      <c r="AI106" s="1">
        <v>10.766666666666699</v>
      </c>
      <c r="AJ106" s="1">
        <v>10.786274509803899</v>
      </c>
      <c r="AK106" s="1">
        <v>9.8058823529411807</v>
      </c>
      <c r="AL106" s="1">
        <v>9.4627450980392194</v>
      </c>
      <c r="AM106" s="1">
        <v>8.8745098039215708</v>
      </c>
      <c r="AN106" s="1">
        <v>8.8745098039215708</v>
      </c>
      <c r="AO106" s="1">
        <v>8.8745098039215708</v>
      </c>
      <c r="AP106" s="1">
        <v>8.8745098039215708</v>
      </c>
      <c r="AQ106">
        <v>5</v>
      </c>
      <c r="AR106" t="s">
        <v>171</v>
      </c>
      <c r="AS106">
        <v>1</v>
      </c>
      <c r="AT106">
        <v>7</v>
      </c>
      <c r="AX106">
        <v>1</v>
      </c>
      <c r="AY106">
        <v>120</v>
      </c>
      <c r="AZ106">
        <v>0.06</v>
      </c>
      <c r="BA106" s="43" t="str">
        <f t="shared" si="2"/>
        <v>Express</v>
      </c>
      <c r="BB106" s="46">
        <f>IFERROR((AD106+IF(Calculator_v2!$E$6*Y106&lt;X106,X106,IF(Calculator_v2!$E$6*Y106&gt;Z106,Z106,Calculator_v2!$E$6*Y106))+IF(Calculator_v2!$E$6*AC106&lt;AB106,AB106,Calculator_v2!$E$6*AC106)+IFERROR(_xlfn.LET(_xlpm.tarifa,IF(Calculator_v2!$E$6&lt;=$AI$1,AI106,IF(Calculator_v2!$E$6&lt;=$AK$1,AJ106,IF(Calculator_v2!$E$6&lt;=$AL$1,AK106,IF(Calculator_v2!$E$6&lt;=$AM$1,AL106,IF(Calculator_v2!$E$6&lt;=$AN$1,AM106,IF(Calculator_v2!$E$6&lt;=$AO$1,AN106,IF(Calculator_v2!$E$6&lt;=$AP$1,AO106,AP106))))))),_xlpm.resultado,_xlpm.tarifa*Calculator_v2!$E$6,IF(_xlpm.resultado&lt;AH106,AH106,_xlpm.resultado)),0)+IF(Calculator_v2!$E$6*AV106&lt;AU106,AU106,IF(Calculator_v2!$E$6*AV106&gt;AW106,AW106,Calculator_v2!$E$6*AV106))+IF(Calculator_v2!$E$6*AZ106&lt;=AY106,AY106,Calculator_v2!$E$6*AZ106)),0)</f>
        <v>5465.5529411764719</v>
      </c>
      <c r="BC106" s="47">
        <f>IFERROR(+BB106/Calculator_v2!$E$6,0)+IFERROR(VLOOKUP(A106,DHL_ADDER!$B$4:$E$26,4,0),0)</f>
        <v>15.122352941176473</v>
      </c>
      <c r="BD106" s="48">
        <f t="shared" si="3"/>
        <v>7</v>
      </c>
      <c r="BE106" s="48">
        <f>+T[[#This Row],[Airport to Destination Transit Time Days]]+T[[#This Row],[Airport to Airport Transit Time Days]]+T[[#This Row],[Origin to Airport Transit Time in days]]</f>
        <v>7</v>
      </c>
    </row>
    <row r="107" spans="1:57" customFormat="1" x14ac:dyDescent="0.35">
      <c r="A107" t="str">
        <f>+T[[#This Row],[Provider_Name]]&amp;"_"&amp;T[[#This Row],[AXIS]]</f>
        <v>DHL_B_IN&gt;BR</v>
      </c>
      <c r="B107" t="s">
        <v>71</v>
      </c>
      <c r="C107" t="s">
        <v>164</v>
      </c>
      <c r="D107" t="s">
        <v>165</v>
      </c>
      <c r="E107" t="s">
        <v>166</v>
      </c>
      <c r="F107" t="s">
        <v>75</v>
      </c>
      <c r="G107" t="s">
        <v>167</v>
      </c>
      <c r="H107" t="s">
        <v>172</v>
      </c>
      <c r="I107" t="s">
        <v>173</v>
      </c>
      <c r="J107">
        <v>602117</v>
      </c>
      <c r="K107" t="s">
        <v>174</v>
      </c>
      <c r="L107" t="s">
        <v>79</v>
      </c>
      <c r="M107" t="s">
        <v>80</v>
      </c>
      <c r="N107" t="s">
        <v>81</v>
      </c>
      <c r="O107" t="s">
        <v>82</v>
      </c>
      <c r="P107" t="s">
        <v>83</v>
      </c>
      <c r="Q107" t="s">
        <v>84</v>
      </c>
      <c r="R107">
        <v>63</v>
      </c>
      <c r="S107">
        <v>35349.4</v>
      </c>
      <c r="T107">
        <v>35637</v>
      </c>
      <c r="U107" s="1">
        <v>565.66666666666663</v>
      </c>
      <c r="V107" t="s">
        <v>90</v>
      </c>
      <c r="W107" s="43">
        <v>11</v>
      </c>
      <c r="X107">
        <v>44.117647058823529</v>
      </c>
      <c r="Y107">
        <v>5.8823529411764705E-2</v>
      </c>
      <c r="Z107">
        <v>176.47058823529412</v>
      </c>
      <c r="AA107">
        <v>1</v>
      </c>
      <c r="AB107">
        <v>6.3725490196078427</v>
      </c>
      <c r="AC107">
        <v>1.9607843137254902E-2</v>
      </c>
      <c r="AD107">
        <v>24.509803921568629</v>
      </c>
      <c r="AE107">
        <v>3.6764705882352939</v>
      </c>
      <c r="AF107">
        <v>3.9215686274509803E-2</v>
      </c>
      <c r="AG107" t="s">
        <v>86</v>
      </c>
      <c r="AH107">
        <v>196.07843137254901</v>
      </c>
      <c r="AI107" s="1">
        <v>10.6882352941176</v>
      </c>
      <c r="AJ107" s="1">
        <v>9.8058823529411807</v>
      </c>
      <c r="AK107" s="1">
        <v>9.0705882352941192</v>
      </c>
      <c r="AL107" s="1">
        <v>8.3352941176470594</v>
      </c>
      <c r="AM107" s="1">
        <v>7.74705882352941</v>
      </c>
      <c r="AN107" s="1">
        <v>7.74705882352941</v>
      </c>
      <c r="AO107" s="1">
        <v>7.74705882352941</v>
      </c>
      <c r="AP107" s="1">
        <v>7.74705882352941</v>
      </c>
      <c r="AQ107">
        <v>7</v>
      </c>
      <c r="AR107" t="s">
        <v>175</v>
      </c>
      <c r="AS107">
        <v>2</v>
      </c>
      <c r="AT107">
        <v>7</v>
      </c>
      <c r="AX107">
        <v>1</v>
      </c>
      <c r="AY107">
        <v>120</v>
      </c>
      <c r="AZ107">
        <v>0.06</v>
      </c>
      <c r="BA107" s="43" t="str">
        <f t="shared" si="2"/>
        <v>Express</v>
      </c>
      <c r="BB107" s="46">
        <f>IFERROR((AD107+IF(Calculator_v2!$E$6*Y107&lt;X107,X107,IF(Calculator_v2!$E$6*Y107&gt;Z107,Z107,Calculator_v2!$E$6*Y107))+IF(Calculator_v2!$E$6*AC107&lt;AB107,AB107,Calculator_v2!$E$6*AC107)+IFERROR(_xlfn.LET(_xlpm.tarifa,IF(Calculator_v2!$E$6&lt;=$AI$1,AI107,IF(Calculator_v2!$E$6&lt;=$AK$1,AJ107,IF(Calculator_v2!$E$6&lt;=$AL$1,AK107,IF(Calculator_v2!$E$6&lt;=$AM$1,AL107,IF(Calculator_v2!$E$6&lt;=$AN$1,AM107,IF(Calculator_v2!$E$6&lt;=$AO$1,AN107,IF(Calculator_v2!$E$6&lt;=$AP$1,AO107,AP107))))))),_xlpm.resultado,_xlpm.tarifa*Calculator_v2!$E$6,IF(_xlpm.resultado&lt;AH107,AH107,_xlpm.resultado)),0)+IF(Calculator_v2!$E$6*AV107&lt;AU107,AU107,IF(Calculator_v2!$E$6*AV107&gt;AW107,AW107,Calculator_v2!$E$6*AV107))+IF(Calculator_v2!$E$6*AZ107&lt;=AY107,AY107,Calculator_v2!$E$6*AZ107)),0)</f>
        <v>4786.4941176470575</v>
      </c>
      <c r="BC107" s="47">
        <f>IFERROR(+BB107/Calculator_v2!$E$6,0)+IFERROR(VLOOKUP(A107,DHL_ADDER!$B$4:$E$26,4,0),0)</f>
        <v>13.975294117647056</v>
      </c>
      <c r="BD107" s="48">
        <f t="shared" si="3"/>
        <v>7</v>
      </c>
      <c r="BE107" s="48">
        <f>+T[[#This Row],[Airport to Destination Transit Time Days]]+T[[#This Row],[Airport to Airport Transit Time Days]]+T[[#This Row],[Origin to Airport Transit Time in days]]</f>
        <v>9</v>
      </c>
    </row>
    <row r="108" spans="1:57" customFormat="1" x14ac:dyDescent="0.35">
      <c r="A108" t="str">
        <f>+T[[#This Row],[Provider_Name]]&amp;"_"&amp;T[[#This Row],[AXIS]]</f>
        <v>DHL_B_IN&gt;BR</v>
      </c>
      <c r="B108" t="s">
        <v>71</v>
      </c>
      <c r="C108" t="s">
        <v>164</v>
      </c>
      <c r="D108" t="s">
        <v>165</v>
      </c>
      <c r="E108" t="s">
        <v>166</v>
      </c>
      <c r="F108" t="s">
        <v>75</v>
      </c>
      <c r="G108" t="s">
        <v>167</v>
      </c>
      <c r="H108" t="s">
        <v>172</v>
      </c>
      <c r="I108" t="s">
        <v>173</v>
      </c>
      <c r="J108">
        <v>602117</v>
      </c>
      <c r="K108" t="s">
        <v>174</v>
      </c>
      <c r="L108" t="s">
        <v>79</v>
      </c>
      <c r="M108" t="s">
        <v>80</v>
      </c>
      <c r="N108" t="s">
        <v>81</v>
      </c>
      <c r="O108" t="s">
        <v>82</v>
      </c>
      <c r="P108" t="s">
        <v>89</v>
      </c>
      <c r="Q108" t="s">
        <v>84</v>
      </c>
      <c r="R108">
        <v>63</v>
      </c>
      <c r="S108">
        <v>35349.4</v>
      </c>
      <c r="T108">
        <v>35637</v>
      </c>
      <c r="U108" s="1">
        <v>565.66666666666663</v>
      </c>
      <c r="V108" t="s">
        <v>90</v>
      </c>
      <c r="W108" s="43">
        <v>7</v>
      </c>
      <c r="X108">
        <v>44.117647058823529</v>
      </c>
      <c r="Y108">
        <v>5.8823529411764705E-2</v>
      </c>
      <c r="Z108">
        <v>176.47058823529412</v>
      </c>
      <c r="AA108">
        <v>1</v>
      </c>
      <c r="AB108">
        <v>6.3725490196078427</v>
      </c>
      <c r="AC108">
        <v>1.9607843137254902E-2</v>
      </c>
      <c r="AD108">
        <v>24.509803921568629</v>
      </c>
      <c r="AE108">
        <v>3.6764705882352939</v>
      </c>
      <c r="AF108">
        <v>3.9215686274509803E-2</v>
      </c>
      <c r="AG108" t="s">
        <v>86</v>
      </c>
      <c r="AH108">
        <v>196.07843137254901</v>
      </c>
      <c r="AI108" s="1">
        <v>14.737254901960799</v>
      </c>
      <c r="AJ108" s="1">
        <v>14.423529411764701</v>
      </c>
      <c r="AK108" s="1">
        <v>13.8254901960784</v>
      </c>
      <c r="AL108" s="1">
        <v>12.2176470588235</v>
      </c>
      <c r="AM108" s="1">
        <v>11.8254901960784</v>
      </c>
      <c r="AN108" s="1">
        <v>11.8254901960784</v>
      </c>
      <c r="AO108" s="1">
        <v>11.8254901960784</v>
      </c>
      <c r="AP108" s="1">
        <v>11.8254901960784</v>
      </c>
      <c r="AQ108">
        <v>5</v>
      </c>
      <c r="AR108" t="s">
        <v>175</v>
      </c>
      <c r="AS108">
        <v>1</v>
      </c>
      <c r="AT108">
        <v>7</v>
      </c>
      <c r="AX108">
        <v>1</v>
      </c>
      <c r="AY108">
        <v>120</v>
      </c>
      <c r="AZ108">
        <v>0.06</v>
      </c>
      <c r="BA108" s="43" t="str">
        <f t="shared" si="2"/>
        <v>Express</v>
      </c>
      <c r="BB108" s="46">
        <f>IFERROR((AD108+IF(Calculator_v2!$E$6*Y108&lt;X108,X108,IF(Calculator_v2!$E$6*Y108&gt;Z108,Z108,Calculator_v2!$E$6*Y108))+IF(Calculator_v2!$E$6*AC108&lt;AB108,AB108,Calculator_v2!$E$6*AC108)+IFERROR(_xlfn.LET(_xlpm.tarifa,IF(Calculator_v2!$E$6&lt;=$AI$1,AI108,IF(Calculator_v2!$E$6&lt;=$AK$1,AJ108,IF(Calculator_v2!$E$6&lt;=$AL$1,AK108,IF(Calculator_v2!$E$6&lt;=$AM$1,AL108,IF(Calculator_v2!$E$6&lt;=$AN$1,AM108,IF(Calculator_v2!$E$6&lt;=$AO$1,AN108,IF(Calculator_v2!$E$6&lt;=$AP$1,AO108,AP108))))))),_xlpm.resultado,_xlpm.tarifa*Calculator_v2!$E$6,IF(_xlpm.resultado&lt;AH108,AH108,_xlpm.resultado)),0)+IF(Calculator_v2!$E$6*AV108&lt;AU108,AU108,IF(Calculator_v2!$E$6*AV108&gt;AW108,AW108,Calculator_v2!$E$6*AV108))+IF(Calculator_v2!$E$6*AZ108&lt;=AY108,AY108,Calculator_v2!$E$6*AZ108)),0)</f>
        <v>7200.9254901960594</v>
      </c>
      <c r="BC108" s="47">
        <f>IFERROR(+BB108/Calculator_v2!$E$6,0)+IFERROR(VLOOKUP(A108,DHL_ADDER!$B$4:$E$26,4,0),0)</f>
        <v>18.053725490196047</v>
      </c>
      <c r="BD108" s="48">
        <f t="shared" si="3"/>
        <v>7</v>
      </c>
      <c r="BE108" s="48">
        <f>+T[[#This Row],[Airport to Destination Transit Time Days]]+T[[#This Row],[Airport to Airport Transit Time Days]]+T[[#This Row],[Origin to Airport Transit Time in days]]</f>
        <v>7</v>
      </c>
    </row>
    <row r="109" spans="1:57" customFormat="1" x14ac:dyDescent="0.35">
      <c r="A109" t="str">
        <f>+T[[#This Row],[Provider_Name]]&amp;"_"&amp;T[[#This Row],[AXIS]]</f>
        <v>DHL_B_IN&gt;BR</v>
      </c>
      <c r="B109" t="s">
        <v>71</v>
      </c>
      <c r="C109" t="s">
        <v>164</v>
      </c>
      <c r="D109" t="s">
        <v>165</v>
      </c>
      <c r="E109" t="s">
        <v>166</v>
      </c>
      <c r="F109" t="s">
        <v>75</v>
      </c>
      <c r="G109" t="s">
        <v>167</v>
      </c>
      <c r="H109" t="s">
        <v>168</v>
      </c>
      <c r="I109" t="s">
        <v>169</v>
      </c>
      <c r="J109">
        <v>410507</v>
      </c>
      <c r="K109" t="s">
        <v>170</v>
      </c>
      <c r="L109" t="s">
        <v>79</v>
      </c>
      <c r="M109" t="s">
        <v>80</v>
      </c>
      <c r="N109" t="s">
        <v>81</v>
      </c>
      <c r="O109" t="s">
        <v>82</v>
      </c>
      <c r="P109" t="s">
        <v>83</v>
      </c>
      <c r="Q109" t="s">
        <v>84</v>
      </c>
      <c r="R109">
        <v>4</v>
      </c>
      <c r="S109">
        <v>399</v>
      </c>
      <c r="T109">
        <v>301.89499999999998</v>
      </c>
      <c r="U109" s="1">
        <v>75.473749999999995</v>
      </c>
      <c r="V109" t="s">
        <v>91</v>
      </c>
      <c r="W109" s="43">
        <v>9</v>
      </c>
      <c r="X109">
        <v>44.117647058823529</v>
      </c>
      <c r="Y109">
        <v>5.8823529411764705E-2</v>
      </c>
      <c r="Z109">
        <v>176.47058823529412</v>
      </c>
      <c r="AA109">
        <v>1</v>
      </c>
      <c r="AB109">
        <v>8.6274509803921564</v>
      </c>
      <c r="AC109">
        <v>3.9215686274509803E-2</v>
      </c>
      <c r="AD109">
        <v>24.509803921568629</v>
      </c>
      <c r="AE109">
        <v>3.6764705882352939</v>
      </c>
      <c r="AF109">
        <v>3.9215686274509803E-2</v>
      </c>
      <c r="AG109" t="s">
        <v>86</v>
      </c>
      <c r="AH109">
        <v>166.666666666667</v>
      </c>
      <c r="AI109" s="1">
        <v>7.3058823529411798</v>
      </c>
      <c r="AJ109" s="1">
        <v>6.8156862745098001</v>
      </c>
      <c r="AK109" s="1">
        <v>6.4725490196078397</v>
      </c>
      <c r="AL109" s="1">
        <v>6.0803921568627404</v>
      </c>
      <c r="AM109" s="1">
        <v>5.6882352941176499</v>
      </c>
      <c r="AN109" s="1">
        <v>5.6882352941176499</v>
      </c>
      <c r="AO109" s="1">
        <v>5.6882352941176499</v>
      </c>
      <c r="AP109" s="1">
        <v>5.6882352941176499</v>
      </c>
      <c r="AQ109">
        <v>5</v>
      </c>
      <c r="AR109" t="s">
        <v>171</v>
      </c>
      <c r="AS109">
        <v>1</v>
      </c>
      <c r="AT109">
        <v>7</v>
      </c>
      <c r="AX109">
        <v>1</v>
      </c>
      <c r="AY109">
        <v>120</v>
      </c>
      <c r="AZ109">
        <v>0.06</v>
      </c>
      <c r="BA109" s="43" t="str">
        <f t="shared" si="2"/>
        <v>Normal</v>
      </c>
      <c r="BB109" s="46">
        <f>IFERROR((AD109+IF(Calculator_v2!$E$6*Y109&lt;X109,X109,IF(Calculator_v2!$E$6*Y109&gt;Z109,Z109,Calculator_v2!$E$6*Y109))+IF(Calculator_v2!$E$6*AC109&lt;AB109,AB109,Calculator_v2!$E$6*AC109)+IFERROR(_xlfn.LET(_xlpm.tarifa,IF(Calculator_v2!$E$6&lt;=$AI$1,AI109,IF(Calculator_v2!$E$6&lt;=$AK$1,AJ109,IF(Calculator_v2!$E$6&lt;=$AL$1,AK109,IF(Calculator_v2!$E$6&lt;=$AM$1,AL109,IF(Calculator_v2!$E$6&lt;=$AN$1,AM109,IF(Calculator_v2!$E$6&lt;=$AO$1,AN109,IF(Calculator_v2!$E$6&lt;=$AP$1,AO109,AP109))))))),_xlpm.resultado,_xlpm.tarifa*Calculator_v2!$E$6,IF(_xlpm.resultado&lt;AH109,AH109,_xlpm.resultado)),0)+IF(Calculator_v2!$E$6*AV109&lt;AU109,AU109,IF(Calculator_v2!$E$6*AV109&gt;AW109,AW109,Calculator_v2!$E$6*AV109))+IF(Calculator_v2!$E$6*AZ109&lt;=AY109,AY109,Calculator_v2!$E$6*AZ109)),0)</f>
        <v>3579.278431372551</v>
      </c>
      <c r="BC109" s="47">
        <f>IFERROR(+BB109/Calculator_v2!$E$6,0)+IFERROR(VLOOKUP(A109,DHL_ADDER!$B$4:$E$26,4,0),0)</f>
        <v>11.936078431372552</v>
      </c>
      <c r="BD109" s="48">
        <f t="shared" si="3"/>
        <v>7</v>
      </c>
      <c r="BE109" s="48">
        <f>+T[[#This Row],[Airport to Destination Transit Time Days]]+T[[#This Row],[Airport to Airport Transit Time Days]]+T[[#This Row],[Origin to Airport Transit Time in days]]</f>
        <v>7</v>
      </c>
    </row>
    <row r="110" spans="1:57" customFormat="1" x14ac:dyDescent="0.35">
      <c r="A110" t="str">
        <f>+T[[#This Row],[Provider_Name]]&amp;"_"&amp;T[[#This Row],[AXIS]]</f>
        <v>DHL_B_IN&gt;BR</v>
      </c>
      <c r="B110" t="s">
        <v>71</v>
      </c>
      <c r="C110" t="s">
        <v>164</v>
      </c>
      <c r="D110" t="s">
        <v>165</v>
      </c>
      <c r="E110" t="s">
        <v>166</v>
      </c>
      <c r="F110" t="s">
        <v>75</v>
      </c>
      <c r="G110" t="s">
        <v>167</v>
      </c>
      <c r="H110" t="s">
        <v>168</v>
      </c>
      <c r="I110" t="s">
        <v>169</v>
      </c>
      <c r="J110">
        <v>410507</v>
      </c>
      <c r="K110" t="s">
        <v>170</v>
      </c>
      <c r="L110" t="s">
        <v>79</v>
      </c>
      <c r="M110" t="s">
        <v>80</v>
      </c>
      <c r="N110" t="s">
        <v>81</v>
      </c>
      <c r="O110" t="s">
        <v>82</v>
      </c>
      <c r="P110" t="s">
        <v>89</v>
      </c>
      <c r="Q110" t="s">
        <v>84</v>
      </c>
      <c r="R110">
        <v>4</v>
      </c>
      <c r="S110">
        <v>399</v>
      </c>
      <c r="T110">
        <v>301.89499999999998</v>
      </c>
      <c r="U110" s="1">
        <v>75.473749999999995</v>
      </c>
      <c r="V110" t="s">
        <v>91</v>
      </c>
      <c r="W110" s="43">
        <v>9</v>
      </c>
      <c r="X110">
        <v>44.117647058823529</v>
      </c>
      <c r="Y110">
        <v>5.8823529411764705E-2</v>
      </c>
      <c r="Z110">
        <v>176.47058823529412</v>
      </c>
      <c r="AA110">
        <v>1</v>
      </c>
      <c r="AB110">
        <v>8.6274509803921564</v>
      </c>
      <c r="AC110">
        <v>3.9215686274509803E-2</v>
      </c>
      <c r="AD110">
        <v>24.509803921568629</v>
      </c>
      <c r="AE110">
        <v>3.6764705882352939</v>
      </c>
      <c r="AF110">
        <v>3.9215686274509803E-2</v>
      </c>
      <c r="AG110" t="s">
        <v>86</v>
      </c>
      <c r="AH110">
        <v>166.666666666667</v>
      </c>
      <c r="AI110" s="1">
        <v>9.9039215686274495</v>
      </c>
      <c r="AJ110" s="1">
        <v>9.6980392156862703</v>
      </c>
      <c r="AK110" s="1">
        <v>9.2960784313725497</v>
      </c>
      <c r="AL110" s="1">
        <v>8.2274509803921596</v>
      </c>
      <c r="AM110" s="1">
        <v>7.463636363636363</v>
      </c>
      <c r="AN110" s="1">
        <v>7.463636363636363</v>
      </c>
      <c r="AO110" s="1">
        <v>7.463636363636363</v>
      </c>
      <c r="AP110" s="1">
        <v>7.463636363636363</v>
      </c>
      <c r="AQ110">
        <v>7</v>
      </c>
      <c r="AR110" t="s">
        <v>171</v>
      </c>
      <c r="AS110">
        <v>2</v>
      </c>
      <c r="AT110">
        <v>7</v>
      </c>
      <c r="AX110">
        <v>1</v>
      </c>
      <c r="AY110">
        <v>120</v>
      </c>
      <c r="AZ110">
        <v>0.06</v>
      </c>
      <c r="BA110" s="43" t="str">
        <f t="shared" si="2"/>
        <v>Normal</v>
      </c>
      <c r="BB110" s="46">
        <f>IFERROR((AD110+IF(Calculator_v2!$E$6*Y110&lt;X110,X110,IF(Calculator_v2!$E$6*Y110&gt;Z110,Z110,Calculator_v2!$E$6*Y110))+IF(Calculator_v2!$E$6*AC110&lt;AB110,AB110,Calculator_v2!$E$6*AC110)+IFERROR(_xlfn.LET(_xlpm.tarifa,IF(Calculator_v2!$E$6&lt;=$AI$1,AI110,IF(Calculator_v2!$E$6&lt;=$AK$1,AJ110,IF(Calculator_v2!$E$6&lt;=$AL$1,AK110,IF(Calculator_v2!$E$6&lt;=$AM$1,AL110,IF(Calculator_v2!$E$6&lt;=$AN$1,AM110,IF(Calculator_v2!$E$6&lt;=$AO$1,AN110,IF(Calculator_v2!$E$6&lt;=$AP$1,AO110,AP110))))))),_xlpm.resultado,_xlpm.tarifa*Calculator_v2!$E$6,IF(_xlpm.resultado&lt;AH110,AH110,_xlpm.resultado)),0)+IF(Calculator_v2!$E$6*AV110&lt;AU110,AU110,IF(Calculator_v2!$E$6*AV110&gt;AW110,AW110,Calculator_v2!$E$6*AV110))+IF(Calculator_v2!$E$6*AZ110&lt;=AY110,AY110,Calculator_v2!$E$6*AZ110)),0)</f>
        <v>4630.3158645276289</v>
      </c>
      <c r="BC110" s="47">
        <f>IFERROR(+BB110/Calculator_v2!$E$6,0)+IFERROR(VLOOKUP(A110,DHL_ADDER!$B$4:$E$26,4,0),0)</f>
        <v>13.711479500891265</v>
      </c>
      <c r="BD110" s="48">
        <f t="shared" si="3"/>
        <v>7</v>
      </c>
      <c r="BE110" s="48">
        <f>+T[[#This Row],[Airport to Destination Transit Time Days]]+T[[#This Row],[Airport to Airport Transit Time Days]]+T[[#This Row],[Origin to Airport Transit Time in days]]</f>
        <v>9</v>
      </c>
    </row>
    <row r="111" spans="1:57" customFormat="1" x14ac:dyDescent="0.35">
      <c r="A111" t="str">
        <f>+T[[#This Row],[Provider_Name]]&amp;"_"&amp;T[[#This Row],[AXIS]]</f>
        <v>DHL_B_IN&gt;BR</v>
      </c>
      <c r="B111" t="s">
        <v>71</v>
      </c>
      <c r="C111" t="s">
        <v>164</v>
      </c>
      <c r="D111" t="s">
        <v>165</v>
      </c>
      <c r="E111" t="s">
        <v>166</v>
      </c>
      <c r="F111" t="s">
        <v>75</v>
      </c>
      <c r="G111" t="s">
        <v>167</v>
      </c>
      <c r="H111" t="s">
        <v>172</v>
      </c>
      <c r="I111" t="s">
        <v>173</v>
      </c>
      <c r="J111">
        <v>602117</v>
      </c>
      <c r="K111" t="s">
        <v>174</v>
      </c>
      <c r="L111" t="s">
        <v>79</v>
      </c>
      <c r="M111" t="s">
        <v>80</v>
      </c>
      <c r="N111" t="s">
        <v>81</v>
      </c>
      <c r="O111" t="s">
        <v>82</v>
      </c>
      <c r="P111" t="s">
        <v>83</v>
      </c>
      <c r="Q111" t="s">
        <v>84</v>
      </c>
      <c r="R111">
        <v>63</v>
      </c>
      <c r="S111">
        <v>35349.4</v>
      </c>
      <c r="T111">
        <v>35637</v>
      </c>
      <c r="U111" s="1">
        <v>565.66666666666663</v>
      </c>
      <c r="V111" t="s">
        <v>91</v>
      </c>
      <c r="W111" s="43">
        <v>11</v>
      </c>
      <c r="X111">
        <v>44.117647058823529</v>
      </c>
      <c r="Y111">
        <v>5.8823529411764705E-2</v>
      </c>
      <c r="Z111">
        <v>176.47058823529412</v>
      </c>
      <c r="AA111">
        <v>1</v>
      </c>
      <c r="AB111">
        <v>6.3725490196078427</v>
      </c>
      <c r="AC111">
        <v>1.9607843137254902E-2</v>
      </c>
      <c r="AD111">
        <v>24.509803921568629</v>
      </c>
      <c r="AE111">
        <v>3.6764705882352939</v>
      </c>
      <c r="AF111">
        <v>3.9215686274509803E-2</v>
      </c>
      <c r="AG111" t="s">
        <v>86</v>
      </c>
      <c r="AH111">
        <v>166.666666666667</v>
      </c>
      <c r="AI111" s="1">
        <v>7.3058823529411798</v>
      </c>
      <c r="AJ111" s="1">
        <v>6.8156862745098001</v>
      </c>
      <c r="AK111" s="1">
        <v>6.4725490196078397</v>
      </c>
      <c r="AL111" s="1">
        <v>6.0803921568627404</v>
      </c>
      <c r="AM111" s="1">
        <v>5.6454545454545455</v>
      </c>
      <c r="AN111" s="1">
        <v>5.6454545454545455</v>
      </c>
      <c r="AO111" s="1">
        <v>5.6454545454545455</v>
      </c>
      <c r="AP111" s="1">
        <v>5.6454545454545455</v>
      </c>
      <c r="AQ111">
        <v>7</v>
      </c>
      <c r="AR111" t="s">
        <v>175</v>
      </c>
      <c r="AS111">
        <v>2</v>
      </c>
      <c r="AT111">
        <v>7</v>
      </c>
      <c r="AX111">
        <v>1</v>
      </c>
      <c r="AY111">
        <v>120</v>
      </c>
      <c r="AZ111">
        <v>0.06</v>
      </c>
      <c r="BA111" s="43" t="str">
        <f t="shared" si="2"/>
        <v>Normal</v>
      </c>
      <c r="BB111" s="46">
        <f>IFERROR((AD111+IF(Calculator_v2!$E$6*Y111&lt;X111,X111,IF(Calculator_v2!$E$6*Y111&gt;Z111,Z111,Calculator_v2!$E$6*Y111))+IF(Calculator_v2!$E$6*AC111&lt;AB111,AB111,Calculator_v2!$E$6*AC111)+IFERROR(_xlfn.LET(_xlpm.tarifa,IF(Calculator_v2!$E$6&lt;=$AI$1,AI111,IF(Calculator_v2!$E$6&lt;=$AK$1,AJ111,IF(Calculator_v2!$E$6&lt;=$AL$1,AK111,IF(Calculator_v2!$E$6&lt;=$AM$1,AL111,IF(Calculator_v2!$E$6&lt;=$AN$1,AM111,IF(Calculator_v2!$E$6&lt;=$AO$1,AN111,IF(Calculator_v2!$E$6&lt;=$AP$1,AO111,AP111))))))),_xlpm.resultado,_xlpm.tarifa*Calculator_v2!$E$6,IF(_xlpm.resultado&lt;AH111,AH111,_xlpm.resultado)),0)+IF(Calculator_v2!$E$6*AV111&lt;AU111,AU111,IF(Calculator_v2!$E$6*AV111&gt;AW111,AW111,Calculator_v2!$E$6*AV111))+IF(Calculator_v2!$E$6*AZ111&lt;=AY111,AY111,Calculator_v2!$E$6*AZ111)),0)</f>
        <v>3542.3443850267377</v>
      </c>
      <c r="BC111" s="47">
        <f>IFERROR(+BB111/Calculator_v2!$E$6,0)+IFERROR(VLOOKUP(A111,DHL_ADDER!$B$4:$E$26,4,0),0)</f>
        <v>11.873689839572192</v>
      </c>
      <c r="BD111" s="48">
        <f t="shared" si="3"/>
        <v>7</v>
      </c>
      <c r="BE111" s="48">
        <f>+T[[#This Row],[Airport to Destination Transit Time Days]]+T[[#This Row],[Airport to Airport Transit Time Days]]+T[[#This Row],[Origin to Airport Transit Time in days]]</f>
        <v>9</v>
      </c>
    </row>
    <row r="112" spans="1:57" customFormat="1" x14ac:dyDescent="0.35">
      <c r="A112" t="str">
        <f>+T[[#This Row],[Provider_Name]]&amp;"_"&amp;T[[#This Row],[AXIS]]</f>
        <v>DHL_B_IN&gt;BR</v>
      </c>
      <c r="B112" t="s">
        <v>71</v>
      </c>
      <c r="C112" t="s">
        <v>164</v>
      </c>
      <c r="D112" t="s">
        <v>165</v>
      </c>
      <c r="E112" t="s">
        <v>166</v>
      </c>
      <c r="F112" t="s">
        <v>75</v>
      </c>
      <c r="G112" t="s">
        <v>167</v>
      </c>
      <c r="H112" t="s">
        <v>172</v>
      </c>
      <c r="I112" t="s">
        <v>173</v>
      </c>
      <c r="J112">
        <v>602117</v>
      </c>
      <c r="K112" t="s">
        <v>174</v>
      </c>
      <c r="L112" t="s">
        <v>79</v>
      </c>
      <c r="M112" t="s">
        <v>80</v>
      </c>
      <c r="N112" t="s">
        <v>81</v>
      </c>
      <c r="O112" t="s">
        <v>82</v>
      </c>
      <c r="P112" t="s">
        <v>89</v>
      </c>
      <c r="Q112" t="s">
        <v>84</v>
      </c>
      <c r="R112">
        <v>63</v>
      </c>
      <c r="S112">
        <v>35349.4</v>
      </c>
      <c r="T112">
        <v>35637</v>
      </c>
      <c r="U112" s="1">
        <v>565.66666666666663</v>
      </c>
      <c r="V112" t="s">
        <v>91</v>
      </c>
      <c r="W112" s="43">
        <v>12</v>
      </c>
      <c r="X112">
        <v>44.117647058823529</v>
      </c>
      <c r="Y112">
        <v>5.8823529411764705E-2</v>
      </c>
      <c r="Z112">
        <v>176.47058823529412</v>
      </c>
      <c r="AA112">
        <v>1</v>
      </c>
      <c r="AB112">
        <v>6.3725490196078427</v>
      </c>
      <c r="AC112">
        <v>1.9607843137254902E-2</v>
      </c>
      <c r="AD112">
        <v>24.509803921568629</v>
      </c>
      <c r="AE112">
        <v>3.6764705882352939</v>
      </c>
      <c r="AF112">
        <v>3.9215686274509803E-2</v>
      </c>
      <c r="AG112" t="s">
        <v>86</v>
      </c>
      <c r="AH112">
        <v>166.666666666667</v>
      </c>
      <c r="AI112" s="1">
        <v>9.9039215686274495</v>
      </c>
      <c r="AJ112" s="1">
        <v>9.6980392156862703</v>
      </c>
      <c r="AK112" s="1">
        <v>9.2960784313725497</v>
      </c>
      <c r="AL112" s="1">
        <v>8.2274509803921596</v>
      </c>
      <c r="AM112" s="1">
        <v>7.9627450980392096</v>
      </c>
      <c r="AN112" s="1">
        <v>7.9627450980392096</v>
      </c>
      <c r="AO112" s="1">
        <v>7.9627450980392096</v>
      </c>
      <c r="AP112" s="1">
        <v>7.9627450980392096</v>
      </c>
      <c r="AQ112">
        <v>11</v>
      </c>
      <c r="AR112" t="s">
        <v>175</v>
      </c>
      <c r="AS112">
        <v>2</v>
      </c>
      <c r="AT112">
        <v>7</v>
      </c>
      <c r="AX112">
        <v>1</v>
      </c>
      <c r="AY112">
        <v>120</v>
      </c>
      <c r="AZ112">
        <v>0.06</v>
      </c>
      <c r="BA112" s="43" t="str">
        <f t="shared" si="2"/>
        <v>Normal</v>
      </c>
      <c r="BB112" s="46">
        <f>IFERROR((AD112+IF(Calculator_v2!$E$6*Y112&lt;X112,X112,IF(Calculator_v2!$E$6*Y112&gt;Z112,Z112,Calculator_v2!$E$6*Y112))+IF(Calculator_v2!$E$6*AC112&lt;AB112,AB112,Calculator_v2!$E$6*AC112)+IFERROR(_xlfn.LET(_xlpm.tarifa,IF(Calculator_v2!$E$6&lt;=$AI$1,AI112,IF(Calculator_v2!$E$6&lt;=$AK$1,AJ112,IF(Calculator_v2!$E$6&lt;=$AL$1,AK112,IF(Calculator_v2!$E$6&lt;=$AM$1,AL112,IF(Calculator_v2!$E$6&lt;=$AN$1,AM112,IF(Calculator_v2!$E$6&lt;=$AO$1,AN112,IF(Calculator_v2!$E$6&lt;=$AP$1,AO112,AP112))))))),_xlpm.resultado,_xlpm.tarifa*Calculator_v2!$E$6,IF(_xlpm.resultado&lt;AH112,AH112,_xlpm.resultado)),0)+IF(Calculator_v2!$E$6*AV112&lt;AU112,AU112,IF(Calculator_v2!$E$6*AV112&gt;AW112,AW112,Calculator_v2!$E$6*AV112))+IF(Calculator_v2!$E$6*AZ112&lt;=AY112,AY112,Calculator_v2!$E$6*AZ112)),0)</f>
        <v>4914.1803921568589</v>
      </c>
      <c r="BC112" s="47">
        <f>IFERROR(+BB112/Calculator_v2!$E$6,0)+IFERROR(VLOOKUP(A112,DHL_ADDER!$B$4:$E$26,4,0),0)</f>
        <v>14.190980392156856</v>
      </c>
      <c r="BD112" s="48">
        <f t="shared" si="3"/>
        <v>7</v>
      </c>
      <c r="BE112" s="48">
        <f>+T[[#This Row],[Airport to Destination Transit Time Days]]+T[[#This Row],[Airport to Airport Transit Time Days]]+T[[#This Row],[Origin to Airport Transit Time in days]]</f>
        <v>13</v>
      </c>
    </row>
    <row r="113" spans="1:57" customFormat="1" x14ac:dyDescent="0.35">
      <c r="A113" t="str">
        <f>+T[[#This Row],[Provider_Name]]&amp;"_"&amp;T[[#This Row],[AXIS]]</f>
        <v>DHL_B_IN&gt;BR</v>
      </c>
      <c r="B113" t="s">
        <v>71</v>
      </c>
      <c r="C113" t="s">
        <v>164</v>
      </c>
      <c r="D113" t="s">
        <v>165</v>
      </c>
      <c r="E113" t="s">
        <v>166</v>
      </c>
      <c r="F113" t="s">
        <v>92</v>
      </c>
      <c r="G113" t="s">
        <v>167</v>
      </c>
      <c r="H113" t="s">
        <v>168</v>
      </c>
      <c r="I113" t="s">
        <v>169</v>
      </c>
      <c r="J113">
        <v>410507</v>
      </c>
      <c r="K113" t="s">
        <v>170</v>
      </c>
      <c r="L113" t="s">
        <v>79</v>
      </c>
      <c r="M113" t="s">
        <v>80</v>
      </c>
      <c r="N113" t="s">
        <v>81</v>
      </c>
      <c r="O113" t="s">
        <v>82</v>
      </c>
      <c r="P113" t="s">
        <v>93</v>
      </c>
      <c r="Q113" t="s">
        <v>84</v>
      </c>
      <c r="R113">
        <v>4</v>
      </c>
      <c r="S113">
        <v>399</v>
      </c>
      <c r="T113">
        <v>301.89499999999998</v>
      </c>
      <c r="U113" s="1">
        <v>75.473749999999995</v>
      </c>
      <c r="V113" t="s">
        <v>85</v>
      </c>
      <c r="W113" s="43">
        <v>10</v>
      </c>
      <c r="X113">
        <v>44.117647058823529</v>
      </c>
      <c r="Y113">
        <v>5.8823529411764705E-2</v>
      </c>
      <c r="Z113">
        <v>176.47058823529412</v>
      </c>
      <c r="AA113">
        <v>1</v>
      </c>
      <c r="AB113">
        <v>8.6274509803921564</v>
      </c>
      <c r="AC113">
        <v>3.9215686274509803E-2</v>
      </c>
      <c r="AD113">
        <v>24.509803921568629</v>
      </c>
      <c r="AE113">
        <v>3.6764705882352939</v>
      </c>
      <c r="AF113">
        <v>3.9215686274509803E-2</v>
      </c>
      <c r="AG113" t="s">
        <v>86</v>
      </c>
      <c r="AH113">
        <v>147.058823529412</v>
      </c>
      <c r="AI113" s="1">
        <v>7.2568627450980401</v>
      </c>
      <c r="AJ113" s="1">
        <v>6.7666666666666702</v>
      </c>
      <c r="AK113" s="1">
        <v>6.2274509803921596</v>
      </c>
      <c r="AL113" s="1">
        <v>5.7862745098039197</v>
      </c>
      <c r="AM113" s="1">
        <v>5.0999999999999996</v>
      </c>
      <c r="AN113" s="1">
        <v>5.0999999999999996</v>
      </c>
      <c r="AO113" s="1">
        <v>5.0999999999999996</v>
      </c>
      <c r="AP113" s="1">
        <v>5.0999999999999996</v>
      </c>
      <c r="AQ113">
        <v>6</v>
      </c>
      <c r="AR113" t="s">
        <v>171</v>
      </c>
      <c r="AS113">
        <v>2</v>
      </c>
      <c r="AT113">
        <v>7</v>
      </c>
      <c r="AX113">
        <v>1</v>
      </c>
      <c r="AY113">
        <v>120</v>
      </c>
      <c r="AZ113">
        <v>0.06</v>
      </c>
      <c r="BA113" s="43" t="str">
        <f t="shared" si="2"/>
        <v>Economy</v>
      </c>
      <c r="BB113" s="46">
        <f>IFERROR((AD113+IF(Calculator_v2!$E$6*Y113&lt;X113,X113,IF(Calculator_v2!$E$6*Y113&gt;Z113,Z113,Calculator_v2!$E$6*Y113))+IF(Calculator_v2!$E$6*AC113&lt;AB113,AB113,Calculator_v2!$E$6*AC113)+IFERROR(_xlfn.LET(_xlpm.tarifa,IF(Calculator_v2!$E$6&lt;=$AI$1,AI113,IF(Calculator_v2!$E$6&lt;=$AK$1,AJ113,IF(Calculator_v2!$E$6&lt;=$AL$1,AK113,IF(Calculator_v2!$E$6&lt;=$AM$1,AL113,IF(Calculator_v2!$E$6&lt;=$AN$1,AM113,IF(Calculator_v2!$E$6&lt;=$AO$1,AN113,IF(Calculator_v2!$E$6&lt;=$AP$1,AO113,AP113))))))),_xlpm.resultado,_xlpm.tarifa*Calculator_v2!$E$6,IF(_xlpm.resultado&lt;AH113,AH113,_xlpm.resultado)),0)+IF(Calculator_v2!$E$6*AV113&lt;AU113,AU113,IF(Calculator_v2!$E$6*AV113&gt;AW113,AW113,Calculator_v2!$E$6*AV113))+IF(Calculator_v2!$E$6*AZ113&lt;=AY113,AY113,Calculator_v2!$E$6*AZ113)),0)</f>
        <v>3231.0431372549019</v>
      </c>
      <c r="BC113" s="47">
        <f>IFERROR(+BB113/Calculator_v2!$E$6,0)+IFERROR(VLOOKUP(A113,DHL_ADDER!$B$4:$E$26,4,0),0)</f>
        <v>11.347843137254902</v>
      </c>
      <c r="BD113" s="48">
        <f t="shared" si="3"/>
        <v>7</v>
      </c>
      <c r="BE113" s="48">
        <f>+T[[#This Row],[Airport to Destination Transit Time Days]]+T[[#This Row],[Airport to Airport Transit Time Days]]+T[[#This Row],[Origin to Airport Transit Time in days]]</f>
        <v>8</v>
      </c>
    </row>
    <row r="114" spans="1:57" customFormat="1" x14ac:dyDescent="0.35">
      <c r="A114" t="str">
        <f>+T[[#This Row],[Provider_Name]]&amp;"_"&amp;T[[#This Row],[AXIS]]</f>
        <v>DHL_B_IN&gt;BR</v>
      </c>
      <c r="B114" t="s">
        <v>71</v>
      </c>
      <c r="C114" t="s">
        <v>164</v>
      </c>
      <c r="D114" t="s">
        <v>165</v>
      </c>
      <c r="E114" t="s">
        <v>166</v>
      </c>
      <c r="F114" t="s">
        <v>92</v>
      </c>
      <c r="G114" t="s">
        <v>167</v>
      </c>
      <c r="H114" t="s">
        <v>172</v>
      </c>
      <c r="I114" t="s">
        <v>173</v>
      </c>
      <c r="J114">
        <v>602117</v>
      </c>
      <c r="K114" t="s">
        <v>174</v>
      </c>
      <c r="L114" t="s">
        <v>79</v>
      </c>
      <c r="M114" t="s">
        <v>80</v>
      </c>
      <c r="N114" t="s">
        <v>81</v>
      </c>
      <c r="O114" t="s">
        <v>82</v>
      </c>
      <c r="P114" t="s">
        <v>93</v>
      </c>
      <c r="Q114" t="s">
        <v>84</v>
      </c>
      <c r="R114">
        <v>63</v>
      </c>
      <c r="S114">
        <v>35349.4</v>
      </c>
      <c r="T114">
        <v>35637</v>
      </c>
      <c r="U114" s="1">
        <v>565.66666666666663</v>
      </c>
      <c r="V114" t="s">
        <v>85</v>
      </c>
      <c r="W114" s="43">
        <v>12</v>
      </c>
      <c r="X114">
        <v>44.117647058823529</v>
      </c>
      <c r="Y114">
        <v>5.8823529411764705E-2</v>
      </c>
      <c r="Z114">
        <v>176.47058823529412</v>
      </c>
      <c r="AA114">
        <v>1</v>
      </c>
      <c r="AB114">
        <v>6.3725490196078427</v>
      </c>
      <c r="AC114">
        <v>1.9607843137254902E-2</v>
      </c>
      <c r="AD114">
        <v>24.509803921568629</v>
      </c>
      <c r="AE114">
        <v>3.6764705882352939</v>
      </c>
      <c r="AF114">
        <v>3.9215686274509803E-2</v>
      </c>
      <c r="AG114" t="s">
        <v>86</v>
      </c>
      <c r="AH114">
        <v>147.058823529412</v>
      </c>
      <c r="AI114" s="1">
        <v>6.4725490196078423</v>
      </c>
      <c r="AJ114" s="1">
        <v>5.4921568627450972</v>
      </c>
      <c r="AK114" s="1">
        <v>5.4921568627450972</v>
      </c>
      <c r="AL114" s="1">
        <v>4.4137254901960778</v>
      </c>
      <c r="AM114" s="1">
        <v>5.0090909090909088</v>
      </c>
      <c r="AN114" s="1">
        <v>5.0090909090909088</v>
      </c>
      <c r="AO114" s="1">
        <v>5.0090909090909088</v>
      </c>
      <c r="AP114" s="1">
        <v>5.0090909090909088</v>
      </c>
      <c r="AQ114">
        <v>8</v>
      </c>
      <c r="AR114" t="s">
        <v>175</v>
      </c>
      <c r="AS114">
        <v>2</v>
      </c>
      <c r="AT114">
        <v>7</v>
      </c>
      <c r="AX114">
        <v>1</v>
      </c>
      <c r="AY114">
        <v>120</v>
      </c>
      <c r="AZ114">
        <v>0.06</v>
      </c>
      <c r="BA114" s="43" t="str">
        <f t="shared" si="2"/>
        <v>Economy</v>
      </c>
      <c r="BB114" s="46">
        <f>IFERROR((AD114+IF(Calculator_v2!$E$6*Y114&lt;X114,X114,IF(Calculator_v2!$E$6*Y114&gt;Z114,Z114,Calculator_v2!$E$6*Y114))+IF(Calculator_v2!$E$6*AC114&lt;AB114,AB114,Calculator_v2!$E$6*AC114)+IFERROR(_xlfn.LET(_xlpm.tarifa,IF(Calculator_v2!$E$6&lt;=$AI$1,AI114,IF(Calculator_v2!$E$6&lt;=$AK$1,AJ114,IF(Calculator_v2!$E$6&lt;=$AL$1,AK114,IF(Calculator_v2!$E$6&lt;=$AM$1,AL114,IF(Calculator_v2!$E$6&lt;=$AN$1,AM114,IF(Calculator_v2!$E$6&lt;=$AO$1,AN114,IF(Calculator_v2!$E$6&lt;=$AP$1,AO114,AP114))))))),_xlpm.resultado,_xlpm.tarifa*Calculator_v2!$E$6,IF(_xlpm.resultado&lt;AH114,AH114,_xlpm.resultado)),0)+IF(Calculator_v2!$E$6*AV114&lt;AU114,AU114,IF(Calculator_v2!$E$6*AV114&gt;AW114,AW114,Calculator_v2!$E$6*AV114))+IF(Calculator_v2!$E$6*AZ114&lt;=AY114,AY114,Calculator_v2!$E$6*AZ114)),0)</f>
        <v>3165.6171122994647</v>
      </c>
      <c r="BC114" s="47">
        <f>IFERROR(+BB114/Calculator_v2!$E$6,0)+IFERROR(VLOOKUP(A114,DHL_ADDER!$B$4:$E$26,4,0),0)</f>
        <v>11.237326203208555</v>
      </c>
      <c r="BD114" s="48">
        <f t="shared" si="3"/>
        <v>7</v>
      </c>
      <c r="BE114" s="48">
        <f>+T[[#This Row],[Airport to Destination Transit Time Days]]+T[[#This Row],[Airport to Airport Transit Time Days]]+T[[#This Row],[Origin to Airport Transit Time in days]]</f>
        <v>10</v>
      </c>
    </row>
    <row r="115" spans="1:57" customFormat="1" x14ac:dyDescent="0.35">
      <c r="A115" t="str">
        <f>+T[[#This Row],[Provider_Name]]&amp;"_"&amp;T[[#This Row],[AXIS]]</f>
        <v>DHL_B_IN&gt;BR</v>
      </c>
      <c r="B115" t="s">
        <v>71</v>
      </c>
      <c r="C115" t="s">
        <v>164</v>
      </c>
      <c r="D115" t="s">
        <v>165</v>
      </c>
      <c r="E115" t="s">
        <v>166</v>
      </c>
      <c r="F115" t="s">
        <v>92</v>
      </c>
      <c r="G115" t="s">
        <v>167</v>
      </c>
      <c r="H115" t="s">
        <v>168</v>
      </c>
      <c r="I115" t="s">
        <v>169</v>
      </c>
      <c r="J115">
        <v>410507</v>
      </c>
      <c r="K115" t="s">
        <v>170</v>
      </c>
      <c r="L115" t="s">
        <v>79</v>
      </c>
      <c r="M115" t="s">
        <v>80</v>
      </c>
      <c r="N115" t="s">
        <v>81</v>
      </c>
      <c r="O115" t="s">
        <v>82</v>
      </c>
      <c r="P115" t="s">
        <v>93</v>
      </c>
      <c r="Q115" t="s">
        <v>84</v>
      </c>
      <c r="R115">
        <v>4</v>
      </c>
      <c r="S115">
        <v>399</v>
      </c>
      <c r="T115">
        <v>301.89499999999998</v>
      </c>
      <c r="U115" s="1">
        <v>75.473749999999995</v>
      </c>
      <c r="V115" t="s">
        <v>90</v>
      </c>
      <c r="W115" s="43">
        <v>8</v>
      </c>
      <c r="X115">
        <v>44.117647058823529</v>
      </c>
      <c r="Y115">
        <v>5.8823529411764705E-2</v>
      </c>
      <c r="Z115">
        <v>176.47058823529412</v>
      </c>
      <c r="AA115">
        <v>1</v>
      </c>
      <c r="AB115">
        <v>8.6274509803921564</v>
      </c>
      <c r="AC115">
        <v>3.9215686274509803E-2</v>
      </c>
      <c r="AD115">
        <v>24.509803921568629</v>
      </c>
      <c r="AE115">
        <v>3.6764705882352939</v>
      </c>
      <c r="AF115">
        <v>3.9215686274509803E-2</v>
      </c>
      <c r="AG115" t="s">
        <v>86</v>
      </c>
      <c r="AH115">
        <v>196.07843137254901</v>
      </c>
      <c r="AI115" s="1">
        <v>10.6882352941176</v>
      </c>
      <c r="AJ115" s="1">
        <v>9.8058823529411807</v>
      </c>
      <c r="AK115" s="1">
        <v>9.0705882352941192</v>
      </c>
      <c r="AL115" s="1">
        <v>8.3352941176470594</v>
      </c>
      <c r="AM115" s="1">
        <v>7.74705882352941</v>
      </c>
      <c r="AN115" s="1">
        <v>7.74705882352941</v>
      </c>
      <c r="AO115" s="1">
        <v>7.74705882352941</v>
      </c>
      <c r="AP115" s="1">
        <v>7.74705882352941</v>
      </c>
      <c r="AQ115">
        <v>4</v>
      </c>
      <c r="AR115" t="s">
        <v>171</v>
      </c>
      <c r="AS115">
        <v>1</v>
      </c>
      <c r="AT115">
        <v>7</v>
      </c>
      <c r="AX115">
        <v>1</v>
      </c>
      <c r="AY115">
        <v>120</v>
      </c>
      <c r="AZ115">
        <v>0.06</v>
      </c>
      <c r="BA115" s="43" t="str">
        <f t="shared" si="2"/>
        <v>Express</v>
      </c>
      <c r="BB115" s="46">
        <f>IFERROR((AD115+IF(Calculator_v2!$E$6*Y115&lt;X115,X115,IF(Calculator_v2!$E$6*Y115&gt;Z115,Z115,Calculator_v2!$E$6*Y115))+IF(Calculator_v2!$E$6*AC115&lt;AB115,AB115,Calculator_v2!$E$6*AC115)+IFERROR(_xlfn.LET(_xlpm.tarifa,IF(Calculator_v2!$E$6&lt;=$AI$1,AI115,IF(Calculator_v2!$E$6&lt;=$AK$1,AJ115,IF(Calculator_v2!$E$6&lt;=$AL$1,AK115,IF(Calculator_v2!$E$6&lt;=$AM$1,AL115,IF(Calculator_v2!$E$6&lt;=$AN$1,AM115,IF(Calculator_v2!$E$6&lt;=$AO$1,AN115,IF(Calculator_v2!$E$6&lt;=$AP$1,AO115,AP115))))))),_xlpm.resultado,_xlpm.tarifa*Calculator_v2!$E$6,IF(_xlpm.resultado&lt;AH115,AH115,_xlpm.resultado)),0)+IF(Calculator_v2!$E$6*AV115&lt;AU115,AU115,IF(Calculator_v2!$E$6*AV115&gt;AW115,AW115,Calculator_v2!$E$6*AV115))+IF(Calculator_v2!$E$6*AZ115&lt;=AY115,AY115,Calculator_v2!$E$6*AZ115)),0)</f>
        <v>4798.1019607843127</v>
      </c>
      <c r="BC115" s="47">
        <f>IFERROR(+BB115/Calculator_v2!$E$6,0)+IFERROR(VLOOKUP(A115,DHL_ADDER!$B$4:$E$26,4,0),0)</f>
        <v>13.994901960784311</v>
      </c>
      <c r="BD115" s="48">
        <f t="shared" si="3"/>
        <v>7</v>
      </c>
      <c r="BE115" s="48">
        <f>+T[[#This Row],[Airport to Destination Transit Time Days]]+T[[#This Row],[Airport to Airport Transit Time Days]]+T[[#This Row],[Origin to Airport Transit Time in days]]</f>
        <v>6</v>
      </c>
    </row>
    <row r="116" spans="1:57" customFormat="1" x14ac:dyDescent="0.35">
      <c r="A116" t="str">
        <f>+T[[#This Row],[Provider_Name]]&amp;"_"&amp;T[[#This Row],[AXIS]]</f>
        <v>DHL_B_IN&gt;BR</v>
      </c>
      <c r="B116" t="s">
        <v>71</v>
      </c>
      <c r="C116" t="s">
        <v>164</v>
      </c>
      <c r="D116" t="s">
        <v>165</v>
      </c>
      <c r="E116" t="s">
        <v>166</v>
      </c>
      <c r="F116" t="s">
        <v>92</v>
      </c>
      <c r="G116" t="s">
        <v>167</v>
      </c>
      <c r="H116" t="s">
        <v>172</v>
      </c>
      <c r="I116" t="s">
        <v>173</v>
      </c>
      <c r="J116">
        <v>602117</v>
      </c>
      <c r="K116" t="s">
        <v>174</v>
      </c>
      <c r="L116" t="s">
        <v>79</v>
      </c>
      <c r="M116" t="s">
        <v>80</v>
      </c>
      <c r="N116" t="s">
        <v>81</v>
      </c>
      <c r="O116" t="s">
        <v>82</v>
      </c>
      <c r="P116" t="s">
        <v>93</v>
      </c>
      <c r="Q116" t="s">
        <v>84</v>
      </c>
      <c r="R116">
        <v>63</v>
      </c>
      <c r="S116">
        <v>35349.4</v>
      </c>
      <c r="T116">
        <v>35637</v>
      </c>
      <c r="U116" s="1">
        <v>565.66666666666663</v>
      </c>
      <c r="V116" t="s">
        <v>90</v>
      </c>
      <c r="W116" s="43">
        <v>7</v>
      </c>
      <c r="X116">
        <v>44.117647058823529</v>
      </c>
      <c r="Y116">
        <v>5.8823529411764705E-2</v>
      </c>
      <c r="Z116">
        <v>176.47058823529412</v>
      </c>
      <c r="AA116">
        <v>1</v>
      </c>
      <c r="AB116">
        <v>6.3725490196078427</v>
      </c>
      <c r="AC116">
        <v>1.9607843137254902E-2</v>
      </c>
      <c r="AD116">
        <v>24.509803921568629</v>
      </c>
      <c r="AE116">
        <v>3.6764705882352939</v>
      </c>
      <c r="AF116">
        <v>3.9215686274509803E-2</v>
      </c>
      <c r="AG116" t="s">
        <v>86</v>
      </c>
      <c r="AH116">
        <v>196.07843137254901</v>
      </c>
      <c r="AI116" s="1">
        <v>10.6882352941176</v>
      </c>
      <c r="AJ116" s="1">
        <v>9.8058823529411807</v>
      </c>
      <c r="AK116" s="1">
        <v>9.0705882352941192</v>
      </c>
      <c r="AL116" s="1">
        <v>8.3352941176470594</v>
      </c>
      <c r="AM116" s="1">
        <v>7.74705882352941</v>
      </c>
      <c r="AN116" s="1">
        <v>7.74705882352941</v>
      </c>
      <c r="AO116" s="1">
        <v>7.74705882352941</v>
      </c>
      <c r="AP116" s="1">
        <v>7.74705882352941</v>
      </c>
      <c r="AQ116">
        <v>3</v>
      </c>
      <c r="AR116" t="s">
        <v>175</v>
      </c>
      <c r="AS116">
        <v>1</v>
      </c>
      <c r="AT116">
        <v>7</v>
      </c>
      <c r="AX116">
        <v>1</v>
      </c>
      <c r="AY116">
        <v>120</v>
      </c>
      <c r="AZ116">
        <v>0.06</v>
      </c>
      <c r="BA116" s="43" t="str">
        <f t="shared" si="2"/>
        <v>Express</v>
      </c>
      <c r="BB116" s="46">
        <f>IFERROR((AD116+IF(Calculator_v2!$E$6*Y116&lt;X116,X116,IF(Calculator_v2!$E$6*Y116&gt;Z116,Z116,Calculator_v2!$E$6*Y116))+IF(Calculator_v2!$E$6*AC116&lt;AB116,AB116,Calculator_v2!$E$6*AC116)+IFERROR(_xlfn.LET(_xlpm.tarifa,IF(Calculator_v2!$E$6&lt;=$AI$1,AI116,IF(Calculator_v2!$E$6&lt;=$AK$1,AJ116,IF(Calculator_v2!$E$6&lt;=$AL$1,AK116,IF(Calculator_v2!$E$6&lt;=$AM$1,AL116,IF(Calculator_v2!$E$6&lt;=$AN$1,AM116,IF(Calculator_v2!$E$6&lt;=$AO$1,AN116,IF(Calculator_v2!$E$6&lt;=$AP$1,AO116,AP116))))))),_xlpm.resultado,_xlpm.tarifa*Calculator_v2!$E$6,IF(_xlpm.resultado&lt;AH116,AH116,_xlpm.resultado)),0)+IF(Calculator_v2!$E$6*AV116&lt;AU116,AU116,IF(Calculator_v2!$E$6*AV116&gt;AW116,AW116,Calculator_v2!$E$6*AV116))+IF(Calculator_v2!$E$6*AZ116&lt;=AY116,AY116,Calculator_v2!$E$6*AZ116)),0)</f>
        <v>4786.4941176470575</v>
      </c>
      <c r="BC116" s="47">
        <f>IFERROR(+BB116/Calculator_v2!$E$6,0)+IFERROR(VLOOKUP(A116,DHL_ADDER!$B$4:$E$26,4,0),0)</f>
        <v>13.975294117647056</v>
      </c>
      <c r="BD116" s="48">
        <f t="shared" si="3"/>
        <v>7</v>
      </c>
      <c r="BE116" s="48">
        <f>+T[[#This Row],[Airport to Destination Transit Time Days]]+T[[#This Row],[Airport to Airport Transit Time Days]]+T[[#This Row],[Origin to Airport Transit Time in days]]</f>
        <v>5</v>
      </c>
    </row>
    <row r="117" spans="1:57" customFormat="1" x14ac:dyDescent="0.35">
      <c r="A117" t="str">
        <f>+T[[#This Row],[Provider_Name]]&amp;"_"&amp;T[[#This Row],[AXIS]]</f>
        <v>DHL_B_IN&gt;BR</v>
      </c>
      <c r="B117" t="s">
        <v>71</v>
      </c>
      <c r="C117" t="s">
        <v>164</v>
      </c>
      <c r="D117" t="s">
        <v>165</v>
      </c>
      <c r="E117" t="s">
        <v>166</v>
      </c>
      <c r="F117" t="s">
        <v>92</v>
      </c>
      <c r="G117" t="s">
        <v>167</v>
      </c>
      <c r="H117" t="s">
        <v>168</v>
      </c>
      <c r="I117" t="s">
        <v>169</v>
      </c>
      <c r="J117">
        <v>410507</v>
      </c>
      <c r="K117" t="s">
        <v>170</v>
      </c>
      <c r="L117" t="s">
        <v>79</v>
      </c>
      <c r="M117" t="s">
        <v>80</v>
      </c>
      <c r="N117" t="s">
        <v>81</v>
      </c>
      <c r="O117" t="s">
        <v>82</v>
      </c>
      <c r="P117" t="s">
        <v>93</v>
      </c>
      <c r="Q117" t="s">
        <v>84</v>
      </c>
      <c r="R117">
        <v>4</v>
      </c>
      <c r="S117">
        <v>399</v>
      </c>
      <c r="T117">
        <v>301.89499999999998</v>
      </c>
      <c r="U117" s="1">
        <v>75.473749999999995</v>
      </c>
      <c r="V117" t="s">
        <v>91</v>
      </c>
      <c r="W117" s="43">
        <v>9</v>
      </c>
      <c r="X117">
        <v>44.117647058823529</v>
      </c>
      <c r="Y117">
        <v>5.8823529411764705E-2</v>
      </c>
      <c r="Z117">
        <v>176.47058823529412</v>
      </c>
      <c r="AA117">
        <v>1</v>
      </c>
      <c r="AB117">
        <v>8.6274509803921564</v>
      </c>
      <c r="AC117">
        <v>3.9215686274509803E-2</v>
      </c>
      <c r="AD117">
        <v>24.509803921568629</v>
      </c>
      <c r="AE117">
        <v>3.6764705882352939</v>
      </c>
      <c r="AF117">
        <v>3.9215686274509803E-2</v>
      </c>
      <c r="AG117" t="s">
        <v>86</v>
      </c>
      <c r="AH117">
        <v>166.666666666667</v>
      </c>
      <c r="AI117" s="1">
        <v>7.3058823529411798</v>
      </c>
      <c r="AJ117" s="1">
        <v>6.8156862745098001</v>
      </c>
      <c r="AK117" s="1">
        <v>6.37450980392157</v>
      </c>
      <c r="AL117" s="1">
        <v>6.2274509803921596</v>
      </c>
      <c r="AM117" s="1">
        <v>5.5901960784313696</v>
      </c>
      <c r="AN117" s="1">
        <v>5.5901960784313696</v>
      </c>
      <c r="AO117" s="1">
        <v>5.5901960784313696</v>
      </c>
      <c r="AP117" s="1">
        <v>5.5901960784313696</v>
      </c>
      <c r="AQ117">
        <v>5</v>
      </c>
      <c r="AR117" t="s">
        <v>171</v>
      </c>
      <c r="AS117">
        <v>1</v>
      </c>
      <c r="AT117">
        <v>7</v>
      </c>
      <c r="AX117">
        <v>1</v>
      </c>
      <c r="AY117">
        <v>120</v>
      </c>
      <c r="AZ117">
        <v>0.06</v>
      </c>
      <c r="BA117" s="43" t="str">
        <f t="shared" si="2"/>
        <v>Normal</v>
      </c>
      <c r="BB117" s="46">
        <f>IFERROR((AD117+IF(Calculator_v2!$E$6*Y117&lt;X117,X117,IF(Calculator_v2!$E$6*Y117&gt;Z117,Z117,Calculator_v2!$E$6*Y117))+IF(Calculator_v2!$E$6*AC117&lt;AB117,AB117,Calculator_v2!$E$6*AC117)+IFERROR(_xlfn.LET(_xlpm.tarifa,IF(Calculator_v2!$E$6&lt;=$AI$1,AI117,IF(Calculator_v2!$E$6&lt;=$AK$1,AJ117,IF(Calculator_v2!$E$6&lt;=$AL$1,AK117,IF(Calculator_v2!$E$6&lt;=$AM$1,AL117,IF(Calculator_v2!$E$6&lt;=$AN$1,AM117,IF(Calculator_v2!$E$6&lt;=$AO$1,AN117,IF(Calculator_v2!$E$6&lt;=$AP$1,AO117,AP117))))))),_xlpm.resultado,_xlpm.tarifa*Calculator_v2!$E$6,IF(_xlpm.resultado&lt;AH117,AH117,_xlpm.resultado)),0)+IF(Calculator_v2!$E$6*AV117&lt;AU117,AU117,IF(Calculator_v2!$E$6*AV117&gt;AW117,AW117,Calculator_v2!$E$6*AV117))+IF(Calculator_v2!$E$6*AZ117&lt;=AY117,AY117,Calculator_v2!$E$6*AZ117)),0)</f>
        <v>3521.2392156862729</v>
      </c>
      <c r="BC117" s="47">
        <f>IFERROR(+BB117/Calculator_v2!$E$6,0)+IFERROR(VLOOKUP(A117,DHL_ADDER!$B$4:$E$26,4,0),0)</f>
        <v>11.838039215686273</v>
      </c>
      <c r="BD117" s="48">
        <f t="shared" si="3"/>
        <v>7</v>
      </c>
      <c r="BE117" s="48">
        <f>+T[[#This Row],[Airport to Destination Transit Time Days]]+T[[#This Row],[Airport to Airport Transit Time Days]]+T[[#This Row],[Origin to Airport Transit Time in days]]</f>
        <v>7</v>
      </c>
    </row>
    <row r="118" spans="1:57" customFormat="1" x14ac:dyDescent="0.35">
      <c r="A118" t="str">
        <f>+T[[#This Row],[Provider_Name]]&amp;"_"&amp;T[[#This Row],[AXIS]]</f>
        <v>DHL_B_IN&gt;BR</v>
      </c>
      <c r="B118" t="s">
        <v>71</v>
      </c>
      <c r="C118" t="s">
        <v>164</v>
      </c>
      <c r="D118" t="s">
        <v>165</v>
      </c>
      <c r="E118" t="s">
        <v>166</v>
      </c>
      <c r="F118" t="s">
        <v>92</v>
      </c>
      <c r="G118" t="s">
        <v>167</v>
      </c>
      <c r="H118" t="s">
        <v>172</v>
      </c>
      <c r="I118" t="s">
        <v>173</v>
      </c>
      <c r="J118">
        <v>602117</v>
      </c>
      <c r="K118" t="s">
        <v>174</v>
      </c>
      <c r="L118" t="s">
        <v>79</v>
      </c>
      <c r="M118" t="s">
        <v>80</v>
      </c>
      <c r="N118" t="s">
        <v>81</v>
      </c>
      <c r="O118" t="s">
        <v>82</v>
      </c>
      <c r="P118" t="s">
        <v>93</v>
      </c>
      <c r="Q118" t="s">
        <v>84</v>
      </c>
      <c r="R118">
        <v>63</v>
      </c>
      <c r="S118">
        <v>35349.4</v>
      </c>
      <c r="T118">
        <v>35637</v>
      </c>
      <c r="U118" s="1">
        <v>565.66666666666663</v>
      </c>
      <c r="V118" t="s">
        <v>91</v>
      </c>
      <c r="W118" s="43">
        <v>13</v>
      </c>
      <c r="X118">
        <v>44.117647058823529</v>
      </c>
      <c r="Y118">
        <v>5.8823529411764705E-2</v>
      </c>
      <c r="Z118">
        <v>176.47058823529412</v>
      </c>
      <c r="AA118">
        <v>1</v>
      </c>
      <c r="AB118">
        <v>6.3725490196078427</v>
      </c>
      <c r="AC118">
        <v>1.9607843137254902E-2</v>
      </c>
      <c r="AD118">
        <v>24.509803921568629</v>
      </c>
      <c r="AE118">
        <v>3.6764705882352939</v>
      </c>
      <c r="AF118">
        <v>3.9215686274509803E-2</v>
      </c>
      <c r="AG118" t="s">
        <v>86</v>
      </c>
      <c r="AH118">
        <v>166.666666666667</v>
      </c>
      <c r="AI118" s="1">
        <v>6.4499999999999993</v>
      </c>
      <c r="AJ118" s="1">
        <v>5.4899999999999993</v>
      </c>
      <c r="AK118" s="1">
        <v>5.4899999999999993</v>
      </c>
      <c r="AL118" s="1">
        <v>4.3899999999999997</v>
      </c>
      <c r="AM118" s="1">
        <v>4.3899999999999997</v>
      </c>
      <c r="AN118" s="1">
        <v>4.3899999999999997</v>
      </c>
      <c r="AO118" s="1">
        <v>4.3899999999999997</v>
      </c>
      <c r="AP118" s="1">
        <v>4.3899999999999997</v>
      </c>
      <c r="AQ118">
        <v>10</v>
      </c>
      <c r="AR118" t="s">
        <v>175</v>
      </c>
      <c r="AS118">
        <v>2</v>
      </c>
      <c r="AT118">
        <v>7</v>
      </c>
      <c r="AX118">
        <v>1</v>
      </c>
      <c r="AY118">
        <v>120</v>
      </c>
      <c r="AZ118">
        <v>0.06</v>
      </c>
      <c r="BA118" s="43" t="str">
        <f t="shared" si="2"/>
        <v>Normal</v>
      </c>
      <c r="BB118" s="46">
        <f>IFERROR((AD118+IF(Calculator_v2!$E$6*Y118&lt;X118,X118,IF(Calculator_v2!$E$6*Y118&gt;Z118,Z118,Calculator_v2!$E$6*Y118))+IF(Calculator_v2!$E$6*AC118&lt;AB118,AB118,Calculator_v2!$E$6*AC118)+IFERROR(_xlfn.LET(_xlpm.tarifa,IF(Calculator_v2!$E$6&lt;=$AI$1,AI118,IF(Calculator_v2!$E$6&lt;=$AK$1,AJ118,IF(Calculator_v2!$E$6&lt;=$AL$1,AK118,IF(Calculator_v2!$E$6&lt;=$AM$1,AL118,IF(Calculator_v2!$E$6&lt;=$AN$1,AM118,IF(Calculator_v2!$E$6&lt;=$AO$1,AN118,IF(Calculator_v2!$E$6&lt;=$AP$1,AO118,AP118))))))),_xlpm.resultado,_xlpm.tarifa*Calculator_v2!$E$6,IF(_xlpm.resultado&lt;AH118,AH118,_xlpm.resultado)),0)+IF(Calculator_v2!$E$6*AV118&lt;AU118,AU118,IF(Calculator_v2!$E$6*AV118&gt;AW118,AW118,Calculator_v2!$E$6*AV118))+IF(Calculator_v2!$E$6*AZ118&lt;=AY118,AY118,Calculator_v2!$E$6*AZ118)),0)</f>
        <v>2799.1152941176465</v>
      </c>
      <c r="BC118" s="47">
        <f>IFERROR(+BB118/Calculator_v2!$E$6,0)+IFERROR(VLOOKUP(A118,DHL_ADDER!$B$4:$E$26,4,0),0)</f>
        <v>10.618235294117646</v>
      </c>
      <c r="BD118" s="48">
        <f t="shared" si="3"/>
        <v>7</v>
      </c>
      <c r="BE118" s="48">
        <f>+T[[#This Row],[Airport to Destination Transit Time Days]]+T[[#This Row],[Airport to Airport Transit Time Days]]+T[[#This Row],[Origin to Airport Transit Time in days]]</f>
        <v>12</v>
      </c>
    </row>
    <row r="119" spans="1:57" customFormat="1" x14ac:dyDescent="0.35">
      <c r="A119" t="str">
        <f>+T[[#This Row],[Provider_Name]]&amp;"_"&amp;T[[#This Row],[AXIS]]</f>
        <v>DHL_B_IN&gt;CL</v>
      </c>
      <c r="B119" t="s">
        <v>71</v>
      </c>
      <c r="C119" t="s">
        <v>176</v>
      </c>
      <c r="D119" t="s">
        <v>177</v>
      </c>
      <c r="E119" t="s">
        <v>166</v>
      </c>
      <c r="F119" t="s">
        <v>92</v>
      </c>
      <c r="G119" t="s">
        <v>167</v>
      </c>
      <c r="H119" t="s">
        <v>168</v>
      </c>
      <c r="I119" t="s">
        <v>169</v>
      </c>
      <c r="J119">
        <v>410507</v>
      </c>
      <c r="K119" t="s">
        <v>170</v>
      </c>
      <c r="L119" t="s">
        <v>140</v>
      </c>
      <c r="M119" t="s">
        <v>141</v>
      </c>
      <c r="N119" t="s">
        <v>142</v>
      </c>
      <c r="O119">
        <v>2100837</v>
      </c>
      <c r="P119" t="s">
        <v>143</v>
      </c>
      <c r="Q119" t="s">
        <v>144</v>
      </c>
      <c r="R119">
        <v>63</v>
      </c>
      <c r="S119">
        <v>62400.2</v>
      </c>
      <c r="T119">
        <v>62400</v>
      </c>
      <c r="U119" s="1">
        <v>990.47619047619048</v>
      </c>
      <c r="V119" t="s">
        <v>85</v>
      </c>
      <c r="W119" s="43">
        <v>9</v>
      </c>
      <c r="X119">
        <v>44.117647058823529</v>
      </c>
      <c r="Y119">
        <v>5.8823529411764705E-2</v>
      </c>
      <c r="Z119">
        <v>176.47058823529412</v>
      </c>
      <c r="AA119">
        <v>1</v>
      </c>
      <c r="AB119">
        <v>8.6274509803921564</v>
      </c>
      <c r="AC119">
        <v>3.9215686274509803E-2</v>
      </c>
      <c r="AD119">
        <v>24.509803921568629</v>
      </c>
      <c r="AE119">
        <v>3.6764705882352939</v>
      </c>
      <c r="AF119">
        <v>3.9215686274509803E-2</v>
      </c>
      <c r="AG119" t="s">
        <v>86</v>
      </c>
      <c r="AH119">
        <v>147.058823529412</v>
      </c>
      <c r="AI119" s="1">
        <v>7.74705882352941</v>
      </c>
      <c r="AJ119" s="1">
        <v>7.2568627450980401</v>
      </c>
      <c r="AK119" s="1">
        <v>6.8254901960784302</v>
      </c>
      <c r="AL119" s="1">
        <v>5.9431372549019601</v>
      </c>
      <c r="AM119" s="1">
        <v>5.1090909090909085</v>
      </c>
      <c r="AN119" s="1">
        <v>5.1098039215686297</v>
      </c>
      <c r="AO119" s="1">
        <v>5.1098039215686297</v>
      </c>
      <c r="AP119" s="1">
        <v>5.1098039215686297</v>
      </c>
      <c r="AQ119">
        <v>7</v>
      </c>
      <c r="AR119" t="s">
        <v>171</v>
      </c>
      <c r="AS119">
        <v>2</v>
      </c>
      <c r="AT119">
        <v>7</v>
      </c>
      <c r="AU119">
        <v>165</v>
      </c>
      <c r="AV119">
        <v>0.1</v>
      </c>
      <c r="AW119">
        <v>250</v>
      </c>
      <c r="AX119">
        <v>1</v>
      </c>
      <c r="AY119">
        <v>150</v>
      </c>
      <c r="AZ119">
        <v>0.01</v>
      </c>
      <c r="BA119" s="43" t="str">
        <f t="shared" si="2"/>
        <v>Economy</v>
      </c>
      <c r="BB119" s="46">
        <f>IFERROR((AD119+IF(Calculator_v2!$E$6*Y119&lt;X119,X119,IF(Calculator_v2!$E$6*Y119&gt;Z119,Z119,Calculator_v2!$E$6*Y119))+IF(Calculator_v2!$E$6*AC119&lt;AB119,AB119,Calculator_v2!$E$6*AC119)+IFERROR(_xlfn.LET(_xlpm.tarifa,IF(Calculator_v2!$E$6&lt;=$AI$1,AI119,IF(Calculator_v2!$E$6&lt;=$AK$1,AJ119,IF(Calculator_v2!$E$6&lt;=$AL$1,AK119,IF(Calculator_v2!$E$6&lt;=$AM$1,AL119,IF(Calculator_v2!$E$6&lt;=$AN$1,AM119,IF(Calculator_v2!$E$6&lt;=$AO$1,AN119,IF(Calculator_v2!$E$6&lt;=$AP$1,AO119,AP119))))))),_xlpm.resultado,_xlpm.tarifa*Calculator_v2!$E$6,IF(_xlpm.resultado&lt;AH119,AH119,_xlpm.resultado)),0)+IF(Calculator_v2!$E$6*AV119&lt;AU119,AU119,IF(Calculator_v2!$E$6*AV119&gt;AW119,AW119,Calculator_v2!$E$6*AV119))+IF(Calculator_v2!$E$6*AZ119&lt;=AY119,AY119,Calculator_v2!$E$6*AZ119)),0)</f>
        <v>3431.4249554367198</v>
      </c>
      <c r="BC119" s="47">
        <f>IFERROR(+BB119/Calculator_v2!$E$6,0)+IFERROR(VLOOKUP(A119,DHL_ADDER!$B$4:$E$26,4,0),0)</f>
        <v>11.686325938237701</v>
      </c>
      <c r="BD119" s="48">
        <f t="shared" si="3"/>
        <v>7</v>
      </c>
      <c r="BE119" s="48">
        <f>+T[[#This Row],[Airport to Destination Transit Time Days]]+T[[#This Row],[Airport to Airport Transit Time Days]]+T[[#This Row],[Origin to Airport Transit Time in days]]</f>
        <v>9</v>
      </c>
    </row>
    <row r="120" spans="1:57" customFormat="1" x14ac:dyDescent="0.35">
      <c r="A120" t="str">
        <f>+T[[#This Row],[Provider_Name]]&amp;"_"&amp;T[[#This Row],[AXIS]]</f>
        <v>DHL_B_IN&gt;CL</v>
      </c>
      <c r="B120" t="s">
        <v>71</v>
      </c>
      <c r="C120" t="s">
        <v>176</v>
      </c>
      <c r="D120" t="s">
        <v>177</v>
      </c>
      <c r="E120" t="s">
        <v>166</v>
      </c>
      <c r="F120" t="s">
        <v>92</v>
      </c>
      <c r="G120" t="s">
        <v>167</v>
      </c>
      <c r="H120" t="s">
        <v>168</v>
      </c>
      <c r="I120" t="s">
        <v>169</v>
      </c>
      <c r="J120">
        <v>410507</v>
      </c>
      <c r="K120" t="s">
        <v>170</v>
      </c>
      <c r="L120" t="s">
        <v>140</v>
      </c>
      <c r="M120" t="s">
        <v>141</v>
      </c>
      <c r="N120" t="s">
        <v>142</v>
      </c>
      <c r="O120">
        <v>2100837</v>
      </c>
      <c r="P120" t="s">
        <v>143</v>
      </c>
      <c r="Q120" t="s">
        <v>144</v>
      </c>
      <c r="R120">
        <v>63</v>
      </c>
      <c r="S120">
        <v>62400.2</v>
      </c>
      <c r="T120">
        <v>62400</v>
      </c>
      <c r="U120" s="1">
        <v>990.47619047619048</v>
      </c>
      <c r="V120" t="s">
        <v>90</v>
      </c>
      <c r="W120" s="43">
        <v>7</v>
      </c>
      <c r="X120">
        <v>44.117647058823529</v>
      </c>
      <c r="Y120">
        <v>5.8823529411764705E-2</v>
      </c>
      <c r="Z120">
        <v>176.47058823529412</v>
      </c>
      <c r="AA120">
        <v>1</v>
      </c>
      <c r="AB120">
        <v>8.6274509803921564</v>
      </c>
      <c r="AC120">
        <v>3.9215686274509803E-2</v>
      </c>
      <c r="AD120">
        <v>24.509803921568629</v>
      </c>
      <c r="AE120">
        <v>3.6764705882352939</v>
      </c>
      <c r="AF120">
        <v>3.9215686274509803E-2</v>
      </c>
      <c r="AG120" t="s">
        <v>86</v>
      </c>
      <c r="AH120">
        <v>196.07843137254901</v>
      </c>
      <c r="AI120" s="1">
        <v>17.011764705882399</v>
      </c>
      <c r="AJ120" s="1">
        <v>14.6588235294118</v>
      </c>
      <c r="AK120" s="1">
        <v>14.0705882352941</v>
      </c>
      <c r="AL120" s="1">
        <v>12.972549019607801</v>
      </c>
      <c r="AM120" s="1">
        <v>8.7363636363636363</v>
      </c>
      <c r="AN120" s="1">
        <v>8.7363636363636363</v>
      </c>
      <c r="AO120" s="1">
        <v>8.7363636363636363</v>
      </c>
      <c r="AP120" s="1">
        <v>8.7363636363636363</v>
      </c>
      <c r="AQ120">
        <v>5</v>
      </c>
      <c r="AR120" t="s">
        <v>171</v>
      </c>
      <c r="AS120">
        <v>1</v>
      </c>
      <c r="AT120">
        <v>7</v>
      </c>
      <c r="AU120">
        <v>165</v>
      </c>
      <c r="AV120">
        <v>0.1</v>
      </c>
      <c r="AW120">
        <v>250</v>
      </c>
      <c r="AX120">
        <v>1</v>
      </c>
      <c r="AY120">
        <v>150</v>
      </c>
      <c r="AZ120">
        <v>0.01</v>
      </c>
      <c r="BA120" s="43" t="str">
        <f t="shared" si="2"/>
        <v>Express</v>
      </c>
      <c r="BB120" s="46">
        <f>IFERROR((AD120+IF(Calculator_v2!$E$6*Y120&lt;X120,X120,IF(Calculator_v2!$E$6*Y120&gt;Z120,Z120,Calculator_v2!$E$6*Y120))+IF(Calculator_v2!$E$6*AC120&lt;AB120,AB120,Calculator_v2!$E$6*AC120)+IFERROR(_xlfn.LET(_xlpm.tarifa,IF(Calculator_v2!$E$6&lt;=$AI$1,AI120,IF(Calculator_v2!$E$6&lt;=$AK$1,AJ120,IF(Calculator_v2!$E$6&lt;=$AL$1,AK120,IF(Calculator_v2!$E$6&lt;=$AM$1,AL120,IF(Calculator_v2!$E$6&lt;=$AN$1,AM120,IF(Calculator_v2!$E$6&lt;=$AO$1,AN120,IF(Calculator_v2!$E$6&lt;=$AP$1,AO120,AP120))))))),_xlpm.resultado,_xlpm.tarifa*Calculator_v2!$E$6,IF(_xlpm.resultado&lt;AH120,AH120,_xlpm.resultado)),0)+IF(Calculator_v2!$E$6*AV120&lt;AU120,AU120,IF(Calculator_v2!$E$6*AV120&gt;AW120,AW120,Calculator_v2!$E$6*AV120))+IF(Calculator_v2!$E$6*AZ120&lt;=AY120,AY120,Calculator_v2!$E$6*AZ120)),0)</f>
        <v>5578.7704099821749</v>
      </c>
      <c r="BC120" s="47">
        <f>IFERROR(+BB120/Calculator_v2!$E$6,0)+IFERROR(VLOOKUP(A120,DHL_ADDER!$B$4:$E$26,4,0),0)</f>
        <v>15.31359866551043</v>
      </c>
      <c r="BD120" s="48">
        <f t="shared" si="3"/>
        <v>7</v>
      </c>
      <c r="BE120" s="48">
        <f>+T[[#This Row],[Airport to Destination Transit Time Days]]+T[[#This Row],[Airport to Airport Transit Time Days]]+T[[#This Row],[Origin to Airport Transit Time in days]]</f>
        <v>7</v>
      </c>
    </row>
    <row r="121" spans="1:57" customFormat="1" x14ac:dyDescent="0.35">
      <c r="A121" t="str">
        <f>+T[[#This Row],[Provider_Name]]&amp;"_"&amp;T[[#This Row],[AXIS]]</f>
        <v>DHL_B_IN&gt;CL</v>
      </c>
      <c r="B121" t="s">
        <v>71</v>
      </c>
      <c r="C121" t="s">
        <v>176</v>
      </c>
      <c r="D121" t="s">
        <v>177</v>
      </c>
      <c r="E121" t="s">
        <v>166</v>
      </c>
      <c r="F121" t="s">
        <v>92</v>
      </c>
      <c r="G121" t="s">
        <v>167</v>
      </c>
      <c r="H121" t="s">
        <v>168</v>
      </c>
      <c r="I121" t="s">
        <v>169</v>
      </c>
      <c r="J121">
        <v>410507</v>
      </c>
      <c r="K121" t="s">
        <v>170</v>
      </c>
      <c r="L121" t="s">
        <v>140</v>
      </c>
      <c r="M121" t="s">
        <v>141</v>
      </c>
      <c r="N121" t="s">
        <v>142</v>
      </c>
      <c r="O121">
        <v>2100837</v>
      </c>
      <c r="P121" t="s">
        <v>143</v>
      </c>
      <c r="Q121" t="s">
        <v>144</v>
      </c>
      <c r="R121">
        <v>63</v>
      </c>
      <c r="S121">
        <v>62400.2</v>
      </c>
      <c r="T121">
        <v>62400</v>
      </c>
      <c r="U121" s="1">
        <v>990.47619047619048</v>
      </c>
      <c r="V121" t="s">
        <v>91</v>
      </c>
      <c r="W121" s="43">
        <v>8</v>
      </c>
      <c r="X121">
        <v>44.117647058823529</v>
      </c>
      <c r="Y121">
        <v>5.8823529411764705E-2</v>
      </c>
      <c r="Z121">
        <v>176.47058823529412</v>
      </c>
      <c r="AA121">
        <v>1</v>
      </c>
      <c r="AB121">
        <v>8.6274509803921564</v>
      </c>
      <c r="AC121">
        <v>3.9215686274509803E-2</v>
      </c>
      <c r="AD121">
        <v>24.509803921568629</v>
      </c>
      <c r="AE121">
        <v>3.6764705882352939</v>
      </c>
      <c r="AF121">
        <v>3.9215686274509803E-2</v>
      </c>
      <c r="AG121" t="s">
        <v>86</v>
      </c>
      <c r="AH121">
        <v>166.666666666667</v>
      </c>
      <c r="AI121" s="1">
        <v>7.7960784313725497</v>
      </c>
      <c r="AJ121" s="1">
        <v>7.3058823529411798</v>
      </c>
      <c r="AK121" s="1">
        <v>6.87450980392157</v>
      </c>
      <c r="AL121" s="1">
        <v>5.9921568627450998</v>
      </c>
      <c r="AM121" s="1">
        <v>5.3058823529411798</v>
      </c>
      <c r="AN121" s="1">
        <v>5.3058823529411798</v>
      </c>
      <c r="AO121" s="1">
        <v>5.3058823529411798</v>
      </c>
      <c r="AP121" s="1">
        <v>5.3058823529411798</v>
      </c>
      <c r="AQ121">
        <v>6</v>
      </c>
      <c r="AR121" t="s">
        <v>171</v>
      </c>
      <c r="AS121">
        <v>1</v>
      </c>
      <c r="AT121">
        <v>7</v>
      </c>
      <c r="AU121">
        <v>165</v>
      </c>
      <c r="AV121">
        <v>0.1</v>
      </c>
      <c r="AW121">
        <v>250</v>
      </c>
      <c r="AX121">
        <v>1</v>
      </c>
      <c r="AY121">
        <v>150</v>
      </c>
      <c r="AZ121">
        <v>0.01</v>
      </c>
      <c r="BA121" s="43" t="str">
        <f t="shared" si="2"/>
        <v>Normal</v>
      </c>
      <c r="BB121" s="46">
        <f>IFERROR((AD121+IF(Calculator_v2!$E$6*Y121&lt;X121,X121,IF(Calculator_v2!$E$6*Y121&gt;Z121,Z121,Calculator_v2!$E$6*Y121))+IF(Calculator_v2!$E$6*AC121&lt;AB121,AB121,Calculator_v2!$E$6*AC121)+IFERROR(_xlfn.LET(_xlpm.tarifa,IF(Calculator_v2!$E$6&lt;=$AI$1,AI121,IF(Calculator_v2!$E$6&lt;=$AK$1,AJ121,IF(Calculator_v2!$E$6&lt;=$AL$1,AK121,IF(Calculator_v2!$E$6&lt;=$AM$1,AL121,IF(Calculator_v2!$E$6&lt;=$AN$1,AM121,IF(Calculator_v2!$E$6&lt;=$AO$1,AN121,IF(Calculator_v2!$E$6&lt;=$AP$1,AO121,AP121))))))),_xlpm.resultado,_xlpm.tarifa*Calculator_v2!$E$6,IF(_xlpm.resultado&lt;AH121,AH121,_xlpm.resultado)),0)+IF(Calculator_v2!$E$6*AV121&lt;AU121,AU121,IF(Calculator_v2!$E$6*AV121&gt;AW121,AW121,Calculator_v2!$E$6*AV121))+IF(Calculator_v2!$E$6*AZ121&lt;=AY121,AY121,Calculator_v2!$E$6*AZ121)),0)</f>
        <v>3547.9254901960808</v>
      </c>
      <c r="BC121" s="47">
        <f>IFERROR(+BB121/Calculator_v2!$E$6,0)+IFERROR(VLOOKUP(A121,DHL_ADDER!$B$4:$E$26,4,0),0)</f>
        <v>11.883117382087974</v>
      </c>
      <c r="BD121" s="48">
        <f t="shared" si="3"/>
        <v>7</v>
      </c>
      <c r="BE121" s="48">
        <f>+T[[#This Row],[Airport to Destination Transit Time Days]]+T[[#This Row],[Airport to Airport Transit Time Days]]+T[[#This Row],[Origin to Airport Transit Time in days]]</f>
        <v>8</v>
      </c>
    </row>
    <row r="122" spans="1:57" customFormat="1" x14ac:dyDescent="0.35">
      <c r="A122" t="str">
        <f>+T[[#This Row],[Provider_Name]]&amp;"_"&amp;T[[#This Row],[AXIS]]</f>
        <v>DHL_B_IN&gt;ES</v>
      </c>
      <c r="B122" t="s">
        <v>71</v>
      </c>
      <c r="C122" t="s">
        <v>178</v>
      </c>
      <c r="D122" t="s">
        <v>179</v>
      </c>
      <c r="E122" t="s">
        <v>166</v>
      </c>
      <c r="F122" t="s">
        <v>92</v>
      </c>
      <c r="G122" t="s">
        <v>167</v>
      </c>
      <c r="H122" t="s">
        <v>168</v>
      </c>
      <c r="I122" t="s">
        <v>169</v>
      </c>
      <c r="J122">
        <v>410507</v>
      </c>
      <c r="K122" t="s">
        <v>170</v>
      </c>
      <c r="L122" t="s">
        <v>100</v>
      </c>
      <c r="M122" t="s">
        <v>106</v>
      </c>
      <c r="N122" t="s">
        <v>106</v>
      </c>
      <c r="O122">
        <v>48008</v>
      </c>
      <c r="P122" t="s">
        <v>102</v>
      </c>
      <c r="Q122" t="s">
        <v>107</v>
      </c>
      <c r="R122">
        <v>27</v>
      </c>
      <c r="S122">
        <v>15795.8</v>
      </c>
      <c r="T122">
        <v>15796</v>
      </c>
      <c r="U122" s="1">
        <v>585.03703703703707</v>
      </c>
      <c r="V122" t="s">
        <v>85</v>
      </c>
      <c r="W122" s="43">
        <v>9</v>
      </c>
      <c r="X122">
        <v>44.117647058823529</v>
      </c>
      <c r="Y122">
        <v>5.8823529411764705E-2</v>
      </c>
      <c r="Z122">
        <v>176.47058823529412</v>
      </c>
      <c r="AA122">
        <v>1</v>
      </c>
      <c r="AB122">
        <v>8.6274509803921564</v>
      </c>
      <c r="AC122">
        <v>3.9215686274509803E-2</v>
      </c>
      <c r="AD122">
        <v>24.509803921568629</v>
      </c>
      <c r="AE122">
        <v>3.6764705882352939</v>
      </c>
      <c r="AF122">
        <v>3.9215686274509803E-2</v>
      </c>
      <c r="AG122" t="s">
        <v>86</v>
      </c>
      <c r="AH122">
        <v>98.039215686274503</v>
      </c>
      <c r="AI122" s="1">
        <v>3.6784313725490199</v>
      </c>
      <c r="AJ122" s="1">
        <v>3.4823529411764702</v>
      </c>
      <c r="AK122" s="1">
        <v>2.9921568627450998</v>
      </c>
      <c r="AL122" s="1">
        <v>2.7960784313725502</v>
      </c>
      <c r="AM122" s="1">
        <v>2.0090909090909093</v>
      </c>
      <c r="AN122" s="1">
        <v>2.0090909090909093</v>
      </c>
      <c r="AO122" s="1">
        <v>2.0090909090909093</v>
      </c>
      <c r="AP122" s="1">
        <v>2.0090909090909093</v>
      </c>
      <c r="AQ122">
        <v>6</v>
      </c>
      <c r="AR122" t="s">
        <v>171</v>
      </c>
      <c r="AS122">
        <v>2</v>
      </c>
      <c r="AT122">
        <v>7</v>
      </c>
      <c r="AU122">
        <v>315</v>
      </c>
      <c r="AV122">
        <v>0.45</v>
      </c>
      <c r="AW122">
        <v>490</v>
      </c>
      <c r="AX122">
        <v>2</v>
      </c>
      <c r="AY122">
        <v>49</v>
      </c>
      <c r="AZ122">
        <v>0.19</v>
      </c>
      <c r="BA122" s="43" t="str">
        <f t="shared" si="2"/>
        <v>Economy</v>
      </c>
      <c r="BB122" s="46">
        <f>IFERROR((AD122+IF(Calculator_v2!$E$6*Y122&lt;X122,X122,IF(Calculator_v2!$E$6*Y122&gt;Z122,Z122,Calculator_v2!$E$6*Y122))+IF(Calculator_v2!$E$6*AC122&lt;AB122,AB122,Calculator_v2!$E$6*AC122)+IFERROR(_xlfn.LET(_xlpm.tarifa,IF(Calculator_v2!$E$6&lt;=$AI$1,AI122,IF(Calculator_v2!$E$6&lt;=$AK$1,AJ122,IF(Calculator_v2!$E$6&lt;=$AL$1,AK122,IF(Calculator_v2!$E$6&lt;=$AM$1,AL122,IF(Calculator_v2!$E$6&lt;=$AN$1,AM122,IF(Calculator_v2!$E$6&lt;=$AO$1,AN122,IF(Calculator_v2!$E$6&lt;=$AP$1,AO122,AP122))))))),_xlpm.resultado,_xlpm.tarifa*Calculator_v2!$E$6,IF(_xlpm.resultado&lt;AH122,AH122,_xlpm.resultado)),0)+IF(Calculator_v2!$E$6*AV122&lt;AU122,AU122,IF(Calculator_v2!$E$6*AV122&gt;AW122,AW122,Calculator_v2!$E$6*AV122))+IF(Calculator_v2!$E$6*AZ122&lt;=AY122,AY122,Calculator_v2!$E$6*AZ122)),0)</f>
        <v>1708.7049554367202</v>
      </c>
      <c r="BC122" s="47">
        <f>IFERROR(+BB122/Calculator_v2!$E$6,0)+IFERROR(VLOOKUP(A122,DHL_ADDER!$B$4:$E$26,4,0),0)</f>
        <v>5.2363259382377034</v>
      </c>
      <c r="BD122" s="48">
        <f t="shared" si="3"/>
        <v>7</v>
      </c>
      <c r="BE122" s="48">
        <f>+T[[#This Row],[Airport to Destination Transit Time Days]]+T[[#This Row],[Airport to Airport Transit Time Days]]+T[[#This Row],[Origin to Airport Transit Time in days]]</f>
        <v>9</v>
      </c>
    </row>
    <row r="123" spans="1:57" customFormat="1" x14ac:dyDescent="0.35">
      <c r="A123" t="str">
        <f>+T[[#This Row],[Provider_Name]]&amp;"_"&amp;T[[#This Row],[AXIS]]</f>
        <v>DHL_B_IN&gt;ES</v>
      </c>
      <c r="B123" t="s">
        <v>71</v>
      </c>
      <c r="C123" t="s">
        <v>178</v>
      </c>
      <c r="D123" t="s">
        <v>179</v>
      </c>
      <c r="E123" t="s">
        <v>180</v>
      </c>
      <c r="F123" t="s">
        <v>92</v>
      </c>
      <c r="G123" t="s">
        <v>167</v>
      </c>
      <c r="H123" t="s">
        <v>168</v>
      </c>
      <c r="I123" t="s">
        <v>169</v>
      </c>
      <c r="J123">
        <v>410507</v>
      </c>
      <c r="K123" t="s">
        <v>170</v>
      </c>
      <c r="L123" t="s">
        <v>100</v>
      </c>
      <c r="M123" t="s">
        <v>106</v>
      </c>
      <c r="N123" t="s">
        <v>106</v>
      </c>
      <c r="O123">
        <v>48008</v>
      </c>
      <c r="P123" t="s">
        <v>102</v>
      </c>
      <c r="Q123" t="s">
        <v>107</v>
      </c>
      <c r="R123">
        <v>104</v>
      </c>
      <c r="S123">
        <v>54958.03</v>
      </c>
      <c r="T123">
        <v>54958.03</v>
      </c>
      <c r="U123" s="1">
        <v>528.44259615384613</v>
      </c>
      <c r="V123" t="s">
        <v>85</v>
      </c>
      <c r="W123" s="43">
        <v>9</v>
      </c>
      <c r="X123">
        <v>44.117647058823529</v>
      </c>
      <c r="Y123">
        <v>5.8823529411764705E-2</v>
      </c>
      <c r="Z123">
        <v>176.47058823529412</v>
      </c>
      <c r="AA123">
        <v>1</v>
      </c>
      <c r="AB123">
        <v>8.6274509803921564</v>
      </c>
      <c r="AC123">
        <v>3.9215686274509803E-2</v>
      </c>
      <c r="AD123">
        <v>24.509803921568629</v>
      </c>
      <c r="AE123">
        <v>3.6764705882352939</v>
      </c>
      <c r="AF123">
        <v>3.9215686274509803E-2</v>
      </c>
      <c r="AG123" t="s">
        <v>86</v>
      </c>
      <c r="AH123">
        <v>98.039215686274503</v>
      </c>
      <c r="AI123" s="1">
        <v>3.6784313725490199</v>
      </c>
      <c r="AJ123" s="1">
        <v>3.4823529411764702</v>
      </c>
      <c r="AK123" s="1">
        <v>2.9921568627450998</v>
      </c>
      <c r="AL123" s="1">
        <v>2.7960784313725502</v>
      </c>
      <c r="AM123" s="1">
        <v>2.0090909090909093</v>
      </c>
      <c r="AN123" s="1">
        <v>2.0090909090909093</v>
      </c>
      <c r="AO123" s="1">
        <v>2.0090909090909093</v>
      </c>
      <c r="AP123" s="1">
        <v>2.0090909090909093</v>
      </c>
      <c r="AQ123">
        <v>6</v>
      </c>
      <c r="AR123" t="s">
        <v>171</v>
      </c>
      <c r="AS123">
        <v>2</v>
      </c>
      <c r="AT123">
        <v>7</v>
      </c>
      <c r="AU123">
        <v>315</v>
      </c>
      <c r="AV123">
        <v>0.45</v>
      </c>
      <c r="AW123">
        <v>490</v>
      </c>
      <c r="AX123">
        <v>2</v>
      </c>
      <c r="AY123">
        <v>49</v>
      </c>
      <c r="AZ123">
        <v>0.19</v>
      </c>
      <c r="BA123" s="43" t="str">
        <f t="shared" si="2"/>
        <v>Economy</v>
      </c>
      <c r="BB123" s="46">
        <f>IFERROR((AD123+IF(Calculator_v2!$E$6*Y123&lt;X123,X123,IF(Calculator_v2!$E$6*Y123&gt;Z123,Z123,Calculator_v2!$E$6*Y123))+IF(Calculator_v2!$E$6*AC123&lt;AB123,AB123,Calculator_v2!$E$6*AC123)+IFERROR(_xlfn.LET(_xlpm.tarifa,IF(Calculator_v2!$E$6&lt;=$AI$1,AI123,IF(Calculator_v2!$E$6&lt;=$AK$1,AJ123,IF(Calculator_v2!$E$6&lt;=$AL$1,AK123,IF(Calculator_v2!$E$6&lt;=$AM$1,AL123,IF(Calculator_v2!$E$6&lt;=$AN$1,AM123,IF(Calculator_v2!$E$6&lt;=$AO$1,AN123,IF(Calculator_v2!$E$6&lt;=$AP$1,AO123,AP123))))))),_xlpm.resultado,_xlpm.tarifa*Calculator_v2!$E$6,IF(_xlpm.resultado&lt;AH123,AH123,_xlpm.resultado)),0)+IF(Calculator_v2!$E$6*AV123&lt;AU123,AU123,IF(Calculator_v2!$E$6*AV123&gt;AW123,AW123,Calculator_v2!$E$6*AV123))+IF(Calculator_v2!$E$6*AZ123&lt;=AY123,AY123,Calculator_v2!$E$6*AZ123)),0)</f>
        <v>1708.7049554367202</v>
      </c>
      <c r="BC123" s="47">
        <f>IFERROR(+BB123/Calculator_v2!$E$6,0)+IFERROR(VLOOKUP(A123,DHL_ADDER!$B$4:$E$26,4,0),0)</f>
        <v>5.2363259382377034</v>
      </c>
      <c r="BD123" s="48">
        <f t="shared" si="3"/>
        <v>7</v>
      </c>
      <c r="BE123" s="48">
        <f>+T[[#This Row],[Airport to Destination Transit Time Days]]+T[[#This Row],[Airport to Airport Transit Time Days]]+T[[#This Row],[Origin to Airport Transit Time in days]]</f>
        <v>9</v>
      </c>
    </row>
    <row r="124" spans="1:57" customFormat="1" x14ac:dyDescent="0.35">
      <c r="A124" t="str">
        <f>+T[[#This Row],[Provider_Name]]&amp;"_"&amp;T[[#This Row],[AXIS]]</f>
        <v>DHL_B_IN&gt;ES</v>
      </c>
      <c r="B124" t="s">
        <v>71</v>
      </c>
      <c r="C124" t="s">
        <v>178</v>
      </c>
      <c r="D124" t="s">
        <v>179</v>
      </c>
      <c r="E124" t="s">
        <v>166</v>
      </c>
      <c r="F124" t="s">
        <v>92</v>
      </c>
      <c r="G124" t="s">
        <v>167</v>
      </c>
      <c r="H124" t="s">
        <v>168</v>
      </c>
      <c r="I124" t="s">
        <v>169</v>
      </c>
      <c r="J124">
        <v>410507</v>
      </c>
      <c r="K124" t="s">
        <v>170</v>
      </c>
      <c r="L124" t="s">
        <v>100</v>
      </c>
      <c r="M124" t="s">
        <v>106</v>
      </c>
      <c r="N124" t="s">
        <v>106</v>
      </c>
      <c r="O124">
        <v>48008</v>
      </c>
      <c r="P124" t="s">
        <v>102</v>
      </c>
      <c r="Q124" t="s">
        <v>107</v>
      </c>
      <c r="R124">
        <v>27</v>
      </c>
      <c r="S124">
        <v>15795.8</v>
      </c>
      <c r="T124">
        <v>15796</v>
      </c>
      <c r="U124" s="1">
        <v>585.03703703703707</v>
      </c>
      <c r="V124" t="s">
        <v>90</v>
      </c>
      <c r="W124" s="43">
        <v>6</v>
      </c>
      <c r="X124">
        <v>44.117647058823529</v>
      </c>
      <c r="Y124">
        <v>5.8823529411764705E-2</v>
      </c>
      <c r="Z124" s="1">
        <v>176.47058823529412</v>
      </c>
      <c r="AA124" s="1">
        <v>1</v>
      </c>
      <c r="AB124" s="1">
        <v>8.6274509803921564</v>
      </c>
      <c r="AC124" s="1">
        <v>3.9215686274509803E-2</v>
      </c>
      <c r="AD124" s="1">
        <v>24.509803921568629</v>
      </c>
      <c r="AE124">
        <v>3.6764705882352939</v>
      </c>
      <c r="AF124">
        <v>3.9215686274509803E-2</v>
      </c>
      <c r="AG124" t="s">
        <v>86</v>
      </c>
      <c r="AH124">
        <v>147.058823529412</v>
      </c>
      <c r="AI124" s="1">
        <v>5.7764705882352896</v>
      </c>
      <c r="AJ124" s="1">
        <v>5.6294117647058801</v>
      </c>
      <c r="AK124" s="1">
        <v>5.3352941176470603</v>
      </c>
      <c r="AL124" s="1">
        <v>4.5411764705882396</v>
      </c>
      <c r="AM124" s="1">
        <v>4.1294117647058801</v>
      </c>
      <c r="AN124" s="1">
        <v>4.0019607843137299</v>
      </c>
      <c r="AO124" s="1">
        <v>4.0019607843137299</v>
      </c>
      <c r="AP124" s="1">
        <v>4.0019607843137299</v>
      </c>
      <c r="AQ124" s="1">
        <v>3</v>
      </c>
      <c r="AR124" t="s">
        <v>171</v>
      </c>
      <c r="AS124">
        <v>1</v>
      </c>
      <c r="AT124">
        <v>7</v>
      </c>
      <c r="AU124">
        <v>315</v>
      </c>
      <c r="AV124">
        <v>0.45</v>
      </c>
      <c r="AW124">
        <v>490</v>
      </c>
      <c r="AX124">
        <v>2</v>
      </c>
      <c r="AY124">
        <v>49</v>
      </c>
      <c r="AZ124">
        <v>0.19</v>
      </c>
      <c r="BA124" s="43" t="str">
        <f t="shared" si="2"/>
        <v>Express</v>
      </c>
      <c r="BB124" s="46">
        <f>IFERROR((AD124+IF(Calculator_v2!$E$6*Y124&lt;X124,X124,IF(Calculator_v2!$E$6*Y124&gt;Z124,Z124,Calculator_v2!$E$6*Y124))+IF(Calculator_v2!$E$6*AC124&lt;AB124,AB124,Calculator_v2!$E$6*AC124)+IFERROR(_xlfn.LET(_xlpm.tarifa,IF(Calculator_v2!$E$6&lt;=$AI$1,AI124,IF(Calculator_v2!$E$6&lt;=$AK$1,AJ124,IF(Calculator_v2!$E$6&lt;=$AL$1,AK124,IF(Calculator_v2!$E$6&lt;=$AM$1,AL124,IF(Calculator_v2!$E$6&lt;=$AN$1,AM124,IF(Calculator_v2!$E$6&lt;=$AO$1,AN124,IF(Calculator_v2!$E$6&lt;=$AP$1,AO124,AP124))))))),_xlpm.resultado,_xlpm.tarifa*Calculator_v2!$E$6,IF(_xlpm.resultado&lt;AH124,AH124,_xlpm.resultado)),0)+IF(Calculator_v2!$E$6*AV124&lt;AU124,AU124,IF(Calculator_v2!$E$6*AV124&gt;AW124,AW124,Calculator_v2!$E$6*AV124))+IF(Calculator_v2!$E$6*AZ124&lt;=AY124,AY124,Calculator_v2!$E$6*AZ124)),0)</f>
        <v>2963.934901960783</v>
      </c>
      <c r="BC124" s="47">
        <f>IFERROR(+BB124/Calculator_v2!$E$6,0)+IFERROR(VLOOKUP(A124,DHL_ADDER!$B$4:$E$26,4,0),0)</f>
        <v>7.3566467938526738</v>
      </c>
      <c r="BD124" s="48">
        <f t="shared" si="3"/>
        <v>7</v>
      </c>
      <c r="BE124" s="48">
        <f>+T[[#This Row],[Airport to Destination Transit Time Days]]+T[[#This Row],[Airport to Airport Transit Time Days]]+T[[#This Row],[Origin to Airport Transit Time in days]]</f>
        <v>6</v>
      </c>
    </row>
    <row r="125" spans="1:57" customFormat="1" x14ac:dyDescent="0.35">
      <c r="A125" t="str">
        <f>+T[[#This Row],[Provider_Name]]&amp;"_"&amp;T[[#This Row],[AXIS]]</f>
        <v>DHL_B_IN&gt;ES</v>
      </c>
      <c r="B125" t="s">
        <v>71</v>
      </c>
      <c r="C125" t="s">
        <v>178</v>
      </c>
      <c r="D125" t="s">
        <v>179</v>
      </c>
      <c r="E125" t="s">
        <v>180</v>
      </c>
      <c r="F125" t="s">
        <v>92</v>
      </c>
      <c r="G125" t="s">
        <v>167</v>
      </c>
      <c r="H125" t="s">
        <v>168</v>
      </c>
      <c r="I125" t="s">
        <v>169</v>
      </c>
      <c r="J125">
        <v>410507</v>
      </c>
      <c r="K125" t="s">
        <v>170</v>
      </c>
      <c r="L125" t="s">
        <v>100</v>
      </c>
      <c r="M125" t="s">
        <v>106</v>
      </c>
      <c r="N125" t="s">
        <v>106</v>
      </c>
      <c r="O125">
        <v>48008</v>
      </c>
      <c r="P125" t="s">
        <v>102</v>
      </c>
      <c r="Q125" t="s">
        <v>107</v>
      </c>
      <c r="R125">
        <v>104</v>
      </c>
      <c r="S125">
        <v>54958.03</v>
      </c>
      <c r="T125">
        <v>54958.03</v>
      </c>
      <c r="U125" s="1">
        <v>528.44259615384613</v>
      </c>
      <c r="V125" t="s">
        <v>90</v>
      </c>
      <c r="W125" s="43">
        <v>6</v>
      </c>
      <c r="X125">
        <v>44.117647058823529</v>
      </c>
      <c r="Y125">
        <v>5.8823529411764705E-2</v>
      </c>
      <c r="Z125">
        <v>176.47058823529412</v>
      </c>
      <c r="AA125">
        <v>1</v>
      </c>
      <c r="AB125">
        <v>8.6274509803921564</v>
      </c>
      <c r="AC125">
        <v>3.9215686274509803E-2</v>
      </c>
      <c r="AD125">
        <v>24.509803921568629</v>
      </c>
      <c r="AE125">
        <v>3.6764705882352939</v>
      </c>
      <c r="AF125">
        <v>3.9215686274509803E-2</v>
      </c>
      <c r="AG125" t="s">
        <v>86</v>
      </c>
      <c r="AH125">
        <v>147.058823529412</v>
      </c>
      <c r="AI125" s="1">
        <v>5.7764705882352896</v>
      </c>
      <c r="AJ125" s="1">
        <v>5.6294117647058801</v>
      </c>
      <c r="AK125" s="1">
        <v>5.3352941176470603</v>
      </c>
      <c r="AL125" s="1">
        <v>4.5411764705882396</v>
      </c>
      <c r="AM125" s="1">
        <v>4.1294117647058801</v>
      </c>
      <c r="AN125" s="1">
        <v>4.0019607843137299</v>
      </c>
      <c r="AO125" s="1">
        <v>4.0019607843137299</v>
      </c>
      <c r="AP125" s="1">
        <v>4.0019607843137299</v>
      </c>
      <c r="AQ125">
        <v>3</v>
      </c>
      <c r="AR125" t="s">
        <v>171</v>
      </c>
      <c r="AS125">
        <v>1</v>
      </c>
      <c r="AT125">
        <v>7</v>
      </c>
      <c r="AU125">
        <v>315</v>
      </c>
      <c r="AV125">
        <v>0.45</v>
      </c>
      <c r="AW125">
        <v>490</v>
      </c>
      <c r="AX125">
        <v>2</v>
      </c>
      <c r="AY125">
        <v>49</v>
      </c>
      <c r="AZ125">
        <v>0.19</v>
      </c>
      <c r="BA125" s="43" t="str">
        <f t="shared" si="2"/>
        <v>Express</v>
      </c>
      <c r="BB125" s="46">
        <f>IFERROR((AD125+IF(Calculator_v2!$E$6*Y125&lt;X125,X125,IF(Calculator_v2!$E$6*Y125&gt;Z125,Z125,Calculator_v2!$E$6*Y125))+IF(Calculator_v2!$E$6*AC125&lt;AB125,AB125,Calculator_v2!$E$6*AC125)+IFERROR(_xlfn.LET(_xlpm.tarifa,IF(Calculator_v2!$E$6&lt;=$AI$1,AI125,IF(Calculator_v2!$E$6&lt;=$AK$1,AJ125,IF(Calculator_v2!$E$6&lt;=$AL$1,AK125,IF(Calculator_v2!$E$6&lt;=$AM$1,AL125,IF(Calculator_v2!$E$6&lt;=$AN$1,AM125,IF(Calculator_v2!$E$6&lt;=$AO$1,AN125,IF(Calculator_v2!$E$6&lt;=$AP$1,AO125,AP125))))))),_xlpm.resultado,_xlpm.tarifa*Calculator_v2!$E$6,IF(_xlpm.resultado&lt;AH125,AH125,_xlpm.resultado)),0)+IF(Calculator_v2!$E$6*AV125&lt;AU125,AU125,IF(Calculator_v2!$E$6*AV125&gt;AW125,AW125,Calculator_v2!$E$6*AV125))+IF(Calculator_v2!$E$6*AZ125&lt;=AY125,AY125,Calculator_v2!$E$6*AZ125)),0)</f>
        <v>2963.934901960783</v>
      </c>
      <c r="BC125" s="47">
        <f>IFERROR(+BB125/Calculator_v2!$E$6,0)+IFERROR(VLOOKUP(A125,DHL_ADDER!$B$4:$E$26,4,0),0)</f>
        <v>7.3566467938526738</v>
      </c>
      <c r="BD125" s="48">
        <f t="shared" si="3"/>
        <v>7</v>
      </c>
      <c r="BE125" s="48">
        <f>+T[[#This Row],[Airport to Destination Transit Time Days]]+T[[#This Row],[Airport to Airport Transit Time Days]]+T[[#This Row],[Origin to Airport Transit Time in days]]</f>
        <v>6</v>
      </c>
    </row>
    <row r="126" spans="1:57" customFormat="1" x14ac:dyDescent="0.35">
      <c r="A126" t="str">
        <f>+T[[#This Row],[Provider_Name]]&amp;"_"&amp;T[[#This Row],[AXIS]]</f>
        <v>DHL_B_IN&gt;ES</v>
      </c>
      <c r="B126" t="s">
        <v>71</v>
      </c>
      <c r="C126" t="s">
        <v>178</v>
      </c>
      <c r="D126" t="s">
        <v>179</v>
      </c>
      <c r="E126" t="s">
        <v>166</v>
      </c>
      <c r="F126" t="s">
        <v>92</v>
      </c>
      <c r="G126" t="s">
        <v>167</v>
      </c>
      <c r="H126" t="s">
        <v>168</v>
      </c>
      <c r="I126" t="s">
        <v>169</v>
      </c>
      <c r="J126">
        <v>410507</v>
      </c>
      <c r="K126" t="s">
        <v>170</v>
      </c>
      <c r="L126" t="s">
        <v>100</v>
      </c>
      <c r="M126" t="s">
        <v>106</v>
      </c>
      <c r="N126" t="s">
        <v>106</v>
      </c>
      <c r="O126">
        <v>48008</v>
      </c>
      <c r="P126" t="s">
        <v>102</v>
      </c>
      <c r="Q126" t="s">
        <v>107</v>
      </c>
      <c r="R126">
        <v>27</v>
      </c>
      <c r="S126">
        <v>15795.8</v>
      </c>
      <c r="T126">
        <v>15796</v>
      </c>
      <c r="U126" s="1">
        <v>585.03703703703707</v>
      </c>
      <c r="V126" t="s">
        <v>91</v>
      </c>
      <c r="W126" s="43">
        <v>8</v>
      </c>
      <c r="X126">
        <v>44.117647058823529</v>
      </c>
      <c r="Y126">
        <v>5.8823529411764705E-2</v>
      </c>
      <c r="Z126">
        <v>176.47058823529412</v>
      </c>
      <c r="AA126">
        <v>1</v>
      </c>
      <c r="AB126">
        <v>8.6274509803921564</v>
      </c>
      <c r="AC126">
        <v>3.9215686274509803E-2</v>
      </c>
      <c r="AD126">
        <v>24.509803921568629</v>
      </c>
      <c r="AE126">
        <v>3.6764705882352939</v>
      </c>
      <c r="AF126">
        <v>3.9215686274509803E-2</v>
      </c>
      <c r="AG126" t="s">
        <v>86</v>
      </c>
      <c r="AH126">
        <v>117.64705882352899</v>
      </c>
      <c r="AI126" s="1">
        <v>3.7274509803921601</v>
      </c>
      <c r="AJ126" s="1">
        <v>3.53137254901961</v>
      </c>
      <c r="AK126" s="1">
        <v>3.04117647058824</v>
      </c>
      <c r="AL126" s="1">
        <v>2.8450980392156899</v>
      </c>
      <c r="AM126" s="1">
        <v>2.1098039215686302</v>
      </c>
      <c r="AN126" s="1">
        <v>2.1098039215686302</v>
      </c>
      <c r="AO126" s="1">
        <v>2.1098039215686302</v>
      </c>
      <c r="AP126" s="1">
        <v>2.1098039215686302</v>
      </c>
      <c r="AQ126">
        <v>5</v>
      </c>
      <c r="AR126" t="s">
        <v>171</v>
      </c>
      <c r="AS126">
        <v>1</v>
      </c>
      <c r="AT126">
        <v>7</v>
      </c>
      <c r="AU126">
        <v>315</v>
      </c>
      <c r="AV126">
        <v>0.45</v>
      </c>
      <c r="AW126">
        <v>490</v>
      </c>
      <c r="AX126">
        <v>2</v>
      </c>
      <c r="AY126">
        <v>49</v>
      </c>
      <c r="AZ126">
        <v>0.19</v>
      </c>
      <c r="BA126" s="43" t="str">
        <f t="shared" si="2"/>
        <v>Normal</v>
      </c>
      <c r="BB126" s="46">
        <f>IFERROR((AD126+IF(Calculator_v2!$E$6*Y126&lt;X126,X126,IF(Calculator_v2!$E$6*Y126&gt;Z126,Z126,Calculator_v2!$E$6*Y126))+IF(Calculator_v2!$E$6*AC126&lt;AB126,AB126,Calculator_v2!$E$6*AC126)+IFERROR(_xlfn.LET(_xlpm.tarifa,IF(Calculator_v2!$E$6&lt;=$AI$1,AI126,IF(Calculator_v2!$E$6&lt;=$AK$1,AJ126,IF(Calculator_v2!$E$6&lt;=$AL$1,AK126,IF(Calculator_v2!$E$6&lt;=$AM$1,AL126,IF(Calculator_v2!$E$6&lt;=$AN$1,AM126,IF(Calculator_v2!$E$6&lt;=$AO$1,AN126,IF(Calculator_v2!$E$6&lt;=$AP$1,AO126,AP126))))))),_xlpm.resultado,_xlpm.tarifa*Calculator_v2!$E$6,IF(_xlpm.resultado&lt;AH126,AH126,_xlpm.resultado)),0)+IF(Calculator_v2!$E$6*AV126&lt;AU126,AU126,IF(Calculator_v2!$E$6*AV126&gt;AW126,AW126,Calculator_v2!$E$6*AV126))+IF(Calculator_v2!$E$6*AZ126&lt;=AY126,AY126,Calculator_v2!$E$6*AZ126)),0)</f>
        <v>1768.3270588235309</v>
      </c>
      <c r="BC126" s="47">
        <f>IFERROR(+BB126/Calculator_v2!$E$6,0)+IFERROR(VLOOKUP(A126,DHL_ADDER!$B$4:$E$26,4,0),0)</f>
        <v>5.3370389507154243</v>
      </c>
      <c r="BD126" s="48">
        <f t="shared" si="3"/>
        <v>7</v>
      </c>
      <c r="BE126" s="48">
        <f>+T[[#This Row],[Airport to Destination Transit Time Days]]+T[[#This Row],[Airport to Airport Transit Time Days]]+T[[#This Row],[Origin to Airport Transit Time in days]]</f>
        <v>8</v>
      </c>
    </row>
    <row r="127" spans="1:57" customFormat="1" x14ac:dyDescent="0.35">
      <c r="A127" t="str">
        <f>+T[[#This Row],[Provider_Name]]&amp;"_"&amp;T[[#This Row],[AXIS]]</f>
        <v>DHL_B_IN&gt;ES</v>
      </c>
      <c r="B127" t="s">
        <v>71</v>
      </c>
      <c r="C127" t="s">
        <v>178</v>
      </c>
      <c r="D127" t="s">
        <v>179</v>
      </c>
      <c r="E127" t="s">
        <v>180</v>
      </c>
      <c r="F127" t="s">
        <v>92</v>
      </c>
      <c r="G127" t="s">
        <v>167</v>
      </c>
      <c r="H127" t="s">
        <v>168</v>
      </c>
      <c r="I127" t="s">
        <v>169</v>
      </c>
      <c r="J127">
        <v>410507</v>
      </c>
      <c r="K127" t="s">
        <v>170</v>
      </c>
      <c r="L127" t="s">
        <v>100</v>
      </c>
      <c r="M127" t="s">
        <v>106</v>
      </c>
      <c r="N127" t="s">
        <v>106</v>
      </c>
      <c r="O127">
        <v>48008</v>
      </c>
      <c r="P127" t="s">
        <v>102</v>
      </c>
      <c r="Q127" t="s">
        <v>107</v>
      </c>
      <c r="R127">
        <v>104</v>
      </c>
      <c r="S127">
        <v>54958.03</v>
      </c>
      <c r="T127">
        <v>54958.03</v>
      </c>
      <c r="U127" s="1">
        <v>528.44259615384613</v>
      </c>
      <c r="V127" t="s">
        <v>91</v>
      </c>
      <c r="W127" s="43">
        <v>8</v>
      </c>
      <c r="X127">
        <v>44.117647058823529</v>
      </c>
      <c r="Y127">
        <v>5.8823529411764705E-2</v>
      </c>
      <c r="Z127">
        <v>176.47058823529412</v>
      </c>
      <c r="AA127">
        <v>1</v>
      </c>
      <c r="AB127">
        <v>8.6274509803921564</v>
      </c>
      <c r="AC127">
        <v>3.9215686274509803E-2</v>
      </c>
      <c r="AD127">
        <v>24.509803921568629</v>
      </c>
      <c r="AE127">
        <v>3.6764705882352939</v>
      </c>
      <c r="AF127">
        <v>3.9215686274509803E-2</v>
      </c>
      <c r="AG127" t="s">
        <v>86</v>
      </c>
      <c r="AH127">
        <v>117.64705882352899</v>
      </c>
      <c r="AI127" s="1">
        <v>3.7274509803921601</v>
      </c>
      <c r="AJ127" s="1">
        <v>3.53137254901961</v>
      </c>
      <c r="AK127" s="1">
        <v>3.04117647058824</v>
      </c>
      <c r="AL127" s="1">
        <v>2.8450980392156899</v>
      </c>
      <c r="AM127" s="1">
        <v>2.1098039215686302</v>
      </c>
      <c r="AN127" s="1">
        <v>2.1098039215686302</v>
      </c>
      <c r="AO127" s="1">
        <v>2.1098039215686302</v>
      </c>
      <c r="AP127" s="1">
        <v>2.1098039215686302</v>
      </c>
      <c r="AQ127">
        <v>5</v>
      </c>
      <c r="AR127" t="s">
        <v>171</v>
      </c>
      <c r="AS127">
        <v>1</v>
      </c>
      <c r="AT127">
        <v>7</v>
      </c>
      <c r="AU127">
        <v>315</v>
      </c>
      <c r="AV127">
        <v>0.45</v>
      </c>
      <c r="AW127">
        <v>490</v>
      </c>
      <c r="AX127">
        <v>2</v>
      </c>
      <c r="AY127">
        <v>49</v>
      </c>
      <c r="AZ127">
        <v>0.19</v>
      </c>
      <c r="BA127" s="43" t="str">
        <f t="shared" si="2"/>
        <v>Normal</v>
      </c>
      <c r="BB127" s="46">
        <f>IFERROR((AD127+IF(Calculator_v2!$E$6*Y127&lt;X127,X127,IF(Calculator_v2!$E$6*Y127&gt;Z127,Z127,Calculator_v2!$E$6*Y127))+IF(Calculator_v2!$E$6*AC127&lt;AB127,AB127,Calculator_v2!$E$6*AC127)+IFERROR(_xlfn.LET(_xlpm.tarifa,IF(Calculator_v2!$E$6&lt;=$AI$1,AI127,IF(Calculator_v2!$E$6&lt;=$AK$1,AJ127,IF(Calculator_v2!$E$6&lt;=$AL$1,AK127,IF(Calculator_v2!$E$6&lt;=$AM$1,AL127,IF(Calculator_v2!$E$6&lt;=$AN$1,AM127,IF(Calculator_v2!$E$6&lt;=$AO$1,AN127,IF(Calculator_v2!$E$6&lt;=$AP$1,AO127,AP127))))))),_xlpm.resultado,_xlpm.tarifa*Calculator_v2!$E$6,IF(_xlpm.resultado&lt;AH127,AH127,_xlpm.resultado)),0)+IF(Calculator_v2!$E$6*AV127&lt;AU127,AU127,IF(Calculator_v2!$E$6*AV127&gt;AW127,AW127,Calculator_v2!$E$6*AV127))+IF(Calculator_v2!$E$6*AZ127&lt;=AY127,AY127,Calculator_v2!$E$6*AZ127)),0)</f>
        <v>1768.3270588235309</v>
      </c>
      <c r="BC127" s="47">
        <f>IFERROR(+BB127/Calculator_v2!$E$6,0)+IFERROR(VLOOKUP(A127,DHL_ADDER!$B$4:$E$26,4,0),0)</f>
        <v>5.3370389507154243</v>
      </c>
      <c r="BD127" s="48">
        <f t="shared" si="3"/>
        <v>7</v>
      </c>
      <c r="BE127" s="48">
        <f>+T[[#This Row],[Airport to Destination Transit Time Days]]+T[[#This Row],[Airport to Airport Transit Time Days]]+T[[#This Row],[Origin to Airport Transit Time in days]]</f>
        <v>8</v>
      </c>
    </row>
    <row r="128" spans="1:57" customFormat="1" x14ac:dyDescent="0.35">
      <c r="A128" t="str">
        <f>+T[[#This Row],[Provider_Name]]&amp;"_"&amp;T[[#This Row],[AXIS]]</f>
        <v>DHL_B_IN&gt;RO</v>
      </c>
      <c r="B128" t="s">
        <v>71</v>
      </c>
      <c r="C128" t="s">
        <v>181</v>
      </c>
      <c r="D128" t="s">
        <v>182</v>
      </c>
      <c r="E128" t="s">
        <v>183</v>
      </c>
      <c r="F128" t="s">
        <v>92</v>
      </c>
      <c r="G128" t="s">
        <v>167</v>
      </c>
      <c r="H128" t="s">
        <v>168</v>
      </c>
      <c r="I128" t="s">
        <v>169</v>
      </c>
      <c r="J128">
        <v>410507</v>
      </c>
      <c r="K128" t="s">
        <v>170</v>
      </c>
      <c r="L128" t="s">
        <v>119</v>
      </c>
      <c r="M128" t="s">
        <v>120</v>
      </c>
      <c r="N128" t="s">
        <v>121</v>
      </c>
      <c r="O128">
        <v>115400</v>
      </c>
      <c r="P128" t="s">
        <v>122</v>
      </c>
      <c r="Q128" t="s">
        <v>116</v>
      </c>
      <c r="R128">
        <v>6</v>
      </c>
      <c r="S128">
        <v>3000</v>
      </c>
      <c r="T128">
        <v>3000</v>
      </c>
      <c r="U128" s="1">
        <v>500</v>
      </c>
      <c r="V128" t="s">
        <v>85</v>
      </c>
      <c r="W128" s="43">
        <v>9</v>
      </c>
      <c r="X128">
        <v>44.117647058823529</v>
      </c>
      <c r="Y128">
        <v>5.8823529411764705E-2</v>
      </c>
      <c r="Z128">
        <v>176.47058823529412</v>
      </c>
      <c r="AA128">
        <v>1</v>
      </c>
      <c r="AB128">
        <v>8.6274509803921564</v>
      </c>
      <c r="AC128">
        <v>3.9215686274509803E-2</v>
      </c>
      <c r="AD128">
        <v>24.509803921568629</v>
      </c>
      <c r="AE128">
        <v>3.6764705882352939</v>
      </c>
      <c r="AF128">
        <v>3.9215686274509803E-2</v>
      </c>
      <c r="AG128" t="s">
        <v>86</v>
      </c>
      <c r="AH128">
        <v>98.039215686274503</v>
      </c>
      <c r="AI128" s="49">
        <v>3.87450980392157</v>
      </c>
      <c r="AJ128" s="49">
        <v>3.7274509803921601</v>
      </c>
      <c r="AK128" s="49">
        <v>3.5803921568627501</v>
      </c>
      <c r="AL128" s="49">
        <v>3.3843137254902</v>
      </c>
      <c r="AM128" s="49">
        <v>2.2818181818181817</v>
      </c>
      <c r="AN128" s="49">
        <v>2.2818181818181817</v>
      </c>
      <c r="AO128" s="49">
        <v>2.2818181818181817</v>
      </c>
      <c r="AP128" s="49">
        <v>2.2818181818181817</v>
      </c>
      <c r="AQ128">
        <v>7</v>
      </c>
      <c r="AR128" t="s">
        <v>171</v>
      </c>
      <c r="AS128">
        <v>2</v>
      </c>
      <c r="AT128">
        <v>7</v>
      </c>
      <c r="AU128">
        <v>110</v>
      </c>
      <c r="AV128">
        <v>0.2</v>
      </c>
      <c r="AW128">
        <v>300</v>
      </c>
      <c r="AX128">
        <v>1</v>
      </c>
      <c r="AY128">
        <v>19</v>
      </c>
      <c r="AZ128">
        <v>0.19</v>
      </c>
      <c r="BA128" s="43" t="str">
        <f t="shared" si="2"/>
        <v>Economy</v>
      </c>
      <c r="BB128" s="46">
        <f>IFERROR((AD128+IF(Calculator_v2!$E$6*Y128&lt;X128,X128,IF(Calculator_v2!$E$6*Y128&gt;Z128,Z128,Calculator_v2!$E$6*Y128))+IF(Calculator_v2!$E$6*AC128&lt;AB128,AB128,Calculator_v2!$E$6*AC128)+IFERROR(_xlfn.LET(_xlpm.tarifa,IF(Calculator_v2!$E$6&lt;=$AI$1,AI128,IF(Calculator_v2!$E$6&lt;=$AK$1,AJ128,IF(Calculator_v2!$E$6&lt;=$AL$1,AK128,IF(Calculator_v2!$E$6&lt;=$AM$1,AL128,IF(Calculator_v2!$E$6&lt;=$AN$1,AM128,IF(Calculator_v2!$E$6&lt;=$AO$1,AN128,IF(Calculator_v2!$E$6&lt;=$AP$1,AO128,AP128))))))),_xlpm.resultado,_xlpm.tarifa*Calculator_v2!$E$6,IF(_xlpm.resultado&lt;AH128,AH128,_xlpm.resultado)),0)+IF(Calculator_v2!$E$6*AV128&lt;AU128,AU128,IF(Calculator_v2!$E$6*AV128&gt;AW128,AW128,Calculator_v2!$E$6*AV128))+IF(Calculator_v2!$E$6*AZ128&lt;=AY128,AY128,Calculator_v2!$E$6*AZ128)),0)</f>
        <v>1673.5595008912655</v>
      </c>
      <c r="BC128" s="47">
        <f>IFERROR(+BB128/Calculator_v2!$E$6,0)+IFERROR(VLOOKUP(A128,DHL_ADDER!$B$4:$E$26,4,0),0)</f>
        <v>5.1769586163703813</v>
      </c>
      <c r="BD128" s="48">
        <f t="shared" si="3"/>
        <v>7</v>
      </c>
      <c r="BE128" s="48">
        <f>+T[[#This Row],[Airport to Destination Transit Time Days]]+T[[#This Row],[Airport to Airport Transit Time Days]]+T[[#This Row],[Origin to Airport Transit Time in days]]</f>
        <v>9</v>
      </c>
    </row>
    <row r="129" spans="1:57" customFormat="1" x14ac:dyDescent="0.35">
      <c r="A129" t="str">
        <f>+T[[#This Row],[Provider_Name]]&amp;"_"&amp;T[[#This Row],[AXIS]]</f>
        <v>DHL_B_IN&gt;RO</v>
      </c>
      <c r="B129" t="s">
        <v>71</v>
      </c>
      <c r="C129" t="s">
        <v>181</v>
      </c>
      <c r="D129" t="s">
        <v>182</v>
      </c>
      <c r="E129" t="s">
        <v>183</v>
      </c>
      <c r="F129" t="s">
        <v>92</v>
      </c>
      <c r="G129" t="s">
        <v>167</v>
      </c>
      <c r="H129" t="s">
        <v>168</v>
      </c>
      <c r="I129" t="s">
        <v>169</v>
      </c>
      <c r="J129">
        <v>410507</v>
      </c>
      <c r="K129" t="s">
        <v>170</v>
      </c>
      <c r="L129" t="s">
        <v>119</v>
      </c>
      <c r="M129" t="s">
        <v>120</v>
      </c>
      <c r="N129" t="s">
        <v>121</v>
      </c>
      <c r="O129">
        <v>115400</v>
      </c>
      <c r="P129" t="s">
        <v>122</v>
      </c>
      <c r="Q129" t="s">
        <v>116</v>
      </c>
      <c r="R129">
        <v>6</v>
      </c>
      <c r="S129">
        <v>3000</v>
      </c>
      <c r="T129">
        <v>3000</v>
      </c>
      <c r="U129" s="1">
        <v>500</v>
      </c>
      <c r="V129" t="s">
        <v>90</v>
      </c>
      <c r="W129" s="48">
        <v>6</v>
      </c>
      <c r="X129" s="44">
        <v>44.117647058823529</v>
      </c>
      <c r="Y129" s="44">
        <v>5.8823529411764705E-2</v>
      </c>
      <c r="Z129" s="44">
        <v>176.47058823529412</v>
      </c>
      <c r="AA129">
        <v>1</v>
      </c>
      <c r="AB129" s="45">
        <v>8.6274509803921564</v>
      </c>
      <c r="AC129" s="45">
        <v>3.9215686274509803E-2</v>
      </c>
      <c r="AD129" s="45">
        <v>24.509803921568629</v>
      </c>
      <c r="AE129">
        <v>3.6764705882352939</v>
      </c>
      <c r="AF129">
        <v>3.9215686274509803E-2</v>
      </c>
      <c r="AG129" t="s">
        <v>86</v>
      </c>
      <c r="AH129" s="44">
        <v>147.058823529412</v>
      </c>
      <c r="AI129" s="44">
        <v>4.9921568627450998</v>
      </c>
      <c r="AJ129" s="44">
        <v>4.8647058823529399</v>
      </c>
      <c r="AK129" s="44">
        <v>4.6098039215686297</v>
      </c>
      <c r="AL129" s="44">
        <v>4.5117647058823502</v>
      </c>
      <c r="AM129" s="44">
        <v>3.9235294117647102</v>
      </c>
      <c r="AN129" s="44">
        <v>3.9235294117647102</v>
      </c>
      <c r="AO129" s="44">
        <v>3.9235294117647102</v>
      </c>
      <c r="AP129" s="44">
        <v>3.9235294117647102</v>
      </c>
      <c r="AQ129">
        <v>4</v>
      </c>
      <c r="AR129" t="s">
        <v>171</v>
      </c>
      <c r="AS129">
        <v>1</v>
      </c>
      <c r="AT129">
        <v>7</v>
      </c>
      <c r="AU129" s="45">
        <v>110</v>
      </c>
      <c r="AV129" s="45">
        <v>0.2</v>
      </c>
      <c r="AW129" s="45">
        <v>300</v>
      </c>
      <c r="AX129">
        <v>1</v>
      </c>
      <c r="AY129">
        <v>19</v>
      </c>
      <c r="AZ129">
        <v>0.19</v>
      </c>
      <c r="BA129" s="43" t="str">
        <f t="shared" si="2"/>
        <v>Express</v>
      </c>
      <c r="BB129" s="46">
        <f>IFERROR((AD129+IF(Calculator_v2!$E$6*Y129&lt;X129,X129,IF(Calculator_v2!$E$6*Y129&gt;Z129,Z129,Calculator_v2!$E$6*Y129))+IF(Calculator_v2!$E$6*AC129&lt;AB129,AB129,Calculator_v2!$E$6*AC129)+IFERROR(_xlfn.LET(_xlpm.tarifa,IF(Calculator_v2!$E$6&lt;=$AI$1,AI129,IF(Calculator_v2!$E$6&lt;=$AK$1,AJ129,IF(Calculator_v2!$E$6&lt;=$AL$1,AK129,IF(Calculator_v2!$E$6&lt;=$AM$1,AL129,IF(Calculator_v2!$E$6&lt;=$AN$1,AM129,IF(Calculator_v2!$E$6&lt;=$AO$1,AN129,IF(Calculator_v2!$E$6&lt;=$AP$1,AO129,AP129))))))),_xlpm.resultado,_xlpm.tarifa*Calculator_v2!$E$6,IF(_xlpm.resultado&lt;AH129,AH129,_xlpm.resultado)),0)+IF(Calculator_v2!$E$6*AV129&lt;AU129,AU129,IF(Calculator_v2!$E$6*AV129&gt;AW129,AW129,Calculator_v2!$E$6*AV129))+IF(Calculator_v2!$E$6*AZ129&lt;=AY129,AY129,Calculator_v2!$E$6*AZ129)),0)</f>
        <v>2645.4525490196106</v>
      </c>
      <c r="BC129" s="47">
        <f>IFERROR(+BB129/Calculator_v2!$E$6,0)+IFERROR(VLOOKUP(A129,DHL_ADDER!$B$4:$E$26,4,0),0)</f>
        <v>6.8186698463169098</v>
      </c>
      <c r="BD129" s="48">
        <f t="shared" si="3"/>
        <v>7</v>
      </c>
      <c r="BE129" s="48">
        <f>+T[[#This Row],[Airport to Destination Transit Time Days]]+T[[#This Row],[Airport to Airport Transit Time Days]]+T[[#This Row],[Origin to Airport Transit Time in days]]</f>
        <v>6</v>
      </c>
    </row>
    <row r="130" spans="1:57" customFormat="1" x14ac:dyDescent="0.35">
      <c r="A130" t="str">
        <f>+T[[#This Row],[Provider_Name]]&amp;"_"&amp;T[[#This Row],[AXIS]]</f>
        <v>DHL_B_IN&gt;RO</v>
      </c>
      <c r="B130" t="s">
        <v>71</v>
      </c>
      <c r="C130" t="s">
        <v>181</v>
      </c>
      <c r="D130" t="s">
        <v>182</v>
      </c>
      <c r="E130" t="s">
        <v>183</v>
      </c>
      <c r="F130" t="s">
        <v>92</v>
      </c>
      <c r="G130" t="s">
        <v>167</v>
      </c>
      <c r="H130" t="s">
        <v>168</v>
      </c>
      <c r="I130" t="s">
        <v>169</v>
      </c>
      <c r="J130">
        <v>410507</v>
      </c>
      <c r="K130" t="s">
        <v>170</v>
      </c>
      <c r="L130" t="s">
        <v>119</v>
      </c>
      <c r="M130" t="s">
        <v>120</v>
      </c>
      <c r="N130" t="s">
        <v>121</v>
      </c>
      <c r="O130">
        <v>115400</v>
      </c>
      <c r="P130" t="s">
        <v>122</v>
      </c>
      <c r="Q130" t="s">
        <v>116</v>
      </c>
      <c r="R130">
        <v>6</v>
      </c>
      <c r="S130">
        <v>3000</v>
      </c>
      <c r="T130">
        <v>3000</v>
      </c>
      <c r="U130" s="1">
        <v>500</v>
      </c>
      <c r="V130" t="s">
        <v>91</v>
      </c>
      <c r="W130" s="48">
        <v>7</v>
      </c>
      <c r="X130" s="44">
        <v>44.117647058823529</v>
      </c>
      <c r="Y130" s="44">
        <v>5.8823529411764705E-2</v>
      </c>
      <c r="Z130" s="44">
        <v>176.47058823529412</v>
      </c>
      <c r="AA130">
        <v>1</v>
      </c>
      <c r="AB130" s="45">
        <v>8.6274509803921564</v>
      </c>
      <c r="AC130" s="45">
        <v>3.9215686274509803E-2</v>
      </c>
      <c r="AD130" s="45">
        <v>24.509803921568629</v>
      </c>
      <c r="AE130">
        <v>3.6764705882352939</v>
      </c>
      <c r="AF130">
        <v>3.9215686274509803E-2</v>
      </c>
      <c r="AG130" t="s">
        <v>86</v>
      </c>
      <c r="AH130" s="44">
        <v>117.64705882352899</v>
      </c>
      <c r="AI130" s="44">
        <v>3.9235294117647102</v>
      </c>
      <c r="AJ130" s="44">
        <v>3.77647058823529</v>
      </c>
      <c r="AK130" s="44">
        <v>3.6294117647058801</v>
      </c>
      <c r="AL130" s="44">
        <v>3.43333333333333</v>
      </c>
      <c r="AM130" s="44">
        <v>2.4900000000000002</v>
      </c>
      <c r="AN130" s="44">
        <v>2.4900000000000002</v>
      </c>
      <c r="AO130" s="44">
        <v>2.4900000000000002</v>
      </c>
      <c r="AP130" s="44">
        <v>2.4900000000000002</v>
      </c>
      <c r="AQ130">
        <v>5</v>
      </c>
      <c r="AR130" t="s">
        <v>171</v>
      </c>
      <c r="AS130">
        <v>1</v>
      </c>
      <c r="AT130">
        <v>7</v>
      </c>
      <c r="AU130" s="45">
        <v>110</v>
      </c>
      <c r="AV130" s="45">
        <v>0.2</v>
      </c>
      <c r="AW130" s="45">
        <v>300</v>
      </c>
      <c r="AX130">
        <v>1</v>
      </c>
      <c r="AY130">
        <v>19</v>
      </c>
      <c r="AZ130">
        <v>0.19</v>
      </c>
      <c r="BA130" s="43" t="str">
        <f t="shared" si="2"/>
        <v>Normal</v>
      </c>
      <c r="BB130" s="46">
        <f>IFERROR((AD130+IF(Calculator_v2!$E$6*Y130&lt;X130,X130,IF(Calculator_v2!$E$6*Y130&gt;Z130,Z130,Calculator_v2!$E$6*Y130))+IF(Calculator_v2!$E$6*AC130&lt;AB130,AB130,Calculator_v2!$E$6*AC130)+IFERROR(_xlfn.LET(_xlpm.tarifa,IF(Calculator_v2!$E$6&lt;=$AI$1,AI130,IF(Calculator_v2!$E$6&lt;=$AK$1,AJ130,IF(Calculator_v2!$E$6&lt;=$AL$1,AK130,IF(Calculator_v2!$E$6&lt;=$AM$1,AL130,IF(Calculator_v2!$E$6&lt;=$AN$1,AM130,IF(Calculator_v2!$E$6&lt;=$AO$1,AN130,IF(Calculator_v2!$E$6&lt;=$AP$1,AO130,AP130))))))),_xlpm.resultado,_xlpm.tarifa*Calculator_v2!$E$6,IF(_xlpm.resultado&lt;AH130,AH130,_xlpm.resultado)),0)+IF(Calculator_v2!$E$6*AV130&lt;AU130,AU130,IF(Calculator_v2!$E$6*AV130&gt;AW130,AW130,Calculator_v2!$E$6*AV130))+IF(Calculator_v2!$E$6*AZ130&lt;=AY130,AY130,Calculator_v2!$E$6*AZ130)),0)</f>
        <v>1796.8031372549021</v>
      </c>
      <c r="BC130" s="47">
        <f>IFERROR(+BB130/Calculator_v2!$E$6,0)+IFERROR(VLOOKUP(A130,DHL_ADDER!$B$4:$E$26,4,0),0)</f>
        <v>5.3851404345522003</v>
      </c>
      <c r="BD130" s="48">
        <f t="shared" si="3"/>
        <v>7</v>
      </c>
      <c r="BE130" s="48">
        <f>+T[[#This Row],[Airport to Destination Transit Time Days]]+T[[#This Row],[Airport to Airport Transit Time Days]]+T[[#This Row],[Origin to Airport Transit Time in days]]</f>
        <v>7</v>
      </c>
    </row>
    <row r="131" spans="1:57" customFormat="1" x14ac:dyDescent="0.35">
      <c r="A131" t="str">
        <f>+T[[#This Row],[Provider_Name]]&amp;"_"&amp;T[[#This Row],[AXIS]]</f>
        <v>DHL_B_IN&gt;TR</v>
      </c>
      <c r="B131" t="s">
        <v>71</v>
      </c>
      <c r="C131" t="s">
        <v>184</v>
      </c>
      <c r="D131" t="s">
        <v>185</v>
      </c>
      <c r="E131" t="s">
        <v>166</v>
      </c>
      <c r="F131" t="s">
        <v>92</v>
      </c>
      <c r="G131" t="s">
        <v>167</v>
      </c>
      <c r="H131" t="s">
        <v>168</v>
      </c>
      <c r="I131" t="s">
        <v>169</v>
      </c>
      <c r="J131">
        <v>410507</v>
      </c>
      <c r="K131" t="s">
        <v>170</v>
      </c>
      <c r="L131" t="s">
        <v>126</v>
      </c>
      <c r="M131" t="s">
        <v>127</v>
      </c>
      <c r="N131" t="s">
        <v>128</v>
      </c>
      <c r="O131">
        <v>34771</v>
      </c>
      <c r="P131" t="s">
        <v>129</v>
      </c>
      <c r="Q131" t="s">
        <v>130</v>
      </c>
      <c r="R131">
        <v>52</v>
      </c>
      <c r="S131">
        <v>44739.4</v>
      </c>
      <c r="T131">
        <v>44879</v>
      </c>
      <c r="U131" s="1">
        <v>863.05769230769226</v>
      </c>
      <c r="V131" t="s">
        <v>85</v>
      </c>
      <c r="W131" s="43">
        <v>9</v>
      </c>
      <c r="X131">
        <v>44.117647058823529</v>
      </c>
      <c r="Y131">
        <v>5.8823529411764705E-2</v>
      </c>
      <c r="Z131">
        <v>176.47058823529412</v>
      </c>
      <c r="AA131">
        <v>1</v>
      </c>
      <c r="AB131">
        <v>8.6274509803921564</v>
      </c>
      <c r="AC131">
        <v>3.9215686274509803E-2</v>
      </c>
      <c r="AD131">
        <v>24.509803921568629</v>
      </c>
      <c r="AE131">
        <v>3.6764705882352939</v>
      </c>
      <c r="AF131">
        <v>3.9215686274509803E-2</v>
      </c>
      <c r="AG131" t="s">
        <v>86</v>
      </c>
      <c r="AH131">
        <v>98.039215686274503</v>
      </c>
      <c r="AI131" s="1">
        <v>3.87450980392157</v>
      </c>
      <c r="AJ131" s="1">
        <v>3.7274509803921601</v>
      </c>
      <c r="AK131" s="1">
        <v>3.5803921568627501</v>
      </c>
      <c r="AL131" s="1">
        <v>3.3843137254902</v>
      </c>
      <c r="AM131" s="1">
        <v>2.2872549019607842</v>
      </c>
      <c r="AN131" s="1">
        <v>2.2872549019607842</v>
      </c>
      <c r="AO131" s="1">
        <v>2.2872549019607842</v>
      </c>
      <c r="AP131" s="1">
        <v>2.2872549019607842</v>
      </c>
      <c r="AQ131">
        <v>7</v>
      </c>
      <c r="AR131" t="s">
        <v>171</v>
      </c>
      <c r="AS131">
        <v>2</v>
      </c>
      <c r="AT131">
        <v>7</v>
      </c>
      <c r="AU131">
        <v>495</v>
      </c>
      <c r="AV131">
        <v>0.49</v>
      </c>
      <c r="AW131">
        <v>750</v>
      </c>
      <c r="AX131">
        <v>1</v>
      </c>
      <c r="AY131">
        <v>85</v>
      </c>
      <c r="AZ131">
        <v>0.04</v>
      </c>
      <c r="BA131" s="43" t="str">
        <f t="shared" si="2"/>
        <v>Economy</v>
      </c>
      <c r="BB131" s="46">
        <f>IFERROR((AD131+IF(Calculator_v2!$E$6*Y131&lt;X131,X131,IF(Calculator_v2!$E$6*Y131&gt;Z131,Z131,Calculator_v2!$E$6*Y131))+IF(Calculator_v2!$E$6*AC131&lt;AB131,AB131,Calculator_v2!$E$6*AC131)+IFERROR(_xlfn.LET(_xlpm.tarifa,IF(Calculator_v2!$E$6&lt;=$AI$1,AI131,IF(Calculator_v2!$E$6&lt;=$AK$1,AJ131,IF(Calculator_v2!$E$6&lt;=$AL$1,AK131,IF(Calculator_v2!$E$6&lt;=$AM$1,AL131,IF(Calculator_v2!$E$6&lt;=$AN$1,AM131,IF(Calculator_v2!$E$6&lt;=$AO$1,AN131,IF(Calculator_v2!$E$6&lt;=$AP$1,AO131,AP131))))))),_xlpm.resultado,_xlpm.tarifa*Calculator_v2!$E$6,IF(_xlpm.resultado&lt;AH131,AH131,_xlpm.resultado)),0)+IF(Calculator_v2!$E$6*AV131&lt;AU131,AU131,IF(Calculator_v2!$E$6*AV131&gt;AW131,AW131,Calculator_v2!$E$6*AV131))+IF(Calculator_v2!$E$6*AZ131&lt;=AY131,AY131,Calculator_v2!$E$6*AZ131)),0)</f>
        <v>2025.8980392156861</v>
      </c>
      <c r="BC131" s="47">
        <f>IFERROR(+BB131/Calculator_v2!$E$6,0)+IFERROR(VLOOKUP(A131,DHL_ADDER!$B$4:$E$26,4,0),0)</f>
        <v>5.7721250662427135</v>
      </c>
      <c r="BD131" s="48">
        <f t="shared" si="3"/>
        <v>7</v>
      </c>
      <c r="BE131" s="48">
        <f>+T[[#This Row],[Airport to Destination Transit Time Days]]+T[[#This Row],[Airport to Airport Transit Time Days]]+T[[#This Row],[Origin to Airport Transit Time in days]]</f>
        <v>9</v>
      </c>
    </row>
    <row r="132" spans="1:57" customFormat="1" x14ac:dyDescent="0.35">
      <c r="A132" t="str">
        <f>+T[[#This Row],[Provider_Name]]&amp;"_"&amp;T[[#This Row],[AXIS]]</f>
        <v>DHL_B_IN&gt;TR</v>
      </c>
      <c r="B132" t="s">
        <v>71</v>
      </c>
      <c r="C132" t="s">
        <v>184</v>
      </c>
      <c r="D132" t="s">
        <v>185</v>
      </c>
      <c r="E132" t="s">
        <v>166</v>
      </c>
      <c r="F132" t="s">
        <v>92</v>
      </c>
      <c r="G132" t="s">
        <v>167</v>
      </c>
      <c r="H132" t="s">
        <v>168</v>
      </c>
      <c r="I132" t="s">
        <v>169</v>
      </c>
      <c r="J132">
        <v>410507</v>
      </c>
      <c r="K132" t="s">
        <v>170</v>
      </c>
      <c r="L132" t="s">
        <v>126</v>
      </c>
      <c r="M132" t="s">
        <v>127</v>
      </c>
      <c r="N132" t="s">
        <v>128</v>
      </c>
      <c r="O132">
        <v>34771</v>
      </c>
      <c r="P132" t="s">
        <v>129</v>
      </c>
      <c r="Q132" t="s">
        <v>130</v>
      </c>
      <c r="R132">
        <v>52</v>
      </c>
      <c r="S132">
        <v>44739.4</v>
      </c>
      <c r="T132">
        <v>44879</v>
      </c>
      <c r="U132" s="1">
        <v>863.05769230769226</v>
      </c>
      <c r="V132" t="s">
        <v>90</v>
      </c>
      <c r="W132" s="43">
        <v>6</v>
      </c>
      <c r="X132">
        <v>44.117647058823529</v>
      </c>
      <c r="Y132">
        <v>5.8823529411764705E-2</v>
      </c>
      <c r="Z132">
        <v>176.47058823529412</v>
      </c>
      <c r="AA132">
        <v>1</v>
      </c>
      <c r="AB132">
        <v>8.6274509803921564</v>
      </c>
      <c r="AC132">
        <v>3.9215686274509803E-2</v>
      </c>
      <c r="AD132">
        <v>24.509803921568629</v>
      </c>
      <c r="AE132">
        <v>3.6764705882352939</v>
      </c>
      <c r="AF132">
        <v>3.9215686274509803E-2</v>
      </c>
      <c r="AG132" t="s">
        <v>86</v>
      </c>
      <c r="AH132">
        <v>147.058823529412</v>
      </c>
      <c r="AI132" s="1">
        <v>4.9921568627450998</v>
      </c>
      <c r="AJ132" s="1">
        <v>4.8647058823529399</v>
      </c>
      <c r="AK132" s="1">
        <v>4.6098039215686297</v>
      </c>
      <c r="AL132" s="1">
        <v>4.5117647058823502</v>
      </c>
      <c r="AM132" s="1">
        <v>3.8272727272727272</v>
      </c>
      <c r="AN132" s="1">
        <v>3.8272727272727272</v>
      </c>
      <c r="AO132" s="1">
        <v>3.8272727272727272</v>
      </c>
      <c r="AP132" s="1">
        <v>3.8272727272727272</v>
      </c>
      <c r="AQ132">
        <v>4</v>
      </c>
      <c r="AR132" t="s">
        <v>171</v>
      </c>
      <c r="AS132">
        <v>1</v>
      </c>
      <c r="AT132">
        <v>7</v>
      </c>
      <c r="AU132">
        <v>495</v>
      </c>
      <c r="AV132">
        <v>0.49</v>
      </c>
      <c r="AW132">
        <v>750</v>
      </c>
      <c r="AX132">
        <v>1</v>
      </c>
      <c r="AY132">
        <v>85</v>
      </c>
      <c r="AZ132">
        <v>0.04</v>
      </c>
      <c r="BA132" s="43" t="str">
        <f t="shared" si="2"/>
        <v>Express</v>
      </c>
      <c r="BB132" s="46">
        <f>IFERROR((AD132+IF(Calculator_v2!$E$6*Y132&lt;X132,X132,IF(Calculator_v2!$E$6*Y132&gt;Z132,Z132,Calculator_v2!$E$6*Y132))+IF(Calculator_v2!$E$6*AC132&lt;AB132,AB132,Calculator_v2!$E$6*AC132)+IFERROR(_xlfn.LET(_xlpm.tarifa,IF(Calculator_v2!$E$6&lt;=$AI$1,AI132,IF(Calculator_v2!$E$6&lt;=$AK$1,AJ132,IF(Calculator_v2!$E$6&lt;=$AL$1,AK132,IF(Calculator_v2!$E$6&lt;=$AM$1,AL132,IF(Calculator_v2!$E$6&lt;=$AN$1,AM132,IF(Calculator_v2!$E$6&lt;=$AO$1,AN132,IF(Calculator_v2!$E$6&lt;=$AP$1,AO132,AP132))))))),_xlpm.resultado,_xlpm.tarifa*Calculator_v2!$E$6,IF(_xlpm.resultado&lt;AH132,AH132,_xlpm.resultado)),0)+IF(Calculator_v2!$E$6*AV132&lt;AU132,AU132,IF(Calculator_v2!$E$6*AV132&gt;AW132,AW132,Calculator_v2!$E$6*AV132))+IF(Calculator_v2!$E$6*AZ132&lt;=AY132,AY132,Calculator_v2!$E$6*AZ132)),0)</f>
        <v>2937.5885918003564</v>
      </c>
      <c r="BC132" s="47">
        <f>IFERROR(+BB132/Calculator_v2!$E$6,0)+IFERROR(VLOOKUP(A132,DHL_ADDER!$B$4:$E$26,4,0),0)</f>
        <v>7.3121428915546556</v>
      </c>
      <c r="BD132" s="48">
        <f t="shared" si="3"/>
        <v>7</v>
      </c>
      <c r="BE132" s="48">
        <f>+T[[#This Row],[Airport to Destination Transit Time Days]]+T[[#This Row],[Airport to Airport Transit Time Days]]+T[[#This Row],[Origin to Airport Transit Time in days]]</f>
        <v>6</v>
      </c>
    </row>
    <row r="133" spans="1:57" customFormat="1" x14ac:dyDescent="0.35">
      <c r="A133" t="str">
        <f>+T[[#This Row],[Provider_Name]]&amp;"_"&amp;T[[#This Row],[AXIS]]</f>
        <v>DHL_B_IN&gt;TR</v>
      </c>
      <c r="B133" t="s">
        <v>71</v>
      </c>
      <c r="C133" t="s">
        <v>184</v>
      </c>
      <c r="D133" t="s">
        <v>185</v>
      </c>
      <c r="E133" t="s">
        <v>166</v>
      </c>
      <c r="F133" t="s">
        <v>92</v>
      </c>
      <c r="G133" t="s">
        <v>167</v>
      </c>
      <c r="H133" t="s">
        <v>168</v>
      </c>
      <c r="I133" t="s">
        <v>169</v>
      </c>
      <c r="J133">
        <v>410507</v>
      </c>
      <c r="K133" t="s">
        <v>170</v>
      </c>
      <c r="L133" t="s">
        <v>126</v>
      </c>
      <c r="M133" t="s">
        <v>127</v>
      </c>
      <c r="N133" t="s">
        <v>128</v>
      </c>
      <c r="O133">
        <v>34771</v>
      </c>
      <c r="P133" t="s">
        <v>129</v>
      </c>
      <c r="Q133" t="s">
        <v>130</v>
      </c>
      <c r="R133">
        <v>52</v>
      </c>
      <c r="S133">
        <v>44739.4</v>
      </c>
      <c r="T133">
        <v>44879</v>
      </c>
      <c r="U133" s="1">
        <v>863.05769230769226</v>
      </c>
      <c r="V133" t="s">
        <v>91</v>
      </c>
      <c r="W133" s="43">
        <v>7</v>
      </c>
      <c r="X133">
        <v>44.117647058823529</v>
      </c>
      <c r="Y133">
        <v>5.8823529411764705E-2</v>
      </c>
      <c r="Z133">
        <v>176.47058823529412</v>
      </c>
      <c r="AA133">
        <v>1</v>
      </c>
      <c r="AB133">
        <v>8.6274509803921564</v>
      </c>
      <c r="AC133">
        <v>3.9215686274509803E-2</v>
      </c>
      <c r="AD133">
        <v>24.509803921568629</v>
      </c>
      <c r="AE133">
        <v>3.6764705882352939</v>
      </c>
      <c r="AF133">
        <v>3.9215686274509803E-2</v>
      </c>
      <c r="AG133" t="s">
        <v>86</v>
      </c>
      <c r="AH133">
        <v>117.64705882352899</v>
      </c>
      <c r="AI133" s="1">
        <v>3.9235294117647102</v>
      </c>
      <c r="AJ133" s="1">
        <v>3.77647058823529</v>
      </c>
      <c r="AK133" s="1">
        <v>3.6294117647058801</v>
      </c>
      <c r="AL133" s="1">
        <v>3.43333333333333</v>
      </c>
      <c r="AM133" s="1">
        <v>2.4272727272727272</v>
      </c>
      <c r="AN133" s="1">
        <v>2.4272727272727272</v>
      </c>
      <c r="AO133" s="1">
        <v>2.4272727272727272</v>
      </c>
      <c r="AP133" s="1">
        <v>2.4272727272727272</v>
      </c>
      <c r="AQ133">
        <v>5</v>
      </c>
      <c r="AR133" t="s">
        <v>171</v>
      </c>
      <c r="AS133">
        <v>1</v>
      </c>
      <c r="AT133">
        <v>7</v>
      </c>
      <c r="AU133">
        <v>495</v>
      </c>
      <c r="AV133">
        <v>0.49</v>
      </c>
      <c r="AW133">
        <v>750</v>
      </c>
      <c r="AX133">
        <v>1</v>
      </c>
      <c r="AY133">
        <v>85</v>
      </c>
      <c r="AZ133">
        <v>0.04</v>
      </c>
      <c r="BA133" s="43" t="str">
        <f t="shared" ref="BA133:BA196" si="4">+IF(V133="","NORMAL",V133)</f>
        <v>Normal</v>
      </c>
      <c r="BB133" s="46">
        <f>IFERROR((AD133+IF(Calculator_v2!$E$6*Y133&lt;X133,X133,IF(Calculator_v2!$E$6*Y133&gt;Z133,Z133,Calculator_v2!$E$6*Y133))+IF(Calculator_v2!$E$6*AC133&lt;AB133,AB133,Calculator_v2!$E$6*AC133)+IFERROR(_xlfn.LET(_xlpm.tarifa,IF(Calculator_v2!$E$6&lt;=$AI$1,AI133,IF(Calculator_v2!$E$6&lt;=$AK$1,AJ133,IF(Calculator_v2!$E$6&lt;=$AL$1,AK133,IF(Calculator_v2!$E$6&lt;=$AM$1,AL133,IF(Calculator_v2!$E$6&lt;=$AN$1,AM133,IF(Calculator_v2!$E$6&lt;=$AO$1,AN133,IF(Calculator_v2!$E$6&lt;=$AP$1,AO133,AP133))))))),_xlpm.resultado,_xlpm.tarifa*Calculator_v2!$E$6,IF(_xlpm.resultado&lt;AH133,AH133,_xlpm.resultado)),0)+IF(Calculator_v2!$E$6*AV133&lt;AU133,AU133,IF(Calculator_v2!$E$6*AV133&gt;AW133,AW133,Calculator_v2!$E$6*AV133))+IF(Calculator_v2!$E$6*AZ133&lt;=AY133,AY133,Calculator_v2!$E$6*AZ133)),0)</f>
        <v>2108.7885918003567</v>
      </c>
      <c r="BC133" s="47">
        <f>IFERROR(+BB133/Calculator_v2!$E$6,0)+IFERROR(VLOOKUP(A133,DHL_ADDER!$B$4:$E$26,4,0),0)</f>
        <v>5.912142891554657</v>
      </c>
      <c r="BD133" s="48">
        <f t="shared" ref="BD133:BD196" si="5">IF(AT133="",1,IF(OR(NOT(ISERROR(SEARCH("Daily",AT133))),NOT(ISERROR(SEARCH("DAILY",AT133)))),7,IF(AND(ISERROR(FIND(",",AT133)),ISERROR(FIND(" ",AT133))),AT133,LEN(AT133)-LEN(SUBSTITUTE(SUBSTITUTE(AT133,",",""),".",""))+1)))</f>
        <v>7</v>
      </c>
      <c r="BE133" s="48">
        <f>+T[[#This Row],[Airport to Destination Transit Time Days]]+T[[#This Row],[Airport to Airport Transit Time Days]]+T[[#This Row],[Origin to Airport Transit Time in days]]</f>
        <v>7</v>
      </c>
    </row>
    <row r="134" spans="1:57" customFormat="1" x14ac:dyDescent="0.35">
      <c r="A134" t="str">
        <f>+T[[#This Row],[Provider_Name]]&amp;"_"&amp;T[[#This Row],[AXIS]]</f>
        <v>DHL_B_JP&gt;BR</v>
      </c>
      <c r="B134" t="s">
        <v>71</v>
      </c>
      <c r="C134" t="s">
        <v>186</v>
      </c>
      <c r="D134" t="s">
        <v>187</v>
      </c>
      <c r="E134" t="s">
        <v>188</v>
      </c>
      <c r="F134" t="s">
        <v>75</v>
      </c>
      <c r="G134" t="s">
        <v>189</v>
      </c>
      <c r="H134" t="s">
        <v>190</v>
      </c>
      <c r="I134" t="s">
        <v>191</v>
      </c>
      <c r="J134" t="s">
        <v>192</v>
      </c>
      <c r="K134" t="s">
        <v>193</v>
      </c>
      <c r="L134" t="s">
        <v>79</v>
      </c>
      <c r="M134" t="s">
        <v>80</v>
      </c>
      <c r="N134" t="s">
        <v>81</v>
      </c>
      <c r="O134" t="s">
        <v>82</v>
      </c>
      <c r="P134" t="s">
        <v>93</v>
      </c>
      <c r="Q134" t="s">
        <v>84</v>
      </c>
      <c r="R134">
        <v>5</v>
      </c>
      <c r="S134">
        <v>8005.42</v>
      </c>
      <c r="T134">
        <v>8005.52</v>
      </c>
      <c r="U134" s="1">
        <v>1601.104</v>
      </c>
      <c r="V134" t="s">
        <v>85</v>
      </c>
      <c r="W134" s="48">
        <v>15</v>
      </c>
      <c r="X134" s="44">
        <v>40</v>
      </c>
      <c r="Y134" s="44">
        <v>0.36</v>
      </c>
      <c r="Z134" s="44">
        <v>2220</v>
      </c>
      <c r="AA134">
        <v>1</v>
      </c>
      <c r="AB134" s="45">
        <v>15</v>
      </c>
      <c r="AC134" s="45">
        <v>0.13</v>
      </c>
      <c r="AD134" s="45">
        <v>20</v>
      </c>
      <c r="AE134">
        <v>22</v>
      </c>
      <c r="AF134">
        <v>0.15</v>
      </c>
      <c r="AG134" t="s">
        <v>86</v>
      </c>
      <c r="AH134" s="44">
        <v>50</v>
      </c>
      <c r="AI134" s="44">
        <v>7.6</v>
      </c>
      <c r="AJ134" s="44">
        <v>7.6</v>
      </c>
      <c r="AK134" s="44">
        <v>7.6</v>
      </c>
      <c r="AL134" s="44">
        <v>7.6</v>
      </c>
      <c r="AM134" s="44">
        <v>7.6</v>
      </c>
      <c r="AN134" s="44">
        <v>7.6</v>
      </c>
      <c r="AO134" s="44">
        <v>7.6</v>
      </c>
      <c r="AP134" s="44">
        <v>7.6</v>
      </c>
      <c r="AQ134">
        <v>11</v>
      </c>
      <c r="AR134" t="s">
        <v>194</v>
      </c>
      <c r="AS134">
        <v>2</v>
      </c>
      <c r="AT134">
        <v>2</v>
      </c>
      <c r="AU134" s="45"/>
      <c r="AV134" s="45"/>
      <c r="AW134" s="45"/>
      <c r="AX134">
        <v>1</v>
      </c>
      <c r="AY134">
        <v>120</v>
      </c>
      <c r="AZ134">
        <v>0.06</v>
      </c>
      <c r="BA134" s="43" t="str">
        <f t="shared" si="4"/>
        <v>Economy</v>
      </c>
      <c r="BB134" s="46">
        <f>IFERROR((AD134+IF(Calculator_v2!$E$6*Y134&lt;X134,X134,IF(Calculator_v2!$E$6*Y134&gt;Z134,Z134,Calculator_v2!$E$6*Y134))+IF(Calculator_v2!$E$6*AC134&lt;AB134,AB134,Calculator_v2!$E$6*AC134)+IFERROR(_xlfn.LET(_xlpm.tarifa,IF(Calculator_v2!$E$6&lt;=$AI$1,AI134,IF(Calculator_v2!$E$6&lt;=$AK$1,AJ134,IF(Calculator_v2!$E$6&lt;=$AL$1,AK134,IF(Calculator_v2!$E$6&lt;=$AM$1,AL134,IF(Calculator_v2!$E$6&lt;=$AN$1,AM134,IF(Calculator_v2!$E$6&lt;=$AO$1,AN134,IF(Calculator_v2!$E$6&lt;=$AP$1,AO134,AP134))))))),_xlpm.resultado,_xlpm.tarifa*Calculator_v2!$E$6,IF(_xlpm.resultado&lt;AH134,AH134,_xlpm.resultado)),0)+IF(Calculator_v2!$E$6*AV134&lt;AU134,AU134,IF(Calculator_v2!$E$6*AV134&gt;AW134,AW134,Calculator_v2!$E$6*AV134))+IF(Calculator_v2!$E$6*AZ134&lt;=AY134,AY134,Calculator_v2!$E$6*AZ134)),0)</f>
        <v>4929.28</v>
      </c>
      <c r="BC134" s="47">
        <f>IFERROR(+BB134/Calculator_v2!$E$6,0)+IFERROR(VLOOKUP(A134,DHL_ADDER!$B$4:$E$26,4,0),0)</f>
        <v>9.9964864864864857</v>
      </c>
      <c r="BD134" s="48">
        <f t="shared" si="5"/>
        <v>2</v>
      </c>
      <c r="BE134" s="48">
        <f>+T[[#This Row],[Airport to Destination Transit Time Days]]+T[[#This Row],[Airport to Airport Transit Time Days]]+T[[#This Row],[Origin to Airport Transit Time in days]]</f>
        <v>13</v>
      </c>
    </row>
    <row r="135" spans="1:57" customFormat="1" x14ac:dyDescent="0.35">
      <c r="A135" t="str">
        <f>+T[[#This Row],[Provider_Name]]&amp;"_"&amp;T[[#This Row],[AXIS]]</f>
        <v>DHL_B_JP&gt;BR</v>
      </c>
      <c r="B135" t="s">
        <v>71</v>
      </c>
      <c r="C135" t="s">
        <v>186</v>
      </c>
      <c r="D135" t="s">
        <v>187</v>
      </c>
      <c r="E135" t="s">
        <v>188</v>
      </c>
      <c r="F135" t="s">
        <v>75</v>
      </c>
      <c r="G135" t="s">
        <v>189</v>
      </c>
      <c r="H135" t="s">
        <v>190</v>
      </c>
      <c r="I135" t="s">
        <v>191</v>
      </c>
      <c r="J135" t="s">
        <v>192</v>
      </c>
      <c r="K135" t="s">
        <v>193</v>
      </c>
      <c r="L135" t="s">
        <v>79</v>
      </c>
      <c r="M135" t="s">
        <v>80</v>
      </c>
      <c r="N135" t="s">
        <v>81</v>
      </c>
      <c r="O135" t="s">
        <v>82</v>
      </c>
      <c r="P135" t="s">
        <v>83</v>
      </c>
      <c r="Q135" t="s">
        <v>84</v>
      </c>
      <c r="R135">
        <v>5</v>
      </c>
      <c r="S135">
        <v>8005.42</v>
      </c>
      <c r="T135">
        <v>8005.52</v>
      </c>
      <c r="U135" s="1">
        <v>1601.104</v>
      </c>
      <c r="V135" t="s">
        <v>85</v>
      </c>
      <c r="W135" s="48">
        <v>15</v>
      </c>
      <c r="X135" s="44">
        <v>40</v>
      </c>
      <c r="Y135" s="44">
        <v>0.36</v>
      </c>
      <c r="Z135" s="44">
        <v>2220</v>
      </c>
      <c r="AA135">
        <v>1</v>
      </c>
      <c r="AB135" s="45">
        <v>15</v>
      </c>
      <c r="AC135" s="45">
        <v>0.13</v>
      </c>
      <c r="AD135" s="45">
        <v>20</v>
      </c>
      <c r="AE135">
        <v>22</v>
      </c>
      <c r="AF135">
        <v>0.15</v>
      </c>
      <c r="AG135" t="s">
        <v>86</v>
      </c>
      <c r="AH135" s="44">
        <v>50</v>
      </c>
      <c r="AI135" s="44">
        <v>8.6</v>
      </c>
      <c r="AJ135" s="44">
        <v>8.6</v>
      </c>
      <c r="AK135" s="44">
        <v>8.6</v>
      </c>
      <c r="AL135" s="44">
        <v>8.6</v>
      </c>
      <c r="AM135" s="44">
        <v>8.6</v>
      </c>
      <c r="AN135" s="44">
        <v>8.6</v>
      </c>
      <c r="AO135" s="44">
        <v>8.6</v>
      </c>
      <c r="AP135" s="44">
        <v>8.6</v>
      </c>
      <c r="AQ135">
        <v>11</v>
      </c>
      <c r="AR135" t="s">
        <v>194</v>
      </c>
      <c r="AS135">
        <v>2</v>
      </c>
      <c r="AT135">
        <v>2</v>
      </c>
      <c r="AU135" s="45"/>
      <c r="AV135" s="45"/>
      <c r="AW135" s="45"/>
      <c r="AX135">
        <v>1</v>
      </c>
      <c r="AY135">
        <v>120</v>
      </c>
      <c r="AZ135">
        <v>0.06</v>
      </c>
      <c r="BA135" s="43" t="str">
        <f t="shared" si="4"/>
        <v>Economy</v>
      </c>
      <c r="BB135" s="46">
        <f>IFERROR((AD135+IF(Calculator_v2!$E$6*Y135&lt;X135,X135,IF(Calculator_v2!$E$6*Y135&gt;Z135,Z135,Calculator_v2!$E$6*Y135))+IF(Calculator_v2!$E$6*AC135&lt;AB135,AB135,Calculator_v2!$E$6*AC135)+IFERROR(_xlfn.LET(_xlpm.tarifa,IF(Calculator_v2!$E$6&lt;=$AI$1,AI135,IF(Calculator_v2!$E$6&lt;=$AK$1,AJ135,IF(Calculator_v2!$E$6&lt;=$AL$1,AK135,IF(Calculator_v2!$E$6&lt;=$AM$1,AL135,IF(Calculator_v2!$E$6&lt;=$AN$1,AM135,IF(Calculator_v2!$E$6&lt;=$AO$1,AN135,IF(Calculator_v2!$E$6&lt;=$AP$1,AO135,AP135))))))),_xlpm.resultado,_xlpm.tarifa*Calculator_v2!$E$6,IF(_xlpm.resultado&lt;AH135,AH135,_xlpm.resultado)),0)+IF(Calculator_v2!$E$6*AV135&lt;AU135,AU135,IF(Calculator_v2!$E$6*AV135&gt;AW135,AW135,Calculator_v2!$E$6*AV135))+IF(Calculator_v2!$E$6*AZ135&lt;=AY135,AY135,Calculator_v2!$E$6*AZ135)),0)</f>
        <v>5521.28</v>
      </c>
      <c r="BC135" s="47">
        <f>IFERROR(+BB135/Calculator_v2!$E$6,0)+IFERROR(VLOOKUP(A135,DHL_ADDER!$B$4:$E$26,4,0),0)</f>
        <v>10.996486486486486</v>
      </c>
      <c r="BD135" s="48">
        <f t="shared" si="5"/>
        <v>2</v>
      </c>
      <c r="BE135" s="48">
        <f>+T[[#This Row],[Airport to Destination Transit Time Days]]+T[[#This Row],[Airport to Airport Transit Time Days]]+T[[#This Row],[Origin to Airport Transit Time in days]]</f>
        <v>13</v>
      </c>
    </row>
    <row r="136" spans="1:57" customFormat="1" x14ac:dyDescent="0.35">
      <c r="A136" t="str">
        <f>+T[[#This Row],[Provider_Name]]&amp;"_"&amp;T[[#This Row],[AXIS]]</f>
        <v>DHL_B_JP&gt;BR</v>
      </c>
      <c r="B136" t="s">
        <v>71</v>
      </c>
      <c r="C136" t="s">
        <v>186</v>
      </c>
      <c r="D136" t="s">
        <v>187</v>
      </c>
      <c r="E136" t="s">
        <v>188</v>
      </c>
      <c r="F136" t="s">
        <v>75</v>
      </c>
      <c r="G136" t="s">
        <v>189</v>
      </c>
      <c r="H136" t="s">
        <v>190</v>
      </c>
      <c r="I136" t="s">
        <v>191</v>
      </c>
      <c r="J136" t="s">
        <v>192</v>
      </c>
      <c r="K136" t="s">
        <v>193</v>
      </c>
      <c r="L136" t="s">
        <v>79</v>
      </c>
      <c r="M136" t="s">
        <v>80</v>
      </c>
      <c r="N136" t="s">
        <v>81</v>
      </c>
      <c r="O136" t="s">
        <v>82</v>
      </c>
      <c r="P136" t="s">
        <v>89</v>
      </c>
      <c r="Q136" t="s">
        <v>84</v>
      </c>
      <c r="R136">
        <v>5</v>
      </c>
      <c r="S136">
        <v>8005.42</v>
      </c>
      <c r="T136">
        <v>8005.52</v>
      </c>
      <c r="U136" s="1">
        <v>1601.104</v>
      </c>
      <c r="V136" t="s">
        <v>85</v>
      </c>
      <c r="W136" s="48">
        <v>13</v>
      </c>
      <c r="X136" s="44">
        <v>40</v>
      </c>
      <c r="Y136" s="50">
        <v>0.36</v>
      </c>
      <c r="Z136" s="44">
        <v>2220</v>
      </c>
      <c r="AA136">
        <v>1</v>
      </c>
      <c r="AB136" s="35">
        <v>15</v>
      </c>
      <c r="AC136" s="45">
        <v>0.13</v>
      </c>
      <c r="AD136" s="45">
        <v>20</v>
      </c>
      <c r="AE136">
        <v>22</v>
      </c>
      <c r="AF136">
        <v>0.15</v>
      </c>
      <c r="AG136" t="s">
        <v>86</v>
      </c>
      <c r="AH136" s="44">
        <v>50</v>
      </c>
      <c r="AI136" s="44">
        <v>8.6</v>
      </c>
      <c r="AJ136" s="44">
        <v>8.6</v>
      </c>
      <c r="AK136" s="44">
        <v>8.6</v>
      </c>
      <c r="AL136" s="44">
        <v>8.6</v>
      </c>
      <c r="AM136" s="44">
        <v>8.6</v>
      </c>
      <c r="AN136" s="44">
        <v>8.6</v>
      </c>
      <c r="AO136" s="44">
        <v>8.6</v>
      </c>
      <c r="AP136" s="44">
        <v>8.6</v>
      </c>
      <c r="AQ136">
        <v>11</v>
      </c>
      <c r="AR136" t="s">
        <v>194</v>
      </c>
      <c r="AS136">
        <v>2</v>
      </c>
      <c r="AT136">
        <v>2</v>
      </c>
      <c r="AU136" s="45"/>
      <c r="AV136" s="45"/>
      <c r="AW136" s="45"/>
      <c r="AX136">
        <v>1</v>
      </c>
      <c r="AY136">
        <v>120</v>
      </c>
      <c r="AZ136">
        <v>0.06</v>
      </c>
      <c r="BA136" s="43" t="str">
        <f t="shared" si="4"/>
        <v>Economy</v>
      </c>
      <c r="BB136" s="46">
        <f>IFERROR((AD136+IF(Calculator_v2!$E$6*Y136&lt;X136,X136,IF(Calculator_v2!$E$6*Y136&gt;Z136,Z136,Calculator_v2!$E$6*Y136))+IF(Calculator_v2!$E$6*AC136&lt;AB136,AB136,Calculator_v2!$E$6*AC136)+IFERROR(_xlfn.LET(_xlpm.tarifa,IF(Calculator_v2!$E$6&lt;=$AI$1,AI136,IF(Calculator_v2!$E$6&lt;=$AK$1,AJ136,IF(Calculator_v2!$E$6&lt;=$AL$1,AK136,IF(Calculator_v2!$E$6&lt;=$AM$1,AL136,IF(Calculator_v2!$E$6&lt;=$AN$1,AM136,IF(Calculator_v2!$E$6&lt;=$AO$1,AN136,IF(Calculator_v2!$E$6&lt;=$AP$1,AO136,AP136))))))),_xlpm.resultado,_xlpm.tarifa*Calculator_v2!$E$6,IF(_xlpm.resultado&lt;AH136,AH136,_xlpm.resultado)),0)+IF(Calculator_v2!$E$6*AV136&lt;AU136,AU136,IF(Calculator_v2!$E$6*AV136&gt;AW136,AW136,Calculator_v2!$E$6*AV136))+IF(Calculator_v2!$E$6*AZ136&lt;=AY136,AY136,Calculator_v2!$E$6*AZ136)),0)</f>
        <v>5521.28</v>
      </c>
      <c r="BC136" s="47">
        <f>IFERROR(+BB136/Calculator_v2!$E$6,0)+IFERROR(VLOOKUP(A136,DHL_ADDER!$B$4:$E$26,4,0),0)</f>
        <v>10.996486486486486</v>
      </c>
      <c r="BD136" s="48">
        <f t="shared" si="5"/>
        <v>2</v>
      </c>
      <c r="BE136" s="48">
        <f>+T[[#This Row],[Airport to Destination Transit Time Days]]+T[[#This Row],[Airport to Airport Transit Time Days]]+T[[#This Row],[Origin to Airport Transit Time in days]]</f>
        <v>13</v>
      </c>
    </row>
    <row r="137" spans="1:57" customFormat="1" x14ac:dyDescent="0.35">
      <c r="A137" t="str">
        <f>+T[[#This Row],[Provider_Name]]&amp;"_"&amp;T[[#This Row],[AXIS]]</f>
        <v>DHL_B_JP&gt;BR</v>
      </c>
      <c r="B137" t="s">
        <v>71</v>
      </c>
      <c r="C137" t="s">
        <v>186</v>
      </c>
      <c r="D137" t="s">
        <v>187</v>
      </c>
      <c r="E137" t="s">
        <v>188</v>
      </c>
      <c r="F137" t="s">
        <v>75</v>
      </c>
      <c r="G137" t="s">
        <v>189</v>
      </c>
      <c r="H137" t="s">
        <v>190</v>
      </c>
      <c r="I137" t="s">
        <v>191</v>
      </c>
      <c r="J137" t="s">
        <v>192</v>
      </c>
      <c r="K137" t="s">
        <v>195</v>
      </c>
      <c r="L137" t="s">
        <v>79</v>
      </c>
      <c r="M137" t="s">
        <v>80</v>
      </c>
      <c r="N137" t="s">
        <v>81</v>
      </c>
      <c r="O137" t="s">
        <v>82</v>
      </c>
      <c r="P137" t="s">
        <v>83</v>
      </c>
      <c r="Q137" t="s">
        <v>84</v>
      </c>
      <c r="R137">
        <v>5</v>
      </c>
      <c r="S137">
        <v>8005.42</v>
      </c>
      <c r="T137">
        <v>8005.52</v>
      </c>
      <c r="U137" s="1">
        <v>1601.104</v>
      </c>
      <c r="V137" t="s">
        <v>85</v>
      </c>
      <c r="W137" s="43">
        <v>15</v>
      </c>
      <c r="X137" s="44">
        <v>20</v>
      </c>
      <c r="Y137" s="44">
        <v>0.18</v>
      </c>
      <c r="Z137" s="44">
        <v>1110</v>
      </c>
      <c r="AA137">
        <v>1</v>
      </c>
      <c r="AB137" s="45">
        <v>15</v>
      </c>
      <c r="AC137" s="45">
        <v>0.13</v>
      </c>
      <c r="AD137" s="45">
        <v>20</v>
      </c>
      <c r="AE137">
        <v>22</v>
      </c>
      <c r="AF137">
        <v>0.15</v>
      </c>
      <c r="AG137" t="s">
        <v>86</v>
      </c>
      <c r="AH137" s="44">
        <v>50</v>
      </c>
      <c r="AI137" s="44">
        <v>8.6</v>
      </c>
      <c r="AJ137" s="44">
        <v>8.6</v>
      </c>
      <c r="AK137" s="44">
        <v>8.6</v>
      </c>
      <c r="AL137" s="44">
        <v>8.6</v>
      </c>
      <c r="AM137" s="44">
        <v>8.6</v>
      </c>
      <c r="AN137" s="44">
        <v>8.6</v>
      </c>
      <c r="AO137" s="44">
        <v>8.6</v>
      </c>
      <c r="AP137" s="44">
        <v>8.6</v>
      </c>
      <c r="AQ137">
        <v>11</v>
      </c>
      <c r="AR137" t="s">
        <v>194</v>
      </c>
      <c r="AS137">
        <v>2</v>
      </c>
      <c r="AT137">
        <v>2</v>
      </c>
      <c r="AU137" s="45"/>
      <c r="AV137" s="45"/>
      <c r="AW137" s="45"/>
      <c r="AX137">
        <v>1</v>
      </c>
      <c r="AY137">
        <v>120</v>
      </c>
      <c r="AZ137">
        <v>0.06</v>
      </c>
      <c r="BA137" s="43" t="str">
        <f t="shared" si="4"/>
        <v>Economy</v>
      </c>
      <c r="BB137" s="46">
        <f>IFERROR((AD137+IF(Calculator_v2!$E$6*Y137&lt;X137,X137,IF(Calculator_v2!$E$6*Y137&gt;Z137,Z137,Calculator_v2!$E$6*Y137))+IF(Calculator_v2!$E$6*AC137&lt;AB137,AB137,Calculator_v2!$E$6*AC137)+IFERROR(_xlfn.LET(_xlpm.tarifa,IF(Calculator_v2!$E$6&lt;=$AI$1,AI137,IF(Calculator_v2!$E$6&lt;=$AK$1,AJ137,IF(Calculator_v2!$E$6&lt;=$AL$1,AK137,IF(Calculator_v2!$E$6&lt;=$AM$1,AL137,IF(Calculator_v2!$E$6&lt;=$AN$1,AM137,IF(Calculator_v2!$E$6&lt;=$AO$1,AN137,IF(Calculator_v2!$E$6&lt;=$AP$1,AO137,AP137))))))),_xlpm.resultado,_xlpm.tarifa*Calculator_v2!$E$6,IF(_xlpm.resultado&lt;AH137,AH137,_xlpm.resultado)),0)+IF(Calculator_v2!$E$6*AV137&lt;AU137,AU137,IF(Calculator_v2!$E$6*AV137&gt;AW137,AW137,Calculator_v2!$E$6*AV137))+IF(Calculator_v2!$E$6*AZ137&lt;=AY137,AY137,Calculator_v2!$E$6*AZ137)),0)</f>
        <v>5414.72</v>
      </c>
      <c r="BC137" s="47">
        <f>IFERROR(+BB137/Calculator_v2!$E$6,0)+IFERROR(VLOOKUP(A137,DHL_ADDER!$B$4:$E$26,4,0),0)</f>
        <v>10.816486486486486</v>
      </c>
      <c r="BD137" s="48">
        <f t="shared" si="5"/>
        <v>2</v>
      </c>
      <c r="BE137" s="48">
        <f>+T[[#This Row],[Airport to Destination Transit Time Days]]+T[[#This Row],[Airport to Airport Transit Time Days]]+T[[#This Row],[Origin to Airport Transit Time in days]]</f>
        <v>13</v>
      </c>
    </row>
    <row r="138" spans="1:57" customFormat="1" x14ac:dyDescent="0.35">
      <c r="A138" t="str">
        <f>+T[[#This Row],[Provider_Name]]&amp;"_"&amp;T[[#This Row],[AXIS]]</f>
        <v>DHL_B_JP&gt;BR</v>
      </c>
      <c r="B138" t="s">
        <v>71</v>
      </c>
      <c r="C138" t="s">
        <v>186</v>
      </c>
      <c r="D138" t="s">
        <v>187</v>
      </c>
      <c r="E138" t="s">
        <v>188</v>
      </c>
      <c r="F138" t="s">
        <v>75</v>
      </c>
      <c r="G138" t="s">
        <v>189</v>
      </c>
      <c r="H138" t="s">
        <v>190</v>
      </c>
      <c r="I138" t="s">
        <v>191</v>
      </c>
      <c r="J138" t="s">
        <v>192</v>
      </c>
      <c r="K138" t="s">
        <v>195</v>
      </c>
      <c r="L138" t="s">
        <v>79</v>
      </c>
      <c r="M138" t="s">
        <v>80</v>
      </c>
      <c r="N138" t="s">
        <v>81</v>
      </c>
      <c r="O138" t="s">
        <v>82</v>
      </c>
      <c r="P138" t="s">
        <v>89</v>
      </c>
      <c r="Q138" t="s">
        <v>84</v>
      </c>
      <c r="R138">
        <v>5</v>
      </c>
      <c r="S138">
        <v>8005.42</v>
      </c>
      <c r="T138">
        <v>8005.52</v>
      </c>
      <c r="U138" s="1">
        <v>1601.104</v>
      </c>
      <c r="V138" t="s">
        <v>85</v>
      </c>
      <c r="W138" s="48">
        <v>13</v>
      </c>
      <c r="X138" s="44">
        <v>20</v>
      </c>
      <c r="Y138" s="44">
        <v>0.18</v>
      </c>
      <c r="Z138" s="44">
        <v>1110</v>
      </c>
      <c r="AA138">
        <v>1</v>
      </c>
      <c r="AB138" s="45">
        <v>15</v>
      </c>
      <c r="AC138" s="45">
        <v>0.13</v>
      </c>
      <c r="AD138" s="45">
        <v>20</v>
      </c>
      <c r="AE138">
        <v>22</v>
      </c>
      <c r="AF138">
        <v>0.15</v>
      </c>
      <c r="AG138" t="s">
        <v>86</v>
      </c>
      <c r="AH138" s="44">
        <v>50</v>
      </c>
      <c r="AI138" s="44">
        <v>8.6</v>
      </c>
      <c r="AJ138" s="44">
        <v>8.6</v>
      </c>
      <c r="AK138" s="44">
        <v>8.6</v>
      </c>
      <c r="AL138" s="44">
        <v>8.6</v>
      </c>
      <c r="AM138" s="44">
        <v>8.6</v>
      </c>
      <c r="AN138" s="44">
        <v>8.6</v>
      </c>
      <c r="AO138" s="44">
        <v>8.6</v>
      </c>
      <c r="AP138" s="44">
        <v>8.6</v>
      </c>
      <c r="AQ138">
        <v>11</v>
      </c>
      <c r="AR138" t="s">
        <v>194</v>
      </c>
      <c r="AS138">
        <v>2</v>
      </c>
      <c r="AT138">
        <v>2</v>
      </c>
      <c r="AU138" s="45"/>
      <c r="AV138" s="45"/>
      <c r="AW138" s="45"/>
      <c r="AX138">
        <v>1</v>
      </c>
      <c r="AY138">
        <v>120</v>
      </c>
      <c r="AZ138">
        <v>0.06</v>
      </c>
      <c r="BA138" s="43" t="str">
        <f t="shared" si="4"/>
        <v>Economy</v>
      </c>
      <c r="BB138" s="46">
        <f>IFERROR((AD138+IF(Calculator_v2!$E$6*Y138&lt;X138,X138,IF(Calculator_v2!$E$6*Y138&gt;Z138,Z138,Calculator_v2!$E$6*Y138))+IF(Calculator_v2!$E$6*AC138&lt;AB138,AB138,Calculator_v2!$E$6*AC138)+IFERROR(_xlfn.LET(_xlpm.tarifa,IF(Calculator_v2!$E$6&lt;=$AI$1,AI138,IF(Calculator_v2!$E$6&lt;=$AK$1,AJ138,IF(Calculator_v2!$E$6&lt;=$AL$1,AK138,IF(Calculator_v2!$E$6&lt;=$AM$1,AL138,IF(Calculator_v2!$E$6&lt;=$AN$1,AM138,IF(Calculator_v2!$E$6&lt;=$AO$1,AN138,IF(Calculator_v2!$E$6&lt;=$AP$1,AO138,AP138))))))),_xlpm.resultado,_xlpm.tarifa*Calculator_v2!$E$6,IF(_xlpm.resultado&lt;AH138,AH138,_xlpm.resultado)),0)+IF(Calculator_v2!$E$6*AV138&lt;AU138,AU138,IF(Calculator_v2!$E$6*AV138&gt;AW138,AW138,Calculator_v2!$E$6*AV138))+IF(Calculator_v2!$E$6*AZ138&lt;=AY138,AY138,Calculator_v2!$E$6*AZ138)),0)</f>
        <v>5414.72</v>
      </c>
      <c r="BC138" s="47">
        <f>IFERROR(+BB138/Calculator_v2!$E$6,0)+IFERROR(VLOOKUP(A138,DHL_ADDER!$B$4:$E$26,4,0),0)</f>
        <v>10.816486486486486</v>
      </c>
      <c r="BD138" s="48">
        <f t="shared" si="5"/>
        <v>2</v>
      </c>
      <c r="BE138" s="48">
        <f>+T[[#This Row],[Airport to Destination Transit Time Days]]+T[[#This Row],[Airport to Airport Transit Time Days]]+T[[#This Row],[Origin to Airport Transit Time in days]]</f>
        <v>13</v>
      </c>
    </row>
    <row r="139" spans="1:57" customFormat="1" x14ac:dyDescent="0.35">
      <c r="A139" t="str">
        <f>+T[[#This Row],[Provider_Name]]&amp;"_"&amp;T[[#This Row],[AXIS]]</f>
        <v>DHL_B_JP&gt;BR</v>
      </c>
      <c r="B139" t="s">
        <v>71</v>
      </c>
      <c r="C139" t="s">
        <v>186</v>
      </c>
      <c r="D139" t="s">
        <v>187</v>
      </c>
      <c r="E139" t="s">
        <v>188</v>
      </c>
      <c r="F139" t="s">
        <v>75</v>
      </c>
      <c r="G139" t="s">
        <v>189</v>
      </c>
      <c r="H139" t="s">
        <v>190</v>
      </c>
      <c r="I139" t="s">
        <v>191</v>
      </c>
      <c r="J139" t="s">
        <v>192</v>
      </c>
      <c r="K139" t="s">
        <v>193</v>
      </c>
      <c r="L139" t="s">
        <v>79</v>
      </c>
      <c r="M139" t="s">
        <v>80</v>
      </c>
      <c r="N139" t="s">
        <v>81</v>
      </c>
      <c r="O139" t="s">
        <v>82</v>
      </c>
      <c r="P139" t="s">
        <v>93</v>
      </c>
      <c r="Q139" t="s">
        <v>84</v>
      </c>
      <c r="R139">
        <v>5</v>
      </c>
      <c r="S139">
        <v>8005.42</v>
      </c>
      <c r="T139">
        <v>8005.52</v>
      </c>
      <c r="U139" s="1">
        <v>1601.104</v>
      </c>
      <c r="V139" t="s">
        <v>90</v>
      </c>
      <c r="W139" s="48">
        <v>10</v>
      </c>
      <c r="X139" s="44">
        <v>40</v>
      </c>
      <c r="Y139" s="44">
        <v>0.36</v>
      </c>
      <c r="Z139" s="44">
        <v>2220</v>
      </c>
      <c r="AA139">
        <v>1</v>
      </c>
      <c r="AB139" s="45">
        <v>15</v>
      </c>
      <c r="AC139" s="45">
        <v>0.13</v>
      </c>
      <c r="AD139" s="45">
        <v>20</v>
      </c>
      <c r="AE139">
        <v>22</v>
      </c>
      <c r="AF139">
        <v>0.15</v>
      </c>
      <c r="AG139" t="s">
        <v>86</v>
      </c>
      <c r="AH139" s="44">
        <v>100</v>
      </c>
      <c r="AI139" s="44">
        <v>14.1</v>
      </c>
      <c r="AJ139" s="44">
        <v>13.6</v>
      </c>
      <c r="AK139" s="44">
        <v>13.6</v>
      </c>
      <c r="AL139" s="44">
        <v>13.6</v>
      </c>
      <c r="AM139" s="44">
        <v>13.6</v>
      </c>
      <c r="AN139" s="44">
        <v>13.6</v>
      </c>
      <c r="AO139" s="44">
        <v>13.6</v>
      </c>
      <c r="AP139" s="44">
        <v>13.6</v>
      </c>
      <c r="AQ139">
        <v>6</v>
      </c>
      <c r="AR139" t="s">
        <v>196</v>
      </c>
      <c r="AS139">
        <v>1</v>
      </c>
      <c r="AT139">
        <v>4</v>
      </c>
      <c r="AU139" s="45"/>
      <c r="AV139" s="45"/>
      <c r="AW139" s="45"/>
      <c r="AX139">
        <v>1</v>
      </c>
      <c r="AY139">
        <v>120</v>
      </c>
      <c r="AZ139">
        <v>0.06</v>
      </c>
      <c r="BA139" s="43" t="str">
        <f t="shared" si="4"/>
        <v>Express</v>
      </c>
      <c r="BB139" s="46">
        <f>IFERROR((AD139+IF(Calculator_v2!$E$6*Y139&lt;X139,X139,IF(Calculator_v2!$E$6*Y139&gt;Z139,Z139,Calculator_v2!$E$6*Y139))+IF(Calculator_v2!$E$6*AC139&lt;AB139,AB139,Calculator_v2!$E$6*AC139)+IFERROR(_xlfn.LET(_xlpm.tarifa,IF(Calculator_v2!$E$6&lt;=$AI$1,AI139,IF(Calculator_v2!$E$6&lt;=$AK$1,AJ139,IF(Calculator_v2!$E$6&lt;=$AL$1,AK139,IF(Calculator_v2!$E$6&lt;=$AM$1,AL139,IF(Calculator_v2!$E$6&lt;=$AN$1,AM139,IF(Calculator_v2!$E$6&lt;=$AO$1,AN139,IF(Calculator_v2!$E$6&lt;=$AP$1,AO139,AP139))))))),_xlpm.resultado,_xlpm.tarifa*Calculator_v2!$E$6,IF(_xlpm.resultado&lt;AH139,AH139,_xlpm.resultado)),0)+IF(Calculator_v2!$E$6*AV139&lt;AU139,AU139,IF(Calculator_v2!$E$6*AV139&gt;AW139,AW139,Calculator_v2!$E$6*AV139))+IF(Calculator_v2!$E$6*AZ139&lt;=AY139,AY139,Calculator_v2!$E$6*AZ139)),0)</f>
        <v>8481.2800000000007</v>
      </c>
      <c r="BC139" s="47">
        <f>IFERROR(+BB139/Calculator_v2!$E$6,0)+IFERROR(VLOOKUP(A139,DHL_ADDER!$B$4:$E$26,4,0),0)</f>
        <v>15.996486486486488</v>
      </c>
      <c r="BD139" s="48">
        <f t="shared" si="5"/>
        <v>4</v>
      </c>
      <c r="BE139" s="48">
        <f>+T[[#This Row],[Airport to Destination Transit Time Days]]+T[[#This Row],[Airport to Airport Transit Time Days]]+T[[#This Row],[Origin to Airport Transit Time in days]]</f>
        <v>8</v>
      </c>
    </row>
    <row r="140" spans="1:57" customFormat="1" x14ac:dyDescent="0.35">
      <c r="A140" t="str">
        <f>+T[[#This Row],[Provider_Name]]&amp;"_"&amp;T[[#This Row],[AXIS]]</f>
        <v>DHL_B_JP&gt;BR</v>
      </c>
      <c r="B140" t="s">
        <v>71</v>
      </c>
      <c r="C140" t="s">
        <v>186</v>
      </c>
      <c r="D140" t="s">
        <v>187</v>
      </c>
      <c r="E140" t="s">
        <v>188</v>
      </c>
      <c r="F140" t="s">
        <v>75</v>
      </c>
      <c r="G140" t="s">
        <v>189</v>
      </c>
      <c r="H140" t="s">
        <v>190</v>
      </c>
      <c r="I140" t="s">
        <v>191</v>
      </c>
      <c r="J140" t="s">
        <v>192</v>
      </c>
      <c r="K140" t="s">
        <v>193</v>
      </c>
      <c r="L140" t="s">
        <v>79</v>
      </c>
      <c r="M140" t="s">
        <v>80</v>
      </c>
      <c r="N140" t="s">
        <v>81</v>
      </c>
      <c r="O140" t="s">
        <v>82</v>
      </c>
      <c r="P140" t="s">
        <v>83</v>
      </c>
      <c r="Q140" t="s">
        <v>84</v>
      </c>
      <c r="R140">
        <v>5</v>
      </c>
      <c r="S140">
        <v>8005.42</v>
      </c>
      <c r="T140">
        <v>8005.52</v>
      </c>
      <c r="U140" s="1">
        <v>1601.104</v>
      </c>
      <c r="V140" t="s">
        <v>90</v>
      </c>
      <c r="W140" s="48">
        <v>10</v>
      </c>
      <c r="X140" s="44">
        <v>40</v>
      </c>
      <c r="Y140" s="44">
        <v>0.36</v>
      </c>
      <c r="Z140" s="44">
        <v>2220</v>
      </c>
      <c r="AA140">
        <v>1</v>
      </c>
      <c r="AB140" s="35">
        <v>15</v>
      </c>
      <c r="AC140" s="45">
        <v>0.13</v>
      </c>
      <c r="AD140" s="45">
        <v>20</v>
      </c>
      <c r="AE140">
        <v>22</v>
      </c>
      <c r="AF140">
        <v>0.15</v>
      </c>
      <c r="AG140" t="s">
        <v>86</v>
      </c>
      <c r="AH140" s="44">
        <v>100</v>
      </c>
      <c r="AI140" s="44">
        <v>19.100000000000001</v>
      </c>
      <c r="AJ140" s="44">
        <v>15.6</v>
      </c>
      <c r="AK140" s="44">
        <v>15.6</v>
      </c>
      <c r="AL140" s="44">
        <v>15.6</v>
      </c>
      <c r="AM140" s="44">
        <v>15.6</v>
      </c>
      <c r="AN140" s="44">
        <v>15.6</v>
      </c>
      <c r="AO140" s="44">
        <v>15.6</v>
      </c>
      <c r="AP140" s="44">
        <v>15.6</v>
      </c>
      <c r="AQ140">
        <v>6</v>
      </c>
      <c r="AR140" t="s">
        <v>196</v>
      </c>
      <c r="AS140">
        <v>1</v>
      </c>
      <c r="AT140">
        <v>4</v>
      </c>
      <c r="AU140" s="45"/>
      <c r="AV140" s="45"/>
      <c r="AW140" s="44"/>
      <c r="AX140">
        <v>1</v>
      </c>
      <c r="AY140">
        <v>120</v>
      </c>
      <c r="AZ140">
        <v>0.06</v>
      </c>
      <c r="BA140" s="43" t="str">
        <f t="shared" si="4"/>
        <v>Express</v>
      </c>
      <c r="BB140" s="46">
        <f>IFERROR((AD140+IF(Calculator_v2!$E$6*Y140&lt;X140,X140,IF(Calculator_v2!$E$6*Y140&gt;Z140,Z140,Calculator_v2!$E$6*Y140))+IF(Calculator_v2!$E$6*AC140&lt;AB140,AB140,Calculator_v2!$E$6*AC140)+IFERROR(_xlfn.LET(_xlpm.tarifa,IF(Calculator_v2!$E$6&lt;=$AI$1,AI140,IF(Calculator_v2!$E$6&lt;=$AK$1,AJ140,IF(Calculator_v2!$E$6&lt;=$AL$1,AK140,IF(Calculator_v2!$E$6&lt;=$AM$1,AL140,IF(Calculator_v2!$E$6&lt;=$AN$1,AM140,IF(Calculator_v2!$E$6&lt;=$AO$1,AN140,IF(Calculator_v2!$E$6&lt;=$AP$1,AO140,AP140))))))),_xlpm.resultado,_xlpm.tarifa*Calculator_v2!$E$6,IF(_xlpm.resultado&lt;AH140,AH140,_xlpm.resultado)),0)+IF(Calculator_v2!$E$6*AV140&lt;AU140,AU140,IF(Calculator_v2!$E$6*AV140&gt;AW140,AW140,Calculator_v2!$E$6*AV140))+IF(Calculator_v2!$E$6*AZ140&lt;=AY140,AY140,Calculator_v2!$E$6*AZ140)),0)</f>
        <v>9665.2799999999988</v>
      </c>
      <c r="BC140" s="47">
        <f>IFERROR(+BB140/Calculator_v2!$E$6,0)+IFERROR(VLOOKUP(A140,DHL_ADDER!$B$4:$E$26,4,0),0)</f>
        <v>17.996486486486482</v>
      </c>
      <c r="BD140" s="48">
        <f t="shared" si="5"/>
        <v>4</v>
      </c>
      <c r="BE140" s="48">
        <f>+T[[#This Row],[Airport to Destination Transit Time Days]]+T[[#This Row],[Airport to Airport Transit Time Days]]+T[[#This Row],[Origin to Airport Transit Time in days]]</f>
        <v>8</v>
      </c>
    </row>
    <row r="141" spans="1:57" customFormat="1" x14ac:dyDescent="0.35">
      <c r="A141" t="str">
        <f>+T[[#This Row],[Provider_Name]]&amp;"_"&amp;T[[#This Row],[AXIS]]</f>
        <v>DHL_B_JP&gt;BR</v>
      </c>
      <c r="B141" t="s">
        <v>71</v>
      </c>
      <c r="C141" t="s">
        <v>186</v>
      </c>
      <c r="D141" t="s">
        <v>187</v>
      </c>
      <c r="E141" t="s">
        <v>188</v>
      </c>
      <c r="F141" t="s">
        <v>75</v>
      </c>
      <c r="G141" t="s">
        <v>189</v>
      </c>
      <c r="H141" t="s">
        <v>190</v>
      </c>
      <c r="I141" t="s">
        <v>191</v>
      </c>
      <c r="J141" t="s">
        <v>192</v>
      </c>
      <c r="K141" t="s">
        <v>193</v>
      </c>
      <c r="L141" t="s">
        <v>79</v>
      </c>
      <c r="M141" t="s">
        <v>80</v>
      </c>
      <c r="N141" t="s">
        <v>81</v>
      </c>
      <c r="O141" t="s">
        <v>82</v>
      </c>
      <c r="P141" t="s">
        <v>89</v>
      </c>
      <c r="Q141" t="s">
        <v>84</v>
      </c>
      <c r="R141">
        <v>5</v>
      </c>
      <c r="S141">
        <v>8005.42</v>
      </c>
      <c r="T141">
        <v>8005.52</v>
      </c>
      <c r="U141" s="1">
        <v>1601.104</v>
      </c>
      <c r="V141" t="s">
        <v>90</v>
      </c>
      <c r="W141" s="43">
        <v>8</v>
      </c>
      <c r="X141" s="44">
        <v>40</v>
      </c>
      <c r="Y141" s="44">
        <v>0.36</v>
      </c>
      <c r="Z141" s="44">
        <v>2220</v>
      </c>
      <c r="AA141">
        <v>1</v>
      </c>
      <c r="AB141" s="45">
        <v>15</v>
      </c>
      <c r="AC141" s="45">
        <v>0.13</v>
      </c>
      <c r="AD141" s="45">
        <v>20</v>
      </c>
      <c r="AE141">
        <v>22</v>
      </c>
      <c r="AF141">
        <v>0.15</v>
      </c>
      <c r="AG141" t="s">
        <v>86</v>
      </c>
      <c r="AH141" s="44">
        <v>100</v>
      </c>
      <c r="AI141" s="44">
        <v>19.100000000000001</v>
      </c>
      <c r="AJ141" s="44">
        <v>15.6</v>
      </c>
      <c r="AK141" s="44">
        <v>15.6</v>
      </c>
      <c r="AL141" s="44">
        <v>15.6</v>
      </c>
      <c r="AM141" s="44">
        <v>15.6</v>
      </c>
      <c r="AN141" s="44">
        <v>15.6</v>
      </c>
      <c r="AO141" s="44">
        <v>15.6</v>
      </c>
      <c r="AP141" s="44">
        <v>15.6</v>
      </c>
      <c r="AQ141">
        <v>6</v>
      </c>
      <c r="AR141" t="s">
        <v>196</v>
      </c>
      <c r="AS141">
        <v>1</v>
      </c>
      <c r="AT141">
        <v>4</v>
      </c>
      <c r="AU141" s="45"/>
      <c r="AV141" s="45"/>
      <c r="AW141" s="45"/>
      <c r="AX141">
        <v>1</v>
      </c>
      <c r="AY141">
        <v>120</v>
      </c>
      <c r="AZ141">
        <v>0.06</v>
      </c>
      <c r="BA141" s="43" t="str">
        <f t="shared" si="4"/>
        <v>Express</v>
      </c>
      <c r="BB141" s="46">
        <f>IFERROR((AD141+IF(Calculator_v2!$E$6*Y141&lt;X141,X141,IF(Calculator_v2!$E$6*Y141&gt;Z141,Z141,Calculator_v2!$E$6*Y141))+IF(Calculator_v2!$E$6*AC141&lt;AB141,AB141,Calculator_v2!$E$6*AC141)+IFERROR(_xlfn.LET(_xlpm.tarifa,IF(Calculator_v2!$E$6&lt;=$AI$1,AI141,IF(Calculator_v2!$E$6&lt;=$AK$1,AJ141,IF(Calculator_v2!$E$6&lt;=$AL$1,AK141,IF(Calculator_v2!$E$6&lt;=$AM$1,AL141,IF(Calculator_v2!$E$6&lt;=$AN$1,AM141,IF(Calculator_v2!$E$6&lt;=$AO$1,AN141,IF(Calculator_v2!$E$6&lt;=$AP$1,AO141,AP141))))))),_xlpm.resultado,_xlpm.tarifa*Calculator_v2!$E$6,IF(_xlpm.resultado&lt;AH141,AH141,_xlpm.resultado)),0)+IF(Calculator_v2!$E$6*AV141&lt;AU141,AU141,IF(Calculator_v2!$E$6*AV141&gt;AW141,AW141,Calculator_v2!$E$6*AV141))+IF(Calculator_v2!$E$6*AZ141&lt;=AY141,AY141,Calculator_v2!$E$6*AZ141)),0)</f>
        <v>9665.2799999999988</v>
      </c>
      <c r="BC141" s="47">
        <f>IFERROR(+BB141/Calculator_v2!$E$6,0)+IFERROR(VLOOKUP(A141,DHL_ADDER!$B$4:$E$26,4,0),0)</f>
        <v>17.996486486486482</v>
      </c>
      <c r="BD141" s="48">
        <f t="shared" si="5"/>
        <v>4</v>
      </c>
      <c r="BE141" s="48">
        <f>+T[[#This Row],[Airport to Destination Transit Time Days]]+T[[#This Row],[Airport to Airport Transit Time Days]]+T[[#This Row],[Origin to Airport Transit Time in days]]</f>
        <v>8</v>
      </c>
    </row>
    <row r="142" spans="1:57" customFormat="1" x14ac:dyDescent="0.35">
      <c r="A142" t="str">
        <f>+T[[#This Row],[Provider_Name]]&amp;"_"&amp;T[[#This Row],[AXIS]]</f>
        <v>DHL_B_JP&gt;BR</v>
      </c>
      <c r="B142" t="s">
        <v>71</v>
      </c>
      <c r="C142" t="s">
        <v>186</v>
      </c>
      <c r="D142" t="s">
        <v>187</v>
      </c>
      <c r="E142" t="s">
        <v>188</v>
      </c>
      <c r="F142" t="s">
        <v>75</v>
      </c>
      <c r="G142" t="s">
        <v>189</v>
      </c>
      <c r="H142" t="s">
        <v>190</v>
      </c>
      <c r="I142" t="s">
        <v>191</v>
      </c>
      <c r="J142" t="s">
        <v>192</v>
      </c>
      <c r="K142" t="s">
        <v>195</v>
      </c>
      <c r="L142" t="s">
        <v>79</v>
      </c>
      <c r="M142" t="s">
        <v>80</v>
      </c>
      <c r="N142" t="s">
        <v>81</v>
      </c>
      <c r="O142" t="s">
        <v>82</v>
      </c>
      <c r="P142" t="s">
        <v>83</v>
      </c>
      <c r="Q142" t="s">
        <v>84</v>
      </c>
      <c r="R142">
        <v>5</v>
      </c>
      <c r="S142">
        <v>8005.42</v>
      </c>
      <c r="T142">
        <v>8005.52</v>
      </c>
      <c r="U142" s="1">
        <v>1601.104</v>
      </c>
      <c r="V142" t="s">
        <v>90</v>
      </c>
      <c r="W142" s="43">
        <v>10</v>
      </c>
      <c r="X142" s="44">
        <v>20</v>
      </c>
      <c r="Y142" s="44">
        <v>0.18</v>
      </c>
      <c r="Z142" s="44">
        <v>1110</v>
      </c>
      <c r="AA142">
        <v>1</v>
      </c>
      <c r="AB142" s="45">
        <v>15</v>
      </c>
      <c r="AC142" s="45">
        <v>0.13</v>
      </c>
      <c r="AD142" s="45">
        <v>20</v>
      </c>
      <c r="AE142">
        <v>22</v>
      </c>
      <c r="AF142">
        <v>0.15</v>
      </c>
      <c r="AG142" t="s">
        <v>86</v>
      </c>
      <c r="AH142" s="44">
        <v>100</v>
      </c>
      <c r="AI142" s="44">
        <v>19.100000000000001</v>
      </c>
      <c r="AJ142" s="44">
        <v>15.6</v>
      </c>
      <c r="AK142" s="44">
        <v>15.6</v>
      </c>
      <c r="AL142" s="44">
        <v>15.6</v>
      </c>
      <c r="AM142" s="44">
        <v>15.6</v>
      </c>
      <c r="AN142" s="44">
        <v>15.6</v>
      </c>
      <c r="AO142" s="44">
        <v>15.6</v>
      </c>
      <c r="AP142" s="44">
        <v>15.6</v>
      </c>
      <c r="AQ142">
        <v>6</v>
      </c>
      <c r="AR142" t="s">
        <v>196</v>
      </c>
      <c r="AS142">
        <v>1</v>
      </c>
      <c r="AT142">
        <v>4</v>
      </c>
      <c r="AU142" s="45"/>
      <c r="AV142" s="45"/>
      <c r="AW142" s="45"/>
      <c r="AX142">
        <v>1</v>
      </c>
      <c r="AY142">
        <v>120</v>
      </c>
      <c r="AZ142">
        <v>0.06</v>
      </c>
      <c r="BA142" s="43" t="str">
        <f t="shared" si="4"/>
        <v>Express</v>
      </c>
      <c r="BB142" s="46">
        <f>IFERROR((AD142+IF(Calculator_v2!$E$6*Y142&lt;X142,X142,IF(Calculator_v2!$E$6*Y142&gt;Z142,Z142,Calculator_v2!$E$6*Y142))+IF(Calculator_v2!$E$6*AC142&lt;AB142,AB142,Calculator_v2!$E$6*AC142)+IFERROR(_xlfn.LET(_xlpm.tarifa,IF(Calculator_v2!$E$6&lt;=$AI$1,AI142,IF(Calculator_v2!$E$6&lt;=$AK$1,AJ142,IF(Calculator_v2!$E$6&lt;=$AL$1,AK142,IF(Calculator_v2!$E$6&lt;=$AM$1,AL142,IF(Calculator_v2!$E$6&lt;=$AN$1,AM142,IF(Calculator_v2!$E$6&lt;=$AO$1,AN142,IF(Calculator_v2!$E$6&lt;=$AP$1,AO142,AP142))))))),_xlpm.resultado,_xlpm.tarifa*Calculator_v2!$E$6,IF(_xlpm.resultado&lt;AH142,AH142,_xlpm.resultado)),0)+IF(Calculator_v2!$E$6*AV142&lt;AU142,AU142,IF(Calculator_v2!$E$6*AV142&gt;AW142,AW142,Calculator_v2!$E$6*AV142))+IF(Calculator_v2!$E$6*AZ142&lt;=AY142,AY142,Calculator_v2!$E$6*AZ142)),0)</f>
        <v>9558.7199999999993</v>
      </c>
      <c r="BC142" s="47">
        <f>IFERROR(+BB142/Calculator_v2!$E$6,0)+IFERROR(VLOOKUP(A142,DHL_ADDER!$B$4:$E$26,4,0),0)</f>
        <v>17.816486486486482</v>
      </c>
      <c r="BD142" s="48">
        <f t="shared" si="5"/>
        <v>4</v>
      </c>
      <c r="BE142" s="48">
        <f>+T[[#This Row],[Airport to Destination Transit Time Days]]+T[[#This Row],[Airport to Airport Transit Time Days]]+T[[#This Row],[Origin to Airport Transit Time in days]]</f>
        <v>8</v>
      </c>
    </row>
    <row r="143" spans="1:57" customFormat="1" x14ac:dyDescent="0.35">
      <c r="A143" t="str">
        <f>+T[[#This Row],[Provider_Name]]&amp;"_"&amp;T[[#This Row],[AXIS]]</f>
        <v>DHL_B_JP&gt;BR</v>
      </c>
      <c r="B143" t="s">
        <v>71</v>
      </c>
      <c r="C143" t="s">
        <v>186</v>
      </c>
      <c r="D143" t="s">
        <v>187</v>
      </c>
      <c r="E143" t="s">
        <v>188</v>
      </c>
      <c r="F143" t="s">
        <v>75</v>
      </c>
      <c r="G143" t="s">
        <v>189</v>
      </c>
      <c r="H143" t="s">
        <v>190</v>
      </c>
      <c r="I143" t="s">
        <v>191</v>
      </c>
      <c r="J143" t="s">
        <v>192</v>
      </c>
      <c r="K143" t="s">
        <v>195</v>
      </c>
      <c r="L143" t="s">
        <v>79</v>
      </c>
      <c r="M143" t="s">
        <v>80</v>
      </c>
      <c r="N143" t="s">
        <v>81</v>
      </c>
      <c r="O143" t="s">
        <v>82</v>
      </c>
      <c r="P143" t="s">
        <v>89</v>
      </c>
      <c r="Q143" t="s">
        <v>84</v>
      </c>
      <c r="R143">
        <v>5</v>
      </c>
      <c r="S143">
        <v>8005.42</v>
      </c>
      <c r="T143">
        <v>8005.52</v>
      </c>
      <c r="U143" s="1">
        <v>1601.104</v>
      </c>
      <c r="V143" t="s">
        <v>90</v>
      </c>
      <c r="W143" s="48">
        <v>8</v>
      </c>
      <c r="X143" s="44">
        <v>20</v>
      </c>
      <c r="Y143" s="44">
        <v>0.18</v>
      </c>
      <c r="Z143" s="44">
        <v>1110</v>
      </c>
      <c r="AA143">
        <v>1</v>
      </c>
      <c r="AB143" s="45">
        <v>15</v>
      </c>
      <c r="AC143" s="45">
        <v>0.13</v>
      </c>
      <c r="AD143" s="45">
        <v>20</v>
      </c>
      <c r="AE143">
        <v>22</v>
      </c>
      <c r="AF143">
        <v>0.15</v>
      </c>
      <c r="AG143" t="s">
        <v>86</v>
      </c>
      <c r="AH143" s="44">
        <v>100</v>
      </c>
      <c r="AI143" s="44">
        <v>19.100000000000001</v>
      </c>
      <c r="AJ143" s="44">
        <v>15.6</v>
      </c>
      <c r="AK143" s="44">
        <v>15.6</v>
      </c>
      <c r="AL143" s="44">
        <v>15.6</v>
      </c>
      <c r="AM143" s="44">
        <v>15.6</v>
      </c>
      <c r="AN143" s="44">
        <v>15.6</v>
      </c>
      <c r="AO143" s="44">
        <v>15.6</v>
      </c>
      <c r="AP143" s="44">
        <v>15.6</v>
      </c>
      <c r="AQ143">
        <v>6</v>
      </c>
      <c r="AR143" t="s">
        <v>196</v>
      </c>
      <c r="AS143">
        <v>1</v>
      </c>
      <c r="AT143">
        <v>4</v>
      </c>
      <c r="AU143" s="45"/>
      <c r="AV143" s="45"/>
      <c r="AW143" s="45"/>
      <c r="AX143">
        <v>1</v>
      </c>
      <c r="AY143">
        <v>120</v>
      </c>
      <c r="AZ143">
        <v>0.06</v>
      </c>
      <c r="BA143" s="43" t="str">
        <f t="shared" si="4"/>
        <v>Express</v>
      </c>
      <c r="BB143" s="46">
        <f>IFERROR((AD143+IF(Calculator_v2!$E$6*Y143&lt;X143,X143,IF(Calculator_v2!$E$6*Y143&gt;Z143,Z143,Calculator_v2!$E$6*Y143))+IF(Calculator_v2!$E$6*AC143&lt;AB143,AB143,Calculator_v2!$E$6*AC143)+IFERROR(_xlfn.LET(_xlpm.tarifa,IF(Calculator_v2!$E$6&lt;=$AI$1,AI143,IF(Calculator_v2!$E$6&lt;=$AK$1,AJ143,IF(Calculator_v2!$E$6&lt;=$AL$1,AK143,IF(Calculator_v2!$E$6&lt;=$AM$1,AL143,IF(Calculator_v2!$E$6&lt;=$AN$1,AM143,IF(Calculator_v2!$E$6&lt;=$AO$1,AN143,IF(Calculator_v2!$E$6&lt;=$AP$1,AO143,AP143))))))),_xlpm.resultado,_xlpm.tarifa*Calculator_v2!$E$6,IF(_xlpm.resultado&lt;AH143,AH143,_xlpm.resultado)),0)+IF(Calculator_v2!$E$6*AV143&lt;AU143,AU143,IF(Calculator_v2!$E$6*AV143&gt;AW143,AW143,Calculator_v2!$E$6*AV143))+IF(Calculator_v2!$E$6*AZ143&lt;=AY143,AY143,Calculator_v2!$E$6*AZ143)),0)</f>
        <v>9558.7199999999993</v>
      </c>
      <c r="BC143" s="47">
        <f>IFERROR(+BB143/Calculator_v2!$E$6,0)+IFERROR(VLOOKUP(A143,DHL_ADDER!$B$4:$E$26,4,0),0)</f>
        <v>17.816486486486482</v>
      </c>
      <c r="BD143" s="48">
        <f t="shared" si="5"/>
        <v>4</v>
      </c>
      <c r="BE143" s="48">
        <f>+T[[#This Row],[Airport to Destination Transit Time Days]]+T[[#This Row],[Airport to Airport Transit Time Days]]+T[[#This Row],[Origin to Airport Transit Time in days]]</f>
        <v>8</v>
      </c>
    </row>
    <row r="144" spans="1:57" customFormat="1" x14ac:dyDescent="0.35">
      <c r="A144" t="str">
        <f>+T[[#This Row],[Provider_Name]]&amp;"_"&amp;T[[#This Row],[AXIS]]</f>
        <v>DHL_B_JP&gt;BR</v>
      </c>
      <c r="B144" t="s">
        <v>71</v>
      </c>
      <c r="C144" t="s">
        <v>186</v>
      </c>
      <c r="D144" t="s">
        <v>187</v>
      </c>
      <c r="E144" t="s">
        <v>188</v>
      </c>
      <c r="F144" t="s">
        <v>75</v>
      </c>
      <c r="G144" t="s">
        <v>189</v>
      </c>
      <c r="H144" t="s">
        <v>190</v>
      </c>
      <c r="I144" t="s">
        <v>191</v>
      </c>
      <c r="J144" t="s">
        <v>192</v>
      </c>
      <c r="K144" t="s">
        <v>193</v>
      </c>
      <c r="L144" t="s">
        <v>79</v>
      </c>
      <c r="M144" t="s">
        <v>80</v>
      </c>
      <c r="N144" t="s">
        <v>81</v>
      </c>
      <c r="O144" t="s">
        <v>82</v>
      </c>
      <c r="P144" t="s">
        <v>93</v>
      </c>
      <c r="Q144" t="s">
        <v>84</v>
      </c>
      <c r="R144">
        <v>5</v>
      </c>
      <c r="S144">
        <v>8005.42</v>
      </c>
      <c r="T144">
        <v>8005.52</v>
      </c>
      <c r="U144" s="1">
        <v>1601.104</v>
      </c>
      <c r="V144" t="s">
        <v>91</v>
      </c>
      <c r="W144" s="48">
        <v>11</v>
      </c>
      <c r="X144" s="44">
        <v>40</v>
      </c>
      <c r="Y144" s="44">
        <v>0.36</v>
      </c>
      <c r="Z144" s="44">
        <v>2220</v>
      </c>
      <c r="AA144">
        <v>1</v>
      </c>
      <c r="AB144" s="45">
        <v>15</v>
      </c>
      <c r="AC144" s="45">
        <v>0.13</v>
      </c>
      <c r="AD144" s="45">
        <v>20</v>
      </c>
      <c r="AE144">
        <v>22</v>
      </c>
      <c r="AF144">
        <v>0.15</v>
      </c>
      <c r="AG144" t="s">
        <v>86</v>
      </c>
      <c r="AH144" s="44">
        <v>75</v>
      </c>
      <c r="AI144" s="44">
        <v>8.1</v>
      </c>
      <c r="AJ144" s="44">
        <v>8.1</v>
      </c>
      <c r="AK144" s="44">
        <v>8.1</v>
      </c>
      <c r="AL144" s="44">
        <v>8.1</v>
      </c>
      <c r="AM144" s="44">
        <v>8.1</v>
      </c>
      <c r="AN144" s="44">
        <v>8.1</v>
      </c>
      <c r="AO144" s="44">
        <v>8.1</v>
      </c>
      <c r="AP144" s="44">
        <v>8.1</v>
      </c>
      <c r="AQ144">
        <v>7</v>
      </c>
      <c r="AR144" t="s">
        <v>196</v>
      </c>
      <c r="AS144">
        <v>2</v>
      </c>
      <c r="AT144">
        <v>3</v>
      </c>
      <c r="AU144" s="45"/>
      <c r="AV144" s="45"/>
      <c r="AW144" s="45"/>
      <c r="AX144">
        <v>1</v>
      </c>
      <c r="AY144">
        <v>120</v>
      </c>
      <c r="AZ144">
        <v>0.06</v>
      </c>
      <c r="BA144" s="43" t="str">
        <f t="shared" si="4"/>
        <v>Normal</v>
      </c>
      <c r="BB144" s="46">
        <f>IFERROR((AD144+IF(Calculator_v2!$E$6*Y144&lt;X144,X144,IF(Calculator_v2!$E$6*Y144&gt;Z144,Z144,Calculator_v2!$E$6*Y144))+IF(Calculator_v2!$E$6*AC144&lt;AB144,AB144,Calculator_v2!$E$6*AC144)+IFERROR(_xlfn.LET(_xlpm.tarifa,IF(Calculator_v2!$E$6&lt;=$AI$1,AI144,IF(Calculator_v2!$E$6&lt;=$AK$1,AJ144,IF(Calculator_v2!$E$6&lt;=$AL$1,AK144,IF(Calculator_v2!$E$6&lt;=$AM$1,AL144,IF(Calculator_v2!$E$6&lt;=$AN$1,AM144,IF(Calculator_v2!$E$6&lt;=$AO$1,AN144,IF(Calculator_v2!$E$6&lt;=$AP$1,AO144,AP144))))))),_xlpm.resultado,_xlpm.tarifa*Calculator_v2!$E$6,IF(_xlpm.resultado&lt;AH144,AH144,_xlpm.resultado)),0)+IF(Calculator_v2!$E$6*AV144&lt;AU144,AU144,IF(Calculator_v2!$E$6*AV144&gt;AW144,AW144,Calculator_v2!$E$6*AV144))+IF(Calculator_v2!$E$6*AZ144&lt;=AY144,AY144,Calculator_v2!$E$6*AZ144)),0)</f>
        <v>5225.28</v>
      </c>
      <c r="BC144" s="47">
        <f>IFERROR(+BB144/Calculator_v2!$E$6,0)+IFERROR(VLOOKUP(A144,DHL_ADDER!$B$4:$E$26,4,0),0)</f>
        <v>10.496486486486486</v>
      </c>
      <c r="BD144" s="48">
        <f t="shared" si="5"/>
        <v>3</v>
      </c>
      <c r="BE144" s="48">
        <f>+T[[#This Row],[Airport to Destination Transit Time Days]]+T[[#This Row],[Airport to Airport Transit Time Days]]+T[[#This Row],[Origin to Airport Transit Time in days]]</f>
        <v>9</v>
      </c>
    </row>
    <row r="145" spans="1:57" customFormat="1" x14ac:dyDescent="0.35">
      <c r="A145" t="str">
        <f>+T[[#This Row],[Provider_Name]]&amp;"_"&amp;T[[#This Row],[AXIS]]</f>
        <v>DHL_B_JP&gt;BR</v>
      </c>
      <c r="B145" t="s">
        <v>71</v>
      </c>
      <c r="C145" t="s">
        <v>186</v>
      </c>
      <c r="D145" t="s">
        <v>187</v>
      </c>
      <c r="E145" t="s">
        <v>188</v>
      </c>
      <c r="F145" t="s">
        <v>75</v>
      </c>
      <c r="G145" t="s">
        <v>189</v>
      </c>
      <c r="H145" t="s">
        <v>190</v>
      </c>
      <c r="I145" t="s">
        <v>191</v>
      </c>
      <c r="J145" t="s">
        <v>192</v>
      </c>
      <c r="K145" t="s">
        <v>193</v>
      </c>
      <c r="L145" t="s">
        <v>79</v>
      </c>
      <c r="M145" t="s">
        <v>80</v>
      </c>
      <c r="N145" t="s">
        <v>81</v>
      </c>
      <c r="O145" t="s">
        <v>82</v>
      </c>
      <c r="P145" t="s">
        <v>83</v>
      </c>
      <c r="Q145" t="s">
        <v>84</v>
      </c>
      <c r="R145">
        <v>5</v>
      </c>
      <c r="S145">
        <v>8005.42</v>
      </c>
      <c r="T145">
        <v>8005.52</v>
      </c>
      <c r="U145" s="1">
        <v>1601.104</v>
      </c>
      <c r="V145" t="s">
        <v>91</v>
      </c>
      <c r="W145" s="48">
        <v>12</v>
      </c>
      <c r="X145" s="44">
        <v>40</v>
      </c>
      <c r="Y145" s="44">
        <v>0.36</v>
      </c>
      <c r="Z145" s="44">
        <v>2220</v>
      </c>
      <c r="AA145">
        <v>1</v>
      </c>
      <c r="AB145" s="45">
        <v>15</v>
      </c>
      <c r="AC145" s="45">
        <v>0.13</v>
      </c>
      <c r="AD145" s="45">
        <v>20</v>
      </c>
      <c r="AE145">
        <v>22</v>
      </c>
      <c r="AF145">
        <v>0.15</v>
      </c>
      <c r="AG145" t="s">
        <v>86</v>
      </c>
      <c r="AH145" s="44">
        <v>75</v>
      </c>
      <c r="AI145" s="44">
        <v>13.1</v>
      </c>
      <c r="AJ145" s="44">
        <v>11.6</v>
      </c>
      <c r="AK145" s="44">
        <v>11.6</v>
      </c>
      <c r="AL145" s="44">
        <v>11.6</v>
      </c>
      <c r="AM145" s="44">
        <v>11.6</v>
      </c>
      <c r="AN145" s="44">
        <v>11.6</v>
      </c>
      <c r="AO145" s="44">
        <v>11.6</v>
      </c>
      <c r="AP145" s="44">
        <v>11.6</v>
      </c>
      <c r="AQ145">
        <v>8</v>
      </c>
      <c r="AR145" t="s">
        <v>194</v>
      </c>
      <c r="AS145">
        <v>2</v>
      </c>
      <c r="AT145">
        <v>3</v>
      </c>
      <c r="AU145" s="45"/>
      <c r="AV145" s="45"/>
      <c r="AW145" s="45"/>
      <c r="AX145">
        <v>1</v>
      </c>
      <c r="AY145">
        <v>120</v>
      </c>
      <c r="AZ145">
        <v>0.06</v>
      </c>
      <c r="BA145" s="43" t="str">
        <f t="shared" si="4"/>
        <v>Normal</v>
      </c>
      <c r="BB145" s="46">
        <f>IFERROR((AD145+IF(Calculator_v2!$E$6*Y145&lt;X145,X145,IF(Calculator_v2!$E$6*Y145&gt;Z145,Z145,Calculator_v2!$E$6*Y145))+IF(Calculator_v2!$E$6*AC145&lt;AB145,AB145,Calculator_v2!$E$6*AC145)+IFERROR(_xlfn.LET(_xlpm.tarifa,IF(Calculator_v2!$E$6&lt;=$AI$1,AI145,IF(Calculator_v2!$E$6&lt;=$AK$1,AJ145,IF(Calculator_v2!$E$6&lt;=$AL$1,AK145,IF(Calculator_v2!$E$6&lt;=$AM$1,AL145,IF(Calculator_v2!$E$6&lt;=$AN$1,AM145,IF(Calculator_v2!$E$6&lt;=$AO$1,AN145,IF(Calculator_v2!$E$6&lt;=$AP$1,AO145,AP145))))))),_xlpm.resultado,_xlpm.tarifa*Calculator_v2!$E$6,IF(_xlpm.resultado&lt;AH145,AH145,_xlpm.resultado)),0)+IF(Calculator_v2!$E$6*AV145&lt;AU145,AU145,IF(Calculator_v2!$E$6*AV145&gt;AW145,AW145,Calculator_v2!$E$6*AV145))+IF(Calculator_v2!$E$6*AZ145&lt;=AY145,AY145,Calculator_v2!$E$6*AZ145)),0)</f>
        <v>7297.28</v>
      </c>
      <c r="BC145" s="47">
        <f>IFERROR(+BB145/Calculator_v2!$E$6,0)+IFERROR(VLOOKUP(A145,DHL_ADDER!$B$4:$E$26,4,0),0)</f>
        <v>13.996486486486486</v>
      </c>
      <c r="BD145" s="48">
        <f t="shared" si="5"/>
        <v>3</v>
      </c>
      <c r="BE145" s="48">
        <f>+T[[#This Row],[Airport to Destination Transit Time Days]]+T[[#This Row],[Airport to Airport Transit Time Days]]+T[[#This Row],[Origin to Airport Transit Time in days]]</f>
        <v>10</v>
      </c>
    </row>
    <row r="146" spans="1:57" customFormat="1" x14ac:dyDescent="0.35">
      <c r="A146" t="str">
        <f>+T[[#This Row],[Provider_Name]]&amp;"_"&amp;T[[#This Row],[AXIS]]</f>
        <v>DHL_B_JP&gt;BR</v>
      </c>
      <c r="B146" t="s">
        <v>71</v>
      </c>
      <c r="C146" t="s">
        <v>186</v>
      </c>
      <c r="D146" t="s">
        <v>187</v>
      </c>
      <c r="E146" t="s">
        <v>188</v>
      </c>
      <c r="F146" t="s">
        <v>75</v>
      </c>
      <c r="G146" t="s">
        <v>189</v>
      </c>
      <c r="H146" t="s">
        <v>190</v>
      </c>
      <c r="I146" t="s">
        <v>191</v>
      </c>
      <c r="J146" t="s">
        <v>192</v>
      </c>
      <c r="K146" t="s">
        <v>193</v>
      </c>
      <c r="L146" t="s">
        <v>79</v>
      </c>
      <c r="M146" t="s">
        <v>80</v>
      </c>
      <c r="N146" t="s">
        <v>81</v>
      </c>
      <c r="O146" t="s">
        <v>82</v>
      </c>
      <c r="P146" t="s">
        <v>89</v>
      </c>
      <c r="Q146" t="s">
        <v>84</v>
      </c>
      <c r="R146">
        <v>5</v>
      </c>
      <c r="S146">
        <v>8005.42</v>
      </c>
      <c r="T146">
        <v>8005.52</v>
      </c>
      <c r="U146" s="1">
        <v>1601.104</v>
      </c>
      <c r="V146" t="s">
        <v>91</v>
      </c>
      <c r="W146" s="43">
        <v>10</v>
      </c>
      <c r="X146">
        <v>40</v>
      </c>
      <c r="Y146">
        <v>0.36</v>
      </c>
      <c r="Z146">
        <v>2220</v>
      </c>
      <c r="AA146">
        <v>1</v>
      </c>
      <c r="AB146">
        <v>15</v>
      </c>
      <c r="AC146">
        <v>0.13</v>
      </c>
      <c r="AD146">
        <v>20</v>
      </c>
      <c r="AE146">
        <v>22</v>
      </c>
      <c r="AF146">
        <v>0.15</v>
      </c>
      <c r="AG146" t="s">
        <v>86</v>
      </c>
      <c r="AH146">
        <v>75</v>
      </c>
      <c r="AI146" s="1">
        <v>13.1</v>
      </c>
      <c r="AJ146" s="1">
        <v>11.6</v>
      </c>
      <c r="AK146" s="1">
        <v>11.6</v>
      </c>
      <c r="AL146" s="1">
        <v>11.6</v>
      </c>
      <c r="AM146" s="1">
        <v>11.6</v>
      </c>
      <c r="AN146" s="1">
        <v>11.6</v>
      </c>
      <c r="AO146" s="1">
        <v>11.6</v>
      </c>
      <c r="AP146" s="1">
        <v>11.6</v>
      </c>
      <c r="AQ146">
        <v>8</v>
      </c>
      <c r="AR146" t="s">
        <v>194</v>
      </c>
      <c r="AS146">
        <v>2</v>
      </c>
      <c r="AT146">
        <v>3</v>
      </c>
      <c r="AX146">
        <v>1</v>
      </c>
      <c r="AY146">
        <v>120</v>
      </c>
      <c r="AZ146">
        <v>0.06</v>
      </c>
      <c r="BA146" s="43" t="str">
        <f t="shared" si="4"/>
        <v>Normal</v>
      </c>
      <c r="BB146" s="46">
        <f>IFERROR((AD146+IF(Calculator_v2!$E$6*Y146&lt;X146,X146,IF(Calculator_v2!$E$6*Y146&gt;Z146,Z146,Calculator_v2!$E$6*Y146))+IF(Calculator_v2!$E$6*AC146&lt;AB146,AB146,Calculator_v2!$E$6*AC146)+IFERROR(_xlfn.LET(_xlpm.tarifa,IF(Calculator_v2!$E$6&lt;=$AI$1,AI146,IF(Calculator_v2!$E$6&lt;=$AK$1,AJ146,IF(Calculator_v2!$E$6&lt;=$AL$1,AK146,IF(Calculator_v2!$E$6&lt;=$AM$1,AL146,IF(Calculator_v2!$E$6&lt;=$AN$1,AM146,IF(Calculator_v2!$E$6&lt;=$AO$1,AN146,IF(Calculator_v2!$E$6&lt;=$AP$1,AO146,AP146))))))),_xlpm.resultado,_xlpm.tarifa*Calculator_v2!$E$6,IF(_xlpm.resultado&lt;AH146,AH146,_xlpm.resultado)),0)+IF(Calculator_v2!$E$6*AV146&lt;AU146,AU146,IF(Calculator_v2!$E$6*AV146&gt;AW146,AW146,Calculator_v2!$E$6*AV146))+IF(Calculator_v2!$E$6*AZ146&lt;=AY146,AY146,Calculator_v2!$E$6*AZ146)),0)</f>
        <v>7297.28</v>
      </c>
      <c r="BC146" s="47">
        <f>IFERROR(+BB146/Calculator_v2!$E$6,0)+IFERROR(VLOOKUP(A146,DHL_ADDER!$B$4:$E$26,4,0),0)</f>
        <v>13.996486486486486</v>
      </c>
      <c r="BD146" s="48">
        <f t="shared" si="5"/>
        <v>3</v>
      </c>
      <c r="BE146" s="48">
        <f>+T[[#This Row],[Airport to Destination Transit Time Days]]+T[[#This Row],[Airport to Airport Transit Time Days]]+T[[#This Row],[Origin to Airport Transit Time in days]]</f>
        <v>10</v>
      </c>
    </row>
    <row r="147" spans="1:57" customFormat="1" x14ac:dyDescent="0.35">
      <c r="A147" t="str">
        <f>+T[[#This Row],[Provider_Name]]&amp;"_"&amp;T[[#This Row],[AXIS]]</f>
        <v>DHL_B_JP&gt;BR</v>
      </c>
      <c r="B147" t="s">
        <v>71</v>
      </c>
      <c r="C147" t="s">
        <v>186</v>
      </c>
      <c r="D147" t="s">
        <v>187</v>
      </c>
      <c r="E147" t="s">
        <v>188</v>
      </c>
      <c r="F147" t="s">
        <v>75</v>
      </c>
      <c r="G147" t="s">
        <v>189</v>
      </c>
      <c r="H147" t="s">
        <v>190</v>
      </c>
      <c r="I147" t="s">
        <v>191</v>
      </c>
      <c r="J147" t="s">
        <v>192</v>
      </c>
      <c r="K147" t="s">
        <v>195</v>
      </c>
      <c r="L147" t="s">
        <v>79</v>
      </c>
      <c r="M147" t="s">
        <v>80</v>
      </c>
      <c r="N147" t="s">
        <v>81</v>
      </c>
      <c r="O147" t="s">
        <v>82</v>
      </c>
      <c r="P147" t="s">
        <v>83</v>
      </c>
      <c r="Q147" t="s">
        <v>84</v>
      </c>
      <c r="R147">
        <v>5</v>
      </c>
      <c r="S147">
        <v>8005.42</v>
      </c>
      <c r="T147">
        <v>8005.52</v>
      </c>
      <c r="U147" s="1">
        <v>1601.104</v>
      </c>
      <c r="V147" t="s">
        <v>91</v>
      </c>
      <c r="W147" s="43">
        <v>12</v>
      </c>
      <c r="X147">
        <v>20</v>
      </c>
      <c r="Y147">
        <v>0.18</v>
      </c>
      <c r="Z147">
        <v>1110</v>
      </c>
      <c r="AA147">
        <v>1</v>
      </c>
      <c r="AB147">
        <v>15</v>
      </c>
      <c r="AC147">
        <v>0.13</v>
      </c>
      <c r="AD147">
        <v>20</v>
      </c>
      <c r="AE147">
        <v>22</v>
      </c>
      <c r="AF147">
        <v>0.15</v>
      </c>
      <c r="AG147" t="s">
        <v>86</v>
      </c>
      <c r="AH147">
        <v>75</v>
      </c>
      <c r="AI147" s="1">
        <v>13.1</v>
      </c>
      <c r="AJ147" s="1">
        <v>11.6</v>
      </c>
      <c r="AK147" s="1">
        <v>11.6</v>
      </c>
      <c r="AL147" s="1">
        <v>11.6</v>
      </c>
      <c r="AM147" s="1">
        <v>11.6</v>
      </c>
      <c r="AN147" s="1">
        <v>11.6</v>
      </c>
      <c r="AO147" s="1">
        <v>11.6</v>
      </c>
      <c r="AP147" s="1">
        <v>11.6</v>
      </c>
      <c r="AQ147">
        <v>8</v>
      </c>
      <c r="AR147" t="s">
        <v>194</v>
      </c>
      <c r="AS147">
        <v>2</v>
      </c>
      <c r="AT147">
        <v>3</v>
      </c>
      <c r="AX147">
        <v>1</v>
      </c>
      <c r="AY147">
        <v>120</v>
      </c>
      <c r="AZ147">
        <v>0.06</v>
      </c>
      <c r="BA147" s="43" t="str">
        <f t="shared" si="4"/>
        <v>Normal</v>
      </c>
      <c r="BB147" s="46">
        <f>IFERROR((AD147+IF(Calculator_v2!$E$6*Y147&lt;X147,X147,IF(Calculator_v2!$E$6*Y147&gt;Z147,Z147,Calculator_v2!$E$6*Y147))+IF(Calculator_v2!$E$6*AC147&lt;AB147,AB147,Calculator_v2!$E$6*AC147)+IFERROR(_xlfn.LET(_xlpm.tarifa,IF(Calculator_v2!$E$6&lt;=$AI$1,AI147,IF(Calculator_v2!$E$6&lt;=$AK$1,AJ147,IF(Calculator_v2!$E$6&lt;=$AL$1,AK147,IF(Calculator_v2!$E$6&lt;=$AM$1,AL147,IF(Calculator_v2!$E$6&lt;=$AN$1,AM147,IF(Calculator_v2!$E$6&lt;=$AO$1,AN147,IF(Calculator_v2!$E$6&lt;=$AP$1,AO147,AP147))))))),_xlpm.resultado,_xlpm.tarifa*Calculator_v2!$E$6,IF(_xlpm.resultado&lt;AH147,AH147,_xlpm.resultado)),0)+IF(Calculator_v2!$E$6*AV147&lt;AU147,AU147,IF(Calculator_v2!$E$6*AV147&gt;AW147,AW147,Calculator_v2!$E$6*AV147))+IF(Calculator_v2!$E$6*AZ147&lt;=AY147,AY147,Calculator_v2!$E$6*AZ147)),0)</f>
        <v>7190.72</v>
      </c>
      <c r="BC147" s="47">
        <f>IFERROR(+BB147/Calculator_v2!$E$6,0)+IFERROR(VLOOKUP(A147,DHL_ADDER!$B$4:$E$26,4,0),0)</f>
        <v>13.816486486486486</v>
      </c>
      <c r="BD147" s="48">
        <f t="shared" si="5"/>
        <v>3</v>
      </c>
      <c r="BE147" s="48">
        <f>+T[[#This Row],[Airport to Destination Transit Time Days]]+T[[#This Row],[Airport to Airport Transit Time Days]]+T[[#This Row],[Origin to Airport Transit Time in days]]</f>
        <v>10</v>
      </c>
    </row>
    <row r="148" spans="1:57" customFormat="1" x14ac:dyDescent="0.35">
      <c r="A148" t="str">
        <f>+T[[#This Row],[Provider_Name]]&amp;"_"&amp;T[[#This Row],[AXIS]]</f>
        <v>DHL_B_JP&gt;BR</v>
      </c>
      <c r="B148" t="s">
        <v>71</v>
      </c>
      <c r="C148" t="s">
        <v>186</v>
      </c>
      <c r="D148" t="s">
        <v>187</v>
      </c>
      <c r="E148" t="s">
        <v>188</v>
      </c>
      <c r="F148" t="s">
        <v>75</v>
      </c>
      <c r="G148" t="s">
        <v>189</v>
      </c>
      <c r="H148" t="s">
        <v>190</v>
      </c>
      <c r="I148" t="s">
        <v>191</v>
      </c>
      <c r="J148" t="s">
        <v>192</v>
      </c>
      <c r="K148" t="s">
        <v>195</v>
      </c>
      <c r="L148" t="s">
        <v>79</v>
      </c>
      <c r="M148" t="s">
        <v>80</v>
      </c>
      <c r="N148" t="s">
        <v>81</v>
      </c>
      <c r="O148" t="s">
        <v>82</v>
      </c>
      <c r="P148" t="s">
        <v>89</v>
      </c>
      <c r="Q148" t="s">
        <v>84</v>
      </c>
      <c r="R148">
        <v>5</v>
      </c>
      <c r="S148">
        <v>8005.42</v>
      </c>
      <c r="T148">
        <v>8005.52</v>
      </c>
      <c r="U148" s="1">
        <v>1601.104</v>
      </c>
      <c r="V148" t="s">
        <v>91</v>
      </c>
      <c r="W148" s="43">
        <v>10</v>
      </c>
      <c r="X148">
        <v>20</v>
      </c>
      <c r="Y148">
        <v>0.18</v>
      </c>
      <c r="Z148">
        <v>1110</v>
      </c>
      <c r="AA148">
        <v>1</v>
      </c>
      <c r="AB148">
        <v>15</v>
      </c>
      <c r="AC148">
        <v>0.13</v>
      </c>
      <c r="AD148">
        <v>20</v>
      </c>
      <c r="AE148">
        <v>22</v>
      </c>
      <c r="AF148">
        <v>0.15</v>
      </c>
      <c r="AG148" t="s">
        <v>86</v>
      </c>
      <c r="AH148">
        <v>75</v>
      </c>
      <c r="AI148" s="1">
        <v>13.1</v>
      </c>
      <c r="AJ148" s="1">
        <v>11.6</v>
      </c>
      <c r="AK148" s="1">
        <v>11.6</v>
      </c>
      <c r="AL148" s="1">
        <v>11.6</v>
      </c>
      <c r="AM148" s="1">
        <v>11.6</v>
      </c>
      <c r="AN148" s="1">
        <v>11.6</v>
      </c>
      <c r="AO148" s="1">
        <v>11.6</v>
      </c>
      <c r="AP148" s="1">
        <v>11.6</v>
      </c>
      <c r="AQ148">
        <v>8</v>
      </c>
      <c r="AR148" t="s">
        <v>194</v>
      </c>
      <c r="AS148">
        <v>2</v>
      </c>
      <c r="AT148">
        <v>3</v>
      </c>
      <c r="AX148">
        <v>1</v>
      </c>
      <c r="AY148">
        <v>120</v>
      </c>
      <c r="AZ148">
        <v>0.06</v>
      </c>
      <c r="BA148" s="43" t="str">
        <f t="shared" si="4"/>
        <v>Normal</v>
      </c>
      <c r="BB148" s="46">
        <f>IFERROR((AD148+IF(Calculator_v2!$E$6*Y148&lt;X148,X148,IF(Calculator_v2!$E$6*Y148&gt;Z148,Z148,Calculator_v2!$E$6*Y148))+IF(Calculator_v2!$E$6*AC148&lt;AB148,AB148,Calculator_v2!$E$6*AC148)+IFERROR(_xlfn.LET(_xlpm.tarifa,IF(Calculator_v2!$E$6&lt;=$AI$1,AI148,IF(Calculator_v2!$E$6&lt;=$AK$1,AJ148,IF(Calculator_v2!$E$6&lt;=$AL$1,AK148,IF(Calculator_v2!$E$6&lt;=$AM$1,AL148,IF(Calculator_v2!$E$6&lt;=$AN$1,AM148,IF(Calculator_v2!$E$6&lt;=$AO$1,AN148,IF(Calculator_v2!$E$6&lt;=$AP$1,AO148,AP148))))))),_xlpm.resultado,_xlpm.tarifa*Calculator_v2!$E$6,IF(_xlpm.resultado&lt;AH148,AH148,_xlpm.resultado)),0)+IF(Calculator_v2!$E$6*AV148&lt;AU148,AU148,IF(Calculator_v2!$E$6*AV148&gt;AW148,AW148,Calculator_v2!$E$6*AV148))+IF(Calculator_v2!$E$6*AZ148&lt;=AY148,AY148,Calculator_v2!$E$6*AZ148)),0)</f>
        <v>7190.72</v>
      </c>
      <c r="BC148" s="47">
        <f>IFERROR(+BB148/Calculator_v2!$E$6,0)+IFERROR(VLOOKUP(A148,DHL_ADDER!$B$4:$E$26,4,0),0)</f>
        <v>13.816486486486486</v>
      </c>
      <c r="BD148" s="48">
        <f t="shared" si="5"/>
        <v>3</v>
      </c>
      <c r="BE148" s="48">
        <f>+T[[#This Row],[Airport to Destination Transit Time Days]]+T[[#This Row],[Airport to Airport Transit Time Days]]+T[[#This Row],[Origin to Airport Transit Time in days]]</f>
        <v>10</v>
      </c>
    </row>
    <row r="149" spans="1:57" customFormat="1" x14ac:dyDescent="0.35">
      <c r="A149" t="str">
        <f>+T[[#This Row],[Provider_Name]]&amp;"_"&amp;T[[#This Row],[AXIS]]</f>
        <v>DHL_B_JP&gt;BR</v>
      </c>
      <c r="B149" t="s">
        <v>71</v>
      </c>
      <c r="C149" t="s">
        <v>186</v>
      </c>
      <c r="D149" t="s">
        <v>187</v>
      </c>
      <c r="E149" t="s">
        <v>188</v>
      </c>
      <c r="F149" t="s">
        <v>92</v>
      </c>
      <c r="G149" t="s">
        <v>189</v>
      </c>
      <c r="H149" t="s">
        <v>190</v>
      </c>
      <c r="I149" t="s">
        <v>191</v>
      </c>
      <c r="J149" t="s">
        <v>192</v>
      </c>
      <c r="K149" t="s">
        <v>195</v>
      </c>
      <c r="L149" t="s">
        <v>79</v>
      </c>
      <c r="M149" t="s">
        <v>80</v>
      </c>
      <c r="N149" t="s">
        <v>81</v>
      </c>
      <c r="O149" t="s">
        <v>82</v>
      </c>
      <c r="P149" t="s">
        <v>93</v>
      </c>
      <c r="Q149" t="s">
        <v>84</v>
      </c>
      <c r="R149">
        <v>5</v>
      </c>
      <c r="S149">
        <v>8005.42</v>
      </c>
      <c r="T149">
        <v>8005.52</v>
      </c>
      <c r="U149" s="1">
        <v>1601.104</v>
      </c>
      <c r="V149" t="s">
        <v>85</v>
      </c>
      <c r="W149" s="43">
        <v>15</v>
      </c>
      <c r="X149">
        <v>20</v>
      </c>
      <c r="Y149">
        <v>0.18</v>
      </c>
      <c r="Z149">
        <v>1110</v>
      </c>
      <c r="AA149">
        <v>1</v>
      </c>
      <c r="AB149">
        <v>15</v>
      </c>
      <c r="AC149">
        <v>0.13</v>
      </c>
      <c r="AD149">
        <v>20</v>
      </c>
      <c r="AE149">
        <v>22</v>
      </c>
      <c r="AF149">
        <v>0.15</v>
      </c>
      <c r="AG149" t="s">
        <v>86</v>
      </c>
      <c r="AH149">
        <v>50</v>
      </c>
      <c r="AI149" s="1">
        <v>7.6</v>
      </c>
      <c r="AJ149" s="1">
        <v>7.6</v>
      </c>
      <c r="AK149" s="1">
        <v>7.6</v>
      </c>
      <c r="AL149" s="1">
        <v>7.6</v>
      </c>
      <c r="AM149" s="1">
        <v>7.6</v>
      </c>
      <c r="AN149" s="1">
        <v>7.6</v>
      </c>
      <c r="AO149" s="1">
        <v>7.6</v>
      </c>
      <c r="AP149" s="1">
        <v>7.6</v>
      </c>
      <c r="AQ149">
        <v>11</v>
      </c>
      <c r="AR149" t="s">
        <v>194</v>
      </c>
      <c r="AS149">
        <v>2</v>
      </c>
      <c r="AT149">
        <v>2</v>
      </c>
      <c r="AX149">
        <v>1</v>
      </c>
      <c r="AY149">
        <v>120</v>
      </c>
      <c r="AZ149">
        <v>0.06</v>
      </c>
      <c r="BA149" s="43" t="str">
        <f t="shared" si="4"/>
        <v>Economy</v>
      </c>
      <c r="BB149" s="46">
        <f>IFERROR((AD149+IF(Calculator_v2!$E$6*Y149&lt;X149,X149,IF(Calculator_v2!$E$6*Y149&gt;Z149,Z149,Calculator_v2!$E$6*Y149))+IF(Calculator_v2!$E$6*AC149&lt;AB149,AB149,Calculator_v2!$E$6*AC149)+IFERROR(_xlfn.LET(_xlpm.tarifa,IF(Calculator_v2!$E$6&lt;=$AI$1,AI149,IF(Calculator_v2!$E$6&lt;=$AK$1,AJ149,IF(Calculator_v2!$E$6&lt;=$AL$1,AK149,IF(Calculator_v2!$E$6&lt;=$AM$1,AL149,IF(Calculator_v2!$E$6&lt;=$AN$1,AM149,IF(Calculator_v2!$E$6&lt;=$AO$1,AN149,IF(Calculator_v2!$E$6&lt;=$AP$1,AO149,AP149))))))),_xlpm.resultado,_xlpm.tarifa*Calculator_v2!$E$6,IF(_xlpm.resultado&lt;AH149,AH149,_xlpm.resultado)),0)+IF(Calculator_v2!$E$6*AV149&lt;AU149,AU149,IF(Calculator_v2!$E$6*AV149&gt;AW149,AW149,Calculator_v2!$E$6*AV149))+IF(Calculator_v2!$E$6*AZ149&lt;=AY149,AY149,Calculator_v2!$E$6*AZ149)),0)</f>
        <v>4822.72</v>
      </c>
      <c r="BC149" s="47">
        <f>IFERROR(+BB149/Calculator_v2!$E$6,0)+IFERROR(VLOOKUP(A149,DHL_ADDER!$B$4:$E$26,4,0),0)</f>
        <v>9.816486486486486</v>
      </c>
      <c r="BD149" s="48">
        <f t="shared" si="5"/>
        <v>2</v>
      </c>
      <c r="BE149" s="48">
        <f>+T[[#This Row],[Airport to Destination Transit Time Days]]+T[[#This Row],[Airport to Airport Transit Time Days]]+T[[#This Row],[Origin to Airport Transit Time in days]]</f>
        <v>13</v>
      </c>
    </row>
    <row r="150" spans="1:57" customFormat="1" x14ac:dyDescent="0.35">
      <c r="A150" t="str">
        <f>+T[[#This Row],[Provider_Name]]&amp;"_"&amp;T[[#This Row],[AXIS]]</f>
        <v>DHL_B_JP&gt;BR</v>
      </c>
      <c r="B150" t="s">
        <v>71</v>
      </c>
      <c r="C150" t="s">
        <v>186</v>
      </c>
      <c r="D150" t="s">
        <v>187</v>
      </c>
      <c r="E150" t="s">
        <v>188</v>
      </c>
      <c r="F150" t="s">
        <v>92</v>
      </c>
      <c r="G150" t="s">
        <v>189</v>
      </c>
      <c r="H150" t="s">
        <v>190</v>
      </c>
      <c r="I150" t="s">
        <v>191</v>
      </c>
      <c r="J150" t="s">
        <v>192</v>
      </c>
      <c r="K150" t="s">
        <v>195</v>
      </c>
      <c r="L150" t="s">
        <v>79</v>
      </c>
      <c r="M150" t="s">
        <v>80</v>
      </c>
      <c r="N150" t="s">
        <v>81</v>
      </c>
      <c r="O150" t="s">
        <v>82</v>
      </c>
      <c r="P150" t="s">
        <v>93</v>
      </c>
      <c r="Q150" t="s">
        <v>84</v>
      </c>
      <c r="R150">
        <v>5</v>
      </c>
      <c r="S150">
        <v>8005.42</v>
      </c>
      <c r="T150">
        <v>8005.52</v>
      </c>
      <c r="U150" s="1">
        <v>1601.104</v>
      </c>
      <c r="V150" t="s">
        <v>90</v>
      </c>
      <c r="W150" s="43">
        <v>10</v>
      </c>
      <c r="X150">
        <v>20</v>
      </c>
      <c r="Y150">
        <v>0.18</v>
      </c>
      <c r="Z150">
        <v>1110</v>
      </c>
      <c r="AA150">
        <v>1</v>
      </c>
      <c r="AB150">
        <v>15</v>
      </c>
      <c r="AC150">
        <v>0.13</v>
      </c>
      <c r="AD150">
        <v>20</v>
      </c>
      <c r="AE150">
        <v>22</v>
      </c>
      <c r="AF150">
        <v>0.15</v>
      </c>
      <c r="AG150" t="s">
        <v>86</v>
      </c>
      <c r="AH150">
        <v>100</v>
      </c>
      <c r="AI150" s="1">
        <v>14.1</v>
      </c>
      <c r="AJ150" s="1">
        <v>13.6</v>
      </c>
      <c r="AK150" s="1">
        <v>13.6</v>
      </c>
      <c r="AL150" s="1">
        <v>13.6</v>
      </c>
      <c r="AM150" s="1">
        <v>13.6</v>
      </c>
      <c r="AN150" s="1">
        <v>13.6</v>
      </c>
      <c r="AO150" s="1">
        <v>13.6</v>
      </c>
      <c r="AP150" s="1">
        <v>13.6</v>
      </c>
      <c r="AQ150">
        <v>6</v>
      </c>
      <c r="AR150" t="s">
        <v>196</v>
      </c>
      <c r="AS150">
        <v>1</v>
      </c>
      <c r="AT150">
        <v>4</v>
      </c>
      <c r="AX150">
        <v>1</v>
      </c>
      <c r="AY150">
        <v>120</v>
      </c>
      <c r="AZ150">
        <v>0.06</v>
      </c>
      <c r="BA150" s="43" t="str">
        <f t="shared" si="4"/>
        <v>Express</v>
      </c>
      <c r="BB150" s="46">
        <f>IFERROR((AD150+IF(Calculator_v2!$E$6*Y150&lt;X150,X150,IF(Calculator_v2!$E$6*Y150&gt;Z150,Z150,Calculator_v2!$E$6*Y150))+IF(Calculator_v2!$E$6*AC150&lt;AB150,AB150,Calculator_v2!$E$6*AC150)+IFERROR(_xlfn.LET(_xlpm.tarifa,IF(Calculator_v2!$E$6&lt;=$AI$1,AI150,IF(Calculator_v2!$E$6&lt;=$AK$1,AJ150,IF(Calculator_v2!$E$6&lt;=$AL$1,AK150,IF(Calculator_v2!$E$6&lt;=$AM$1,AL150,IF(Calculator_v2!$E$6&lt;=$AN$1,AM150,IF(Calculator_v2!$E$6&lt;=$AO$1,AN150,IF(Calculator_v2!$E$6&lt;=$AP$1,AO150,AP150))))))),_xlpm.resultado,_xlpm.tarifa*Calculator_v2!$E$6,IF(_xlpm.resultado&lt;AH150,AH150,_xlpm.resultado)),0)+IF(Calculator_v2!$E$6*AV150&lt;AU150,AU150,IF(Calculator_v2!$E$6*AV150&gt;AW150,AW150,Calculator_v2!$E$6*AV150))+IF(Calculator_v2!$E$6*AZ150&lt;=AY150,AY150,Calculator_v2!$E$6*AZ150)),0)</f>
        <v>8374.7199999999993</v>
      </c>
      <c r="BC150" s="47">
        <f>IFERROR(+BB150/Calculator_v2!$E$6,0)+IFERROR(VLOOKUP(A150,DHL_ADDER!$B$4:$E$26,4,0),0)</f>
        <v>15.816486486486486</v>
      </c>
      <c r="BD150" s="48">
        <f t="shared" si="5"/>
        <v>4</v>
      </c>
      <c r="BE150" s="48">
        <f>+T[[#This Row],[Airport to Destination Transit Time Days]]+T[[#This Row],[Airport to Airport Transit Time Days]]+T[[#This Row],[Origin to Airport Transit Time in days]]</f>
        <v>8</v>
      </c>
    </row>
    <row r="151" spans="1:57" customFormat="1" x14ac:dyDescent="0.35">
      <c r="A151" t="str">
        <f>+T[[#This Row],[Provider_Name]]&amp;"_"&amp;T[[#This Row],[AXIS]]</f>
        <v>DHL_B_JP&gt;BR</v>
      </c>
      <c r="B151" t="s">
        <v>71</v>
      </c>
      <c r="C151" t="s">
        <v>186</v>
      </c>
      <c r="D151" t="s">
        <v>187</v>
      </c>
      <c r="E151" t="s">
        <v>188</v>
      </c>
      <c r="F151" t="s">
        <v>92</v>
      </c>
      <c r="G151" t="s">
        <v>189</v>
      </c>
      <c r="H151" t="s">
        <v>190</v>
      </c>
      <c r="I151" t="s">
        <v>191</v>
      </c>
      <c r="J151" t="s">
        <v>192</v>
      </c>
      <c r="K151" t="s">
        <v>195</v>
      </c>
      <c r="L151" t="s">
        <v>79</v>
      </c>
      <c r="M151" t="s">
        <v>80</v>
      </c>
      <c r="N151" t="s">
        <v>81</v>
      </c>
      <c r="O151" t="s">
        <v>82</v>
      </c>
      <c r="P151" t="s">
        <v>93</v>
      </c>
      <c r="Q151" t="s">
        <v>84</v>
      </c>
      <c r="R151">
        <v>5</v>
      </c>
      <c r="S151">
        <v>8005.42</v>
      </c>
      <c r="T151">
        <v>8005.52</v>
      </c>
      <c r="U151" s="1">
        <v>1601.104</v>
      </c>
      <c r="V151" t="s">
        <v>91</v>
      </c>
      <c r="W151" s="43">
        <v>11</v>
      </c>
      <c r="X151">
        <v>20</v>
      </c>
      <c r="Y151">
        <v>0.18</v>
      </c>
      <c r="Z151">
        <v>1110</v>
      </c>
      <c r="AA151">
        <v>1</v>
      </c>
      <c r="AB151">
        <v>15</v>
      </c>
      <c r="AC151">
        <v>0.13</v>
      </c>
      <c r="AD151">
        <v>20</v>
      </c>
      <c r="AE151">
        <v>22</v>
      </c>
      <c r="AF151">
        <v>0.15</v>
      </c>
      <c r="AG151" t="s">
        <v>86</v>
      </c>
      <c r="AH151">
        <v>75</v>
      </c>
      <c r="AI151" s="1">
        <v>8.1</v>
      </c>
      <c r="AJ151" s="1">
        <v>8.1</v>
      </c>
      <c r="AK151" s="1">
        <v>8.1</v>
      </c>
      <c r="AL151" s="1">
        <v>8.1</v>
      </c>
      <c r="AM151" s="1">
        <v>8.1</v>
      </c>
      <c r="AN151" s="1">
        <v>8.1</v>
      </c>
      <c r="AO151" s="1">
        <v>8.1</v>
      </c>
      <c r="AP151" s="1">
        <v>8.1</v>
      </c>
      <c r="AQ151">
        <v>7</v>
      </c>
      <c r="AR151" t="s">
        <v>196</v>
      </c>
      <c r="AS151">
        <v>2</v>
      </c>
      <c r="AT151">
        <v>3</v>
      </c>
      <c r="AX151">
        <v>1</v>
      </c>
      <c r="AY151">
        <v>120</v>
      </c>
      <c r="AZ151">
        <v>0.06</v>
      </c>
      <c r="BA151" s="43" t="str">
        <f t="shared" si="4"/>
        <v>Normal</v>
      </c>
      <c r="BB151" s="46">
        <f>IFERROR((AD151+IF(Calculator_v2!$E$6*Y151&lt;X151,X151,IF(Calculator_v2!$E$6*Y151&gt;Z151,Z151,Calculator_v2!$E$6*Y151))+IF(Calculator_v2!$E$6*AC151&lt;AB151,AB151,Calculator_v2!$E$6*AC151)+IFERROR(_xlfn.LET(_xlpm.tarifa,IF(Calculator_v2!$E$6&lt;=$AI$1,AI151,IF(Calculator_v2!$E$6&lt;=$AK$1,AJ151,IF(Calculator_v2!$E$6&lt;=$AL$1,AK151,IF(Calculator_v2!$E$6&lt;=$AM$1,AL151,IF(Calculator_v2!$E$6&lt;=$AN$1,AM151,IF(Calculator_v2!$E$6&lt;=$AO$1,AN151,IF(Calculator_v2!$E$6&lt;=$AP$1,AO151,AP151))))))),_xlpm.resultado,_xlpm.tarifa*Calculator_v2!$E$6,IF(_xlpm.resultado&lt;AH151,AH151,_xlpm.resultado)),0)+IF(Calculator_v2!$E$6*AV151&lt;AU151,AU151,IF(Calculator_v2!$E$6*AV151&gt;AW151,AW151,Calculator_v2!$E$6*AV151))+IF(Calculator_v2!$E$6*AZ151&lt;=AY151,AY151,Calculator_v2!$E$6*AZ151)),0)</f>
        <v>5118.72</v>
      </c>
      <c r="BC151" s="47">
        <f>IFERROR(+BB151/Calculator_v2!$E$6,0)+IFERROR(VLOOKUP(A151,DHL_ADDER!$B$4:$E$26,4,0),0)</f>
        <v>10.316486486486486</v>
      </c>
      <c r="BD151" s="48">
        <f t="shared" si="5"/>
        <v>3</v>
      </c>
      <c r="BE151" s="48">
        <f>+T[[#This Row],[Airport to Destination Transit Time Days]]+T[[#This Row],[Airport to Airport Transit Time Days]]+T[[#This Row],[Origin to Airport Transit Time in days]]</f>
        <v>9</v>
      </c>
    </row>
    <row r="152" spans="1:57" customFormat="1" x14ac:dyDescent="0.35">
      <c r="A152" t="str">
        <f>+T[[#This Row],[Provider_Name]]&amp;"_"&amp;T[[#This Row],[AXIS]]</f>
        <v>DHL_B_JP&gt;ES</v>
      </c>
      <c r="B152" t="s">
        <v>71</v>
      </c>
      <c r="C152" t="s">
        <v>197</v>
      </c>
      <c r="D152" t="s">
        <v>198</v>
      </c>
      <c r="E152" t="s">
        <v>199</v>
      </c>
      <c r="F152" t="s">
        <v>92</v>
      </c>
      <c r="G152" t="s">
        <v>189</v>
      </c>
      <c r="H152" t="s">
        <v>200</v>
      </c>
      <c r="I152" t="s">
        <v>201</v>
      </c>
      <c r="J152" t="s">
        <v>202</v>
      </c>
      <c r="K152" t="s">
        <v>203</v>
      </c>
      <c r="L152" t="s">
        <v>100</v>
      </c>
      <c r="M152" t="s">
        <v>106</v>
      </c>
      <c r="N152" t="s">
        <v>106</v>
      </c>
      <c r="O152">
        <v>48008</v>
      </c>
      <c r="P152" t="s">
        <v>102</v>
      </c>
      <c r="Q152" t="s">
        <v>107</v>
      </c>
      <c r="R152">
        <v>12</v>
      </c>
      <c r="S152">
        <v>1500</v>
      </c>
      <c r="T152">
        <v>1500</v>
      </c>
      <c r="U152" s="1">
        <v>125</v>
      </c>
      <c r="V152" t="s">
        <v>85</v>
      </c>
      <c r="W152" s="43">
        <v>12</v>
      </c>
      <c r="X152" s="44">
        <v>20</v>
      </c>
      <c r="Y152" s="44">
        <v>0.18</v>
      </c>
      <c r="Z152" s="44">
        <v>1110</v>
      </c>
      <c r="AA152">
        <v>1</v>
      </c>
      <c r="AB152" s="45">
        <v>15</v>
      </c>
      <c r="AC152" s="45">
        <v>0.13</v>
      </c>
      <c r="AD152" s="45">
        <v>20</v>
      </c>
      <c r="AE152">
        <v>22</v>
      </c>
      <c r="AF152">
        <v>0.15</v>
      </c>
      <c r="AG152" t="s">
        <v>86</v>
      </c>
      <c r="AH152" s="44">
        <v>70</v>
      </c>
      <c r="AI152" s="44">
        <v>5.8999999999999995</v>
      </c>
      <c r="AJ152" s="44">
        <v>5.8999999999999995</v>
      </c>
      <c r="AK152" s="44">
        <v>5.8999999999999995</v>
      </c>
      <c r="AL152" s="44">
        <v>5.8999999999999995</v>
      </c>
      <c r="AM152" s="44">
        <v>5.8999999999999995</v>
      </c>
      <c r="AN152" s="44">
        <v>5.8999999999999995</v>
      </c>
      <c r="AO152" s="44">
        <v>5.8999999999999995</v>
      </c>
      <c r="AP152" s="44">
        <v>5.8999999999999995</v>
      </c>
      <c r="AQ152">
        <v>9</v>
      </c>
      <c r="AR152" t="s">
        <v>204</v>
      </c>
      <c r="AS152">
        <v>2</v>
      </c>
      <c r="AT152">
        <v>2</v>
      </c>
      <c r="AU152">
        <v>315</v>
      </c>
      <c r="AV152">
        <v>0.45</v>
      </c>
      <c r="AW152">
        <v>490</v>
      </c>
      <c r="AX152">
        <v>2</v>
      </c>
      <c r="AY152">
        <v>49</v>
      </c>
      <c r="AZ152">
        <v>0.19</v>
      </c>
      <c r="BA152" s="43" t="str">
        <f t="shared" si="4"/>
        <v>Economy</v>
      </c>
      <c r="BB152" s="46">
        <f>IFERROR((AD152+IF(Calculator_v2!$E$6*Y152&lt;X152,X152,IF(Calculator_v2!$E$6*Y152&gt;Z152,Z152,Calculator_v2!$E$6*Y152))+IF(Calculator_v2!$E$6*AC152&lt;AB152,AB152,Calculator_v2!$E$6*AC152)+IFERROR(_xlfn.LET(_xlpm.tarifa,IF(Calculator_v2!$E$6&lt;=$AI$1,AI152,IF(Calculator_v2!$E$6&lt;=$AK$1,AJ152,IF(Calculator_v2!$E$6&lt;=$AL$1,AK152,IF(Calculator_v2!$E$6&lt;=$AM$1,AL152,IF(Calculator_v2!$E$6&lt;=$AN$1,AM152,IF(Calculator_v2!$E$6&lt;=$AO$1,AN152,IF(Calculator_v2!$E$6&lt;=$AP$1,AO152,AP152))))))),_xlpm.resultado,_xlpm.tarifa*Calculator_v2!$E$6,IF(_xlpm.resultado&lt;AH152,AH152,_xlpm.resultado)),0)+IF(Calculator_v2!$E$6*AV152&lt;AU152,AU152,IF(Calculator_v2!$E$6*AV152&gt;AW152,AW152,Calculator_v2!$E$6*AV152))+IF(Calculator_v2!$E$6*AZ152&lt;=AY152,AY152,Calculator_v2!$E$6*AZ152)),0)</f>
        <v>4123.7999999999993</v>
      </c>
      <c r="BC152" s="47">
        <f>IFERROR(+BB152/Calculator_v2!$E$6,0)+IFERROR(VLOOKUP(A152,DHL_ADDER!$B$4:$E$26,4,0),0)</f>
        <v>8.6358783783783775</v>
      </c>
      <c r="BD152" s="48">
        <f t="shared" si="5"/>
        <v>2</v>
      </c>
      <c r="BE152" s="48">
        <f>+T[[#This Row],[Airport to Destination Transit Time Days]]+T[[#This Row],[Airport to Airport Transit Time Days]]+T[[#This Row],[Origin to Airport Transit Time in days]]</f>
        <v>12</v>
      </c>
    </row>
    <row r="153" spans="1:57" customFormat="1" x14ac:dyDescent="0.35">
      <c r="A153" t="str">
        <f>+T[[#This Row],[Provider_Name]]&amp;"_"&amp;T[[#This Row],[AXIS]]</f>
        <v>DHL_B_JP&gt;ES</v>
      </c>
      <c r="B153" t="s">
        <v>71</v>
      </c>
      <c r="C153" t="s">
        <v>197</v>
      </c>
      <c r="D153" t="s">
        <v>198</v>
      </c>
      <c r="E153" t="s">
        <v>199</v>
      </c>
      <c r="F153" t="s">
        <v>92</v>
      </c>
      <c r="G153" t="s">
        <v>189</v>
      </c>
      <c r="H153" t="s">
        <v>200</v>
      </c>
      <c r="I153" t="s">
        <v>201</v>
      </c>
      <c r="J153" t="s">
        <v>202</v>
      </c>
      <c r="K153" t="s">
        <v>203</v>
      </c>
      <c r="L153" t="s">
        <v>100</v>
      </c>
      <c r="M153" t="s">
        <v>106</v>
      </c>
      <c r="N153" t="s">
        <v>106</v>
      </c>
      <c r="O153">
        <v>48008</v>
      </c>
      <c r="P153" t="s">
        <v>102</v>
      </c>
      <c r="Q153" t="s">
        <v>107</v>
      </c>
      <c r="R153">
        <v>12</v>
      </c>
      <c r="S153">
        <v>1500</v>
      </c>
      <c r="T153">
        <v>1500</v>
      </c>
      <c r="U153" s="1">
        <v>125</v>
      </c>
      <c r="V153" t="s">
        <v>90</v>
      </c>
      <c r="W153" s="43">
        <v>6</v>
      </c>
      <c r="X153" s="44">
        <v>20</v>
      </c>
      <c r="Y153" s="44">
        <v>0.18</v>
      </c>
      <c r="Z153" s="44">
        <v>1110</v>
      </c>
      <c r="AA153">
        <v>1</v>
      </c>
      <c r="AB153" s="45">
        <v>15</v>
      </c>
      <c r="AC153" s="45">
        <v>0.13</v>
      </c>
      <c r="AD153" s="45">
        <v>20</v>
      </c>
      <c r="AE153">
        <v>22</v>
      </c>
      <c r="AF153">
        <v>0.15</v>
      </c>
      <c r="AG153" t="s">
        <v>86</v>
      </c>
      <c r="AH153" s="44">
        <v>120</v>
      </c>
      <c r="AI153" s="44">
        <v>14.7</v>
      </c>
      <c r="AJ153" s="44">
        <v>9.9</v>
      </c>
      <c r="AK153" s="44">
        <v>9.9</v>
      </c>
      <c r="AL153" s="44">
        <v>9.9</v>
      </c>
      <c r="AM153" s="44">
        <v>9.9</v>
      </c>
      <c r="AN153" s="44">
        <v>9.9</v>
      </c>
      <c r="AO153" s="44">
        <v>9.9</v>
      </c>
      <c r="AP153" s="44">
        <v>9.9</v>
      </c>
      <c r="AQ153">
        <v>3</v>
      </c>
      <c r="AR153" t="s">
        <v>205</v>
      </c>
      <c r="AS153">
        <v>1</v>
      </c>
      <c r="AT153">
        <v>4</v>
      </c>
      <c r="AU153">
        <v>315</v>
      </c>
      <c r="AV153">
        <v>0.45</v>
      </c>
      <c r="AW153">
        <v>490</v>
      </c>
      <c r="AX153">
        <v>2</v>
      </c>
      <c r="AY153">
        <v>49</v>
      </c>
      <c r="AZ153">
        <v>0.19</v>
      </c>
      <c r="BA153" s="43" t="str">
        <f t="shared" si="4"/>
        <v>Express</v>
      </c>
      <c r="BB153" s="46">
        <f>IFERROR((AD153+IF(Calculator_v2!$E$6*Y153&lt;X153,X153,IF(Calculator_v2!$E$6*Y153&gt;Z153,Z153,Calculator_v2!$E$6*Y153))+IF(Calculator_v2!$E$6*AC153&lt;AB153,AB153,Calculator_v2!$E$6*AC153)+IFERROR(_xlfn.LET(_xlpm.tarifa,IF(Calculator_v2!$E$6&lt;=$AI$1,AI153,IF(Calculator_v2!$E$6&lt;=$AK$1,AJ153,IF(Calculator_v2!$E$6&lt;=$AL$1,AK153,IF(Calculator_v2!$E$6&lt;=$AM$1,AL153,IF(Calculator_v2!$E$6&lt;=$AN$1,AM153,IF(Calculator_v2!$E$6&lt;=$AO$1,AN153,IF(Calculator_v2!$E$6&lt;=$AP$1,AO153,AP153))))))),_xlpm.resultado,_xlpm.tarifa*Calculator_v2!$E$6,IF(_xlpm.resultado&lt;AH153,AH153,_xlpm.resultado)),0)+IF(Calculator_v2!$E$6*AV153&lt;AU153,AU153,IF(Calculator_v2!$E$6*AV153&gt;AW153,AW153,Calculator_v2!$E$6*AV153))+IF(Calculator_v2!$E$6*AZ153&lt;=AY153,AY153,Calculator_v2!$E$6*AZ153)),0)</f>
        <v>6491.8</v>
      </c>
      <c r="BC153" s="47">
        <f>IFERROR(+BB153/Calculator_v2!$E$6,0)+IFERROR(VLOOKUP(A153,DHL_ADDER!$B$4:$E$26,4,0),0)</f>
        <v>12.635878378378379</v>
      </c>
      <c r="BD153" s="48">
        <f t="shared" si="5"/>
        <v>4</v>
      </c>
      <c r="BE153" s="48">
        <f>+T[[#This Row],[Airport to Destination Transit Time Days]]+T[[#This Row],[Airport to Airport Transit Time Days]]+T[[#This Row],[Origin to Airport Transit Time in days]]</f>
        <v>6</v>
      </c>
    </row>
    <row r="154" spans="1:57" customFormat="1" x14ac:dyDescent="0.35">
      <c r="A154" t="str">
        <f>+T[[#This Row],[Provider_Name]]&amp;"_"&amp;T[[#This Row],[AXIS]]</f>
        <v>DHL_B_JP&gt;ES</v>
      </c>
      <c r="B154" t="s">
        <v>71</v>
      </c>
      <c r="C154" t="s">
        <v>197</v>
      </c>
      <c r="D154" t="s">
        <v>198</v>
      </c>
      <c r="E154" t="s">
        <v>199</v>
      </c>
      <c r="F154" t="s">
        <v>92</v>
      </c>
      <c r="G154" t="s">
        <v>189</v>
      </c>
      <c r="H154" t="s">
        <v>200</v>
      </c>
      <c r="I154" t="s">
        <v>201</v>
      </c>
      <c r="J154" t="s">
        <v>202</v>
      </c>
      <c r="K154" t="s">
        <v>203</v>
      </c>
      <c r="L154" t="s">
        <v>100</v>
      </c>
      <c r="M154" t="s">
        <v>106</v>
      </c>
      <c r="N154" t="s">
        <v>106</v>
      </c>
      <c r="O154">
        <v>48008</v>
      </c>
      <c r="P154" t="s">
        <v>102</v>
      </c>
      <c r="Q154" t="s">
        <v>107</v>
      </c>
      <c r="R154">
        <v>12</v>
      </c>
      <c r="S154">
        <v>1500</v>
      </c>
      <c r="T154">
        <v>1500</v>
      </c>
      <c r="U154" s="1">
        <v>125</v>
      </c>
      <c r="V154" t="s">
        <v>91</v>
      </c>
      <c r="W154" s="43">
        <v>8</v>
      </c>
      <c r="X154" s="44">
        <v>20</v>
      </c>
      <c r="Y154" s="44">
        <v>0.18</v>
      </c>
      <c r="Z154" s="44">
        <v>1110</v>
      </c>
      <c r="AA154">
        <v>1</v>
      </c>
      <c r="AB154" s="45">
        <v>15</v>
      </c>
      <c r="AC154" s="45">
        <v>0.13</v>
      </c>
      <c r="AD154" s="45">
        <v>20</v>
      </c>
      <c r="AE154">
        <v>22</v>
      </c>
      <c r="AF154">
        <v>0.15</v>
      </c>
      <c r="AG154" t="s">
        <v>86</v>
      </c>
      <c r="AH154" s="44">
        <v>95</v>
      </c>
      <c r="AI154" s="44">
        <v>9.6</v>
      </c>
      <c r="AJ154" s="44">
        <v>8.9</v>
      </c>
      <c r="AK154" s="44">
        <v>8.9</v>
      </c>
      <c r="AL154" s="44">
        <v>8.9</v>
      </c>
      <c r="AM154" s="44">
        <v>8.9</v>
      </c>
      <c r="AN154" s="44">
        <v>8.9</v>
      </c>
      <c r="AO154" s="44">
        <v>8.9</v>
      </c>
      <c r="AP154" s="44">
        <v>8.9</v>
      </c>
      <c r="AQ154">
        <v>5</v>
      </c>
      <c r="AR154" t="s">
        <v>206</v>
      </c>
      <c r="AS154">
        <v>1</v>
      </c>
      <c r="AT154">
        <v>3</v>
      </c>
      <c r="AU154">
        <v>315</v>
      </c>
      <c r="AV154">
        <v>0.45</v>
      </c>
      <c r="AW154">
        <v>490</v>
      </c>
      <c r="AX154">
        <v>2</v>
      </c>
      <c r="AY154">
        <v>49</v>
      </c>
      <c r="AZ154">
        <v>0.19</v>
      </c>
      <c r="BA154" s="43" t="str">
        <f t="shared" si="4"/>
        <v>Normal</v>
      </c>
      <c r="BB154" s="46">
        <f>IFERROR((AD154+IF(Calculator_v2!$E$6*Y154&lt;X154,X154,IF(Calculator_v2!$E$6*Y154&gt;Z154,Z154,Calculator_v2!$E$6*Y154))+IF(Calculator_v2!$E$6*AC154&lt;AB154,AB154,Calculator_v2!$E$6*AC154)+IFERROR(_xlfn.LET(_xlpm.tarifa,IF(Calculator_v2!$E$6&lt;=$AI$1,AI154,IF(Calculator_v2!$E$6&lt;=$AK$1,AJ154,IF(Calculator_v2!$E$6&lt;=$AL$1,AK154,IF(Calculator_v2!$E$6&lt;=$AM$1,AL154,IF(Calculator_v2!$E$6&lt;=$AN$1,AM154,IF(Calculator_v2!$E$6&lt;=$AO$1,AN154,IF(Calculator_v2!$E$6&lt;=$AP$1,AO154,AP154))))))),_xlpm.resultado,_xlpm.tarifa*Calculator_v2!$E$6,IF(_xlpm.resultado&lt;AH154,AH154,_xlpm.resultado)),0)+IF(Calculator_v2!$E$6*AV154&lt;AU154,AU154,IF(Calculator_v2!$E$6*AV154&gt;AW154,AW154,Calculator_v2!$E$6*AV154))+IF(Calculator_v2!$E$6*AZ154&lt;=AY154,AY154,Calculator_v2!$E$6*AZ154)),0)</f>
        <v>5899.8</v>
      </c>
      <c r="BC154" s="47">
        <f>IFERROR(+BB154/Calculator_v2!$E$6,0)+IFERROR(VLOOKUP(A154,DHL_ADDER!$B$4:$E$26,4,0),0)</f>
        <v>11.635878378378379</v>
      </c>
      <c r="BD154" s="48">
        <f t="shared" si="5"/>
        <v>3</v>
      </c>
      <c r="BE154" s="48">
        <f>+T[[#This Row],[Airport to Destination Transit Time Days]]+T[[#This Row],[Airport to Airport Transit Time Days]]+T[[#This Row],[Origin to Airport Transit Time in days]]</f>
        <v>8</v>
      </c>
    </row>
    <row r="155" spans="1:57" customFormat="1" x14ac:dyDescent="0.35">
      <c r="A155" t="str">
        <f>+T[[#This Row],[Provider_Name]]&amp;"_"&amp;T[[#This Row],[AXIS]]</f>
        <v>DHL_B_JP&gt;TR</v>
      </c>
      <c r="B155" t="s">
        <v>71</v>
      </c>
      <c r="C155" t="s">
        <v>207</v>
      </c>
      <c r="D155" t="s">
        <v>208</v>
      </c>
      <c r="E155" t="s">
        <v>188</v>
      </c>
      <c r="F155" t="s">
        <v>75</v>
      </c>
      <c r="G155" t="s">
        <v>189</v>
      </c>
      <c r="H155" t="s">
        <v>190</v>
      </c>
      <c r="I155" t="s">
        <v>191</v>
      </c>
      <c r="J155" t="s">
        <v>209</v>
      </c>
      <c r="K155" t="s">
        <v>193</v>
      </c>
      <c r="L155" t="s">
        <v>126</v>
      </c>
      <c r="M155" t="s">
        <v>127</v>
      </c>
      <c r="N155" t="s">
        <v>128</v>
      </c>
      <c r="O155">
        <v>34771</v>
      </c>
      <c r="P155" t="s">
        <v>129</v>
      </c>
      <c r="Q155" t="s">
        <v>130</v>
      </c>
      <c r="R155">
        <v>27</v>
      </c>
      <c r="S155">
        <v>129359.5</v>
      </c>
      <c r="T155">
        <v>129364.2</v>
      </c>
      <c r="U155" s="1">
        <v>4791.2666666666664</v>
      </c>
      <c r="V155" t="s">
        <v>85</v>
      </c>
      <c r="W155" s="43">
        <v>9</v>
      </c>
      <c r="X155" s="44">
        <v>40</v>
      </c>
      <c r="Y155" s="44">
        <v>0.36</v>
      </c>
      <c r="Z155" s="44">
        <v>2220</v>
      </c>
      <c r="AA155">
        <v>1</v>
      </c>
      <c r="AB155" s="45">
        <v>15</v>
      </c>
      <c r="AC155" s="45">
        <v>0.13</v>
      </c>
      <c r="AD155" s="45">
        <v>20</v>
      </c>
      <c r="AE155">
        <v>22</v>
      </c>
      <c r="AF155">
        <v>0.15</v>
      </c>
      <c r="AG155" t="s">
        <v>86</v>
      </c>
      <c r="AH155" s="44">
        <v>70</v>
      </c>
      <c r="AI155" s="44">
        <v>3.0500000000000003</v>
      </c>
      <c r="AJ155" s="44">
        <v>3.0500000000000003</v>
      </c>
      <c r="AK155" s="44">
        <v>3.0500000000000003</v>
      </c>
      <c r="AL155" s="44">
        <v>3.0500000000000003</v>
      </c>
      <c r="AM155" s="44">
        <v>3.0500000000000003</v>
      </c>
      <c r="AN155" s="44">
        <v>3.0500000000000003</v>
      </c>
      <c r="AO155" s="44">
        <v>3.0500000000000003</v>
      </c>
      <c r="AP155" s="44">
        <v>3.0500000000000003</v>
      </c>
      <c r="AQ155">
        <v>7</v>
      </c>
      <c r="AR155" t="s">
        <v>210</v>
      </c>
      <c r="AS155">
        <v>2</v>
      </c>
      <c r="AT155">
        <v>2</v>
      </c>
      <c r="AU155" s="45">
        <v>1080</v>
      </c>
      <c r="AV155" s="45">
        <v>0.2</v>
      </c>
      <c r="AW155" s="45">
        <v>1600</v>
      </c>
      <c r="AX155">
        <v>1</v>
      </c>
      <c r="AY155">
        <v>85</v>
      </c>
      <c r="AZ155">
        <v>0.04</v>
      </c>
      <c r="BA155" s="43" t="str">
        <f t="shared" si="4"/>
        <v>Economy</v>
      </c>
      <c r="BB155" s="46">
        <f>IFERROR((AD155+IF(Calculator_v2!$E$6*Y155&lt;X155,X155,IF(Calculator_v2!$E$6*Y155&gt;Z155,Z155,Calculator_v2!$E$6*Y155))+IF(Calculator_v2!$E$6*AC155&lt;AB155,AB155,Calculator_v2!$E$6*AC155)+IFERROR(_xlfn.LET(_xlpm.tarifa,IF(Calculator_v2!$E$6&lt;=$AI$1,AI155,IF(Calculator_v2!$E$6&lt;=$AK$1,AJ155,IF(Calculator_v2!$E$6&lt;=$AL$1,AK155,IF(Calculator_v2!$E$6&lt;=$AM$1,AL155,IF(Calculator_v2!$E$6&lt;=$AN$1,AM155,IF(Calculator_v2!$E$6&lt;=$AO$1,AN155,IF(Calculator_v2!$E$6&lt;=$AP$1,AO155,AP155))))))),_xlpm.resultado,_xlpm.tarifa*Calculator_v2!$E$6,IF(_xlpm.resultado&lt;AH155,AH155,_xlpm.resultado)),0)+IF(Calculator_v2!$E$6*AV155&lt;AU155,AU155,IF(Calculator_v2!$E$6*AV155&gt;AW155,AW155,Calculator_v2!$E$6*AV155))+IF(Calculator_v2!$E$6*AZ155&lt;=AY155,AY155,Calculator_v2!$E$6*AZ155)),0)</f>
        <v>3280.6800000000003</v>
      </c>
      <c r="BC155" s="47">
        <f>IFERROR(+BB155/Calculator_v2!$E$6,0)+IFERROR(VLOOKUP(A155,DHL_ADDER!$B$4:$E$26,4,0),0)</f>
        <v>7.2116891891891894</v>
      </c>
      <c r="BD155" s="48">
        <f t="shared" si="5"/>
        <v>2</v>
      </c>
      <c r="BE155" s="48">
        <f>+T[[#This Row],[Airport to Destination Transit Time Days]]+T[[#This Row],[Airport to Airport Transit Time Days]]+T[[#This Row],[Origin to Airport Transit Time in days]]</f>
        <v>9</v>
      </c>
    </row>
    <row r="156" spans="1:57" customFormat="1" x14ac:dyDescent="0.35">
      <c r="A156" t="str">
        <f>+T[[#This Row],[Provider_Name]]&amp;"_"&amp;T[[#This Row],[AXIS]]</f>
        <v>DHL_B_JP&gt;TR</v>
      </c>
      <c r="B156" t="s">
        <v>71</v>
      </c>
      <c r="C156" t="s">
        <v>207</v>
      </c>
      <c r="D156" t="s">
        <v>208</v>
      </c>
      <c r="E156" t="s">
        <v>188</v>
      </c>
      <c r="F156" t="s">
        <v>75</v>
      </c>
      <c r="G156" t="s">
        <v>189</v>
      </c>
      <c r="H156" t="s">
        <v>190</v>
      </c>
      <c r="I156" t="s">
        <v>191</v>
      </c>
      <c r="J156" t="s">
        <v>209</v>
      </c>
      <c r="K156" t="s">
        <v>193</v>
      </c>
      <c r="L156" t="s">
        <v>126</v>
      </c>
      <c r="M156" t="s">
        <v>127</v>
      </c>
      <c r="N156" t="s">
        <v>128</v>
      </c>
      <c r="O156">
        <v>34771</v>
      </c>
      <c r="P156" t="s">
        <v>129</v>
      </c>
      <c r="Q156" t="s">
        <v>130</v>
      </c>
      <c r="R156">
        <v>27</v>
      </c>
      <c r="S156">
        <v>129359.5</v>
      </c>
      <c r="T156">
        <v>129364.2</v>
      </c>
      <c r="U156" s="1">
        <v>4791.2666666666664</v>
      </c>
      <c r="V156" t="s">
        <v>90</v>
      </c>
      <c r="W156" s="48">
        <v>5</v>
      </c>
      <c r="X156" s="44">
        <v>40</v>
      </c>
      <c r="Y156" s="44">
        <v>0.36</v>
      </c>
      <c r="Z156" s="44">
        <v>2220</v>
      </c>
      <c r="AA156">
        <v>1</v>
      </c>
      <c r="AB156" s="45">
        <v>15</v>
      </c>
      <c r="AC156" s="45">
        <v>0.13</v>
      </c>
      <c r="AD156" s="45">
        <v>20</v>
      </c>
      <c r="AE156">
        <v>22</v>
      </c>
      <c r="AF156">
        <v>0.15</v>
      </c>
      <c r="AG156" t="s">
        <v>86</v>
      </c>
      <c r="AH156" s="44">
        <v>120</v>
      </c>
      <c r="AI156" s="44">
        <v>14.7</v>
      </c>
      <c r="AJ156" s="44">
        <v>7.1</v>
      </c>
      <c r="AK156" s="44">
        <v>6.1</v>
      </c>
      <c r="AL156" s="44">
        <v>4.5999999999999996</v>
      </c>
      <c r="AM156" s="44">
        <v>4.5999999999999996</v>
      </c>
      <c r="AN156" s="44">
        <v>4.5999999999999996</v>
      </c>
      <c r="AO156" s="44">
        <v>4.5999999999999996</v>
      </c>
      <c r="AP156" s="44">
        <v>4.5999999999999996</v>
      </c>
      <c r="AQ156">
        <v>3</v>
      </c>
      <c r="AR156" t="s">
        <v>211</v>
      </c>
      <c r="AS156">
        <v>1</v>
      </c>
      <c r="AT156">
        <v>4</v>
      </c>
      <c r="AU156" s="45">
        <v>1080</v>
      </c>
      <c r="AV156" s="45">
        <v>0.2</v>
      </c>
      <c r="AW156" s="45">
        <v>1600</v>
      </c>
      <c r="AX156">
        <v>1</v>
      </c>
      <c r="AY156">
        <v>85</v>
      </c>
      <c r="AZ156">
        <v>0.04</v>
      </c>
      <c r="BA156" s="43" t="str">
        <f t="shared" si="4"/>
        <v>Express</v>
      </c>
      <c r="BB156" s="46">
        <f>IFERROR((AD156+IF(Calculator_v2!$E$6*Y156&lt;X156,X156,IF(Calculator_v2!$E$6*Y156&gt;Z156,Z156,Calculator_v2!$E$6*Y156))+IF(Calculator_v2!$E$6*AC156&lt;AB156,AB156,Calculator_v2!$E$6*AC156)+IFERROR(_xlfn.LET(_xlpm.tarifa,IF(Calculator_v2!$E$6&lt;=$AI$1,AI156,IF(Calculator_v2!$E$6&lt;=$AK$1,AJ156,IF(Calculator_v2!$E$6&lt;=$AL$1,AK156,IF(Calculator_v2!$E$6&lt;=$AM$1,AL156,IF(Calculator_v2!$E$6&lt;=$AN$1,AM156,IF(Calculator_v2!$E$6&lt;=$AO$1,AN156,IF(Calculator_v2!$E$6&lt;=$AP$1,AO156,AP156))))))),_xlpm.resultado,_xlpm.tarifa*Calculator_v2!$E$6,IF(_xlpm.resultado&lt;AH156,AH156,_xlpm.resultado)),0)+IF(Calculator_v2!$E$6*AV156&lt;AU156,AU156,IF(Calculator_v2!$E$6*AV156&gt;AW156,AW156,Calculator_v2!$E$6*AV156))+IF(Calculator_v2!$E$6*AZ156&lt;=AY156,AY156,Calculator_v2!$E$6*AZ156)),0)</f>
        <v>4198.28</v>
      </c>
      <c r="BC156" s="47">
        <f>IFERROR(+BB156/Calculator_v2!$E$6,0)+IFERROR(VLOOKUP(A156,DHL_ADDER!$B$4:$E$26,4,0),0)</f>
        <v>8.7616891891891875</v>
      </c>
      <c r="BD156" s="48">
        <f t="shared" si="5"/>
        <v>4</v>
      </c>
      <c r="BE156" s="48">
        <f>+T[[#This Row],[Airport to Destination Transit Time Days]]+T[[#This Row],[Airport to Airport Transit Time Days]]+T[[#This Row],[Origin to Airport Transit Time in days]]</f>
        <v>5</v>
      </c>
    </row>
    <row r="157" spans="1:57" customFormat="1" x14ac:dyDescent="0.35">
      <c r="A157" t="str">
        <f>+T[[#This Row],[Provider_Name]]&amp;"_"&amp;T[[#This Row],[AXIS]]</f>
        <v>DHL_B_JP&gt;TR</v>
      </c>
      <c r="B157" t="s">
        <v>71</v>
      </c>
      <c r="C157" t="s">
        <v>207</v>
      </c>
      <c r="D157" t="s">
        <v>208</v>
      </c>
      <c r="E157" t="s">
        <v>188</v>
      </c>
      <c r="F157" t="s">
        <v>75</v>
      </c>
      <c r="G157" t="s">
        <v>189</v>
      </c>
      <c r="H157" t="s">
        <v>190</v>
      </c>
      <c r="I157" t="s">
        <v>191</v>
      </c>
      <c r="J157" t="s">
        <v>209</v>
      </c>
      <c r="K157" t="s">
        <v>193</v>
      </c>
      <c r="L157" t="s">
        <v>126</v>
      </c>
      <c r="M157" t="s">
        <v>127</v>
      </c>
      <c r="N157" t="s">
        <v>128</v>
      </c>
      <c r="O157">
        <v>34771</v>
      </c>
      <c r="P157" t="s">
        <v>129</v>
      </c>
      <c r="Q157" t="s">
        <v>130</v>
      </c>
      <c r="R157">
        <v>27</v>
      </c>
      <c r="S157">
        <v>129359.5</v>
      </c>
      <c r="T157">
        <v>129364.2</v>
      </c>
      <c r="U157" s="1">
        <v>4791.2666666666664</v>
      </c>
      <c r="V157" t="s">
        <v>91</v>
      </c>
      <c r="W157" s="43">
        <v>7</v>
      </c>
      <c r="X157">
        <v>40</v>
      </c>
      <c r="Y157">
        <v>0.36</v>
      </c>
      <c r="Z157">
        <v>2220</v>
      </c>
      <c r="AA157">
        <v>1</v>
      </c>
      <c r="AB157">
        <v>15</v>
      </c>
      <c r="AC157">
        <v>0.13</v>
      </c>
      <c r="AD157">
        <v>20</v>
      </c>
      <c r="AE157">
        <v>22</v>
      </c>
      <c r="AF157">
        <v>0.15</v>
      </c>
      <c r="AG157" t="s">
        <v>86</v>
      </c>
      <c r="AH157">
        <v>95</v>
      </c>
      <c r="AI157" s="1">
        <v>8.879999999999999</v>
      </c>
      <c r="AJ157" s="1">
        <v>3.4</v>
      </c>
      <c r="AK157" s="1">
        <v>3.4</v>
      </c>
      <c r="AL157" s="1">
        <v>3.4</v>
      </c>
      <c r="AM157" s="1">
        <v>3.4</v>
      </c>
      <c r="AN157" s="1">
        <v>3.4</v>
      </c>
      <c r="AO157" s="1">
        <v>3.4</v>
      </c>
      <c r="AP157" s="1">
        <v>3.4</v>
      </c>
      <c r="AQ157">
        <v>5</v>
      </c>
      <c r="AR157" t="s">
        <v>211</v>
      </c>
      <c r="AS157">
        <v>1</v>
      </c>
      <c r="AT157">
        <v>3</v>
      </c>
      <c r="AU157">
        <v>1080</v>
      </c>
      <c r="AV157">
        <v>0.2</v>
      </c>
      <c r="AW157">
        <v>1600</v>
      </c>
      <c r="AX157">
        <v>1</v>
      </c>
      <c r="AY157">
        <v>85</v>
      </c>
      <c r="AZ157">
        <v>0.04</v>
      </c>
      <c r="BA157" s="43" t="str">
        <f t="shared" si="4"/>
        <v>Normal</v>
      </c>
      <c r="BB157" s="46">
        <f>IFERROR((AD157+IF(Calculator_v2!$E$6*Y157&lt;X157,X157,IF(Calculator_v2!$E$6*Y157&gt;Z157,Z157,Calculator_v2!$E$6*Y157))+IF(Calculator_v2!$E$6*AC157&lt;AB157,AB157,Calculator_v2!$E$6*AC157)+IFERROR(_xlfn.LET(_xlpm.tarifa,IF(Calculator_v2!$E$6&lt;=$AI$1,AI157,IF(Calculator_v2!$E$6&lt;=$AK$1,AJ157,IF(Calculator_v2!$E$6&lt;=$AL$1,AK157,IF(Calculator_v2!$E$6&lt;=$AM$1,AL157,IF(Calculator_v2!$E$6&lt;=$AN$1,AM157,IF(Calculator_v2!$E$6&lt;=$AO$1,AN157,IF(Calculator_v2!$E$6&lt;=$AP$1,AO157,AP157))))))),_xlpm.resultado,_xlpm.tarifa*Calculator_v2!$E$6,IF(_xlpm.resultado&lt;AH157,AH157,_xlpm.resultado)),0)+IF(Calculator_v2!$E$6*AV157&lt;AU157,AU157,IF(Calculator_v2!$E$6*AV157&gt;AW157,AW157,Calculator_v2!$E$6*AV157))+IF(Calculator_v2!$E$6*AZ157&lt;=AY157,AY157,Calculator_v2!$E$6*AZ157)),0)</f>
        <v>3487.88</v>
      </c>
      <c r="BC157" s="47">
        <f>IFERROR(+BB157/Calculator_v2!$E$6,0)+IFERROR(VLOOKUP(A157,DHL_ADDER!$B$4:$E$26,4,0),0)</f>
        <v>7.5616891891891891</v>
      </c>
      <c r="BD157" s="48">
        <f t="shared" si="5"/>
        <v>3</v>
      </c>
      <c r="BE157" s="48">
        <f>+T[[#This Row],[Airport to Destination Transit Time Days]]+T[[#This Row],[Airport to Airport Transit Time Days]]+T[[#This Row],[Origin to Airport Transit Time in days]]</f>
        <v>7</v>
      </c>
    </row>
    <row r="158" spans="1:57" customFormat="1" x14ac:dyDescent="0.35">
      <c r="A158" t="str">
        <f>+T[[#This Row],[Provider_Name]]&amp;"_"&amp;T[[#This Row],[AXIS]]</f>
        <v>DHL_B_JP&gt;TR</v>
      </c>
      <c r="B158" t="s">
        <v>71</v>
      </c>
      <c r="C158" t="s">
        <v>207</v>
      </c>
      <c r="D158" t="s">
        <v>208</v>
      </c>
      <c r="E158" t="s">
        <v>188</v>
      </c>
      <c r="F158" t="s">
        <v>92</v>
      </c>
      <c r="G158" t="s">
        <v>189</v>
      </c>
      <c r="H158" t="s">
        <v>190</v>
      </c>
      <c r="I158" t="s">
        <v>191</v>
      </c>
      <c r="J158" t="s">
        <v>209</v>
      </c>
      <c r="K158" t="s">
        <v>195</v>
      </c>
      <c r="L158" t="s">
        <v>126</v>
      </c>
      <c r="M158" t="s">
        <v>127</v>
      </c>
      <c r="N158" t="s">
        <v>128</v>
      </c>
      <c r="O158">
        <v>34771</v>
      </c>
      <c r="P158" t="s">
        <v>129</v>
      </c>
      <c r="Q158" t="s">
        <v>130</v>
      </c>
      <c r="R158">
        <v>27</v>
      </c>
      <c r="S158">
        <v>129359.5</v>
      </c>
      <c r="T158">
        <v>129364.2</v>
      </c>
      <c r="U158" s="1">
        <v>4791.2666666666664</v>
      </c>
      <c r="V158" t="s">
        <v>85</v>
      </c>
      <c r="W158" s="43">
        <v>9</v>
      </c>
      <c r="X158">
        <v>20</v>
      </c>
      <c r="Y158">
        <v>0.18</v>
      </c>
      <c r="Z158">
        <v>1110</v>
      </c>
      <c r="AA158">
        <v>1</v>
      </c>
      <c r="AB158">
        <v>15</v>
      </c>
      <c r="AC158">
        <v>0.13</v>
      </c>
      <c r="AD158">
        <v>20</v>
      </c>
      <c r="AE158">
        <v>22</v>
      </c>
      <c r="AF158">
        <v>0.15</v>
      </c>
      <c r="AG158" t="s">
        <v>86</v>
      </c>
      <c r="AH158">
        <v>70</v>
      </c>
      <c r="AI158" s="1">
        <v>3.0500000000000003</v>
      </c>
      <c r="AJ158" s="1">
        <v>3.0500000000000003</v>
      </c>
      <c r="AK158" s="1">
        <v>3.0500000000000003</v>
      </c>
      <c r="AL158" s="1">
        <v>3.0500000000000003</v>
      </c>
      <c r="AM158" s="1">
        <v>3.0500000000000003</v>
      </c>
      <c r="AN158" s="1">
        <v>3.0500000000000003</v>
      </c>
      <c r="AO158" s="1">
        <v>3.0500000000000003</v>
      </c>
      <c r="AP158" s="1">
        <v>3.0500000000000003</v>
      </c>
      <c r="AQ158">
        <v>7</v>
      </c>
      <c r="AR158" t="s">
        <v>210</v>
      </c>
      <c r="AS158">
        <v>2</v>
      </c>
      <c r="AT158">
        <v>2</v>
      </c>
      <c r="AU158">
        <v>1080</v>
      </c>
      <c r="AV158">
        <v>0.2</v>
      </c>
      <c r="AW158">
        <v>1600</v>
      </c>
      <c r="AX158">
        <v>1</v>
      </c>
      <c r="AY158">
        <v>85</v>
      </c>
      <c r="AZ158">
        <v>0.04</v>
      </c>
      <c r="BA158" s="43" t="str">
        <f t="shared" si="4"/>
        <v>Economy</v>
      </c>
      <c r="BB158" s="46">
        <f>IFERROR((AD158+IF(Calculator_v2!$E$6*Y158&lt;X158,X158,IF(Calculator_v2!$E$6*Y158&gt;Z158,Z158,Calculator_v2!$E$6*Y158))+IF(Calculator_v2!$E$6*AC158&lt;AB158,AB158,Calculator_v2!$E$6*AC158)+IFERROR(_xlfn.LET(_xlpm.tarifa,IF(Calculator_v2!$E$6&lt;=$AI$1,AI158,IF(Calculator_v2!$E$6&lt;=$AK$1,AJ158,IF(Calculator_v2!$E$6&lt;=$AL$1,AK158,IF(Calculator_v2!$E$6&lt;=$AM$1,AL158,IF(Calculator_v2!$E$6&lt;=$AN$1,AM158,IF(Calculator_v2!$E$6&lt;=$AO$1,AN158,IF(Calculator_v2!$E$6&lt;=$AP$1,AO158,AP158))))))),_xlpm.resultado,_xlpm.tarifa*Calculator_v2!$E$6,IF(_xlpm.resultado&lt;AH158,AH158,_xlpm.resultado)),0)+IF(Calculator_v2!$E$6*AV158&lt;AU158,AU158,IF(Calculator_v2!$E$6*AV158&gt;AW158,AW158,Calculator_v2!$E$6*AV158))+IF(Calculator_v2!$E$6*AZ158&lt;=AY158,AY158,Calculator_v2!$E$6*AZ158)),0)</f>
        <v>3174.12</v>
      </c>
      <c r="BC158" s="47">
        <f>IFERROR(+BB158/Calculator_v2!$E$6,0)+IFERROR(VLOOKUP(A158,DHL_ADDER!$B$4:$E$26,4,0),0)</f>
        <v>7.0316891891891888</v>
      </c>
      <c r="BD158" s="48">
        <f t="shared" si="5"/>
        <v>2</v>
      </c>
      <c r="BE158" s="48">
        <f>+T[[#This Row],[Airport to Destination Transit Time Days]]+T[[#This Row],[Airport to Airport Transit Time Days]]+T[[#This Row],[Origin to Airport Transit Time in days]]</f>
        <v>9</v>
      </c>
    </row>
    <row r="159" spans="1:57" customFormat="1" x14ac:dyDescent="0.35">
      <c r="A159" t="str">
        <f>+T[[#This Row],[Provider_Name]]&amp;"_"&amp;T[[#This Row],[AXIS]]</f>
        <v>DHL_B_JP&gt;TR</v>
      </c>
      <c r="B159" t="s">
        <v>71</v>
      </c>
      <c r="C159" t="s">
        <v>207</v>
      </c>
      <c r="D159" t="s">
        <v>208</v>
      </c>
      <c r="E159" t="s">
        <v>188</v>
      </c>
      <c r="F159" t="s">
        <v>92</v>
      </c>
      <c r="G159" t="s">
        <v>189</v>
      </c>
      <c r="H159" t="s">
        <v>190</v>
      </c>
      <c r="I159" t="s">
        <v>191</v>
      </c>
      <c r="J159" t="s">
        <v>209</v>
      </c>
      <c r="K159" t="s">
        <v>195</v>
      </c>
      <c r="L159" t="s">
        <v>126</v>
      </c>
      <c r="M159" t="s">
        <v>127</v>
      </c>
      <c r="N159" t="s">
        <v>128</v>
      </c>
      <c r="O159">
        <v>34771</v>
      </c>
      <c r="P159" t="s">
        <v>129</v>
      </c>
      <c r="Q159" t="s">
        <v>130</v>
      </c>
      <c r="R159">
        <v>27</v>
      </c>
      <c r="S159">
        <v>129359.5</v>
      </c>
      <c r="T159">
        <v>129364.2</v>
      </c>
      <c r="U159" s="1">
        <v>4791.2666666666664</v>
      </c>
      <c r="V159" t="s">
        <v>90</v>
      </c>
      <c r="W159" s="43">
        <v>5</v>
      </c>
      <c r="X159">
        <v>20</v>
      </c>
      <c r="Y159">
        <v>0.18</v>
      </c>
      <c r="Z159">
        <v>1110</v>
      </c>
      <c r="AA159">
        <v>1</v>
      </c>
      <c r="AB159">
        <v>15</v>
      </c>
      <c r="AC159">
        <v>0.13</v>
      </c>
      <c r="AD159">
        <v>20</v>
      </c>
      <c r="AE159">
        <v>22</v>
      </c>
      <c r="AF159">
        <v>0.15</v>
      </c>
      <c r="AG159" t="s">
        <v>86</v>
      </c>
      <c r="AH159">
        <v>120</v>
      </c>
      <c r="AI159" s="1">
        <v>14.7</v>
      </c>
      <c r="AJ159" s="1">
        <v>7.1</v>
      </c>
      <c r="AK159" s="1">
        <v>6.1</v>
      </c>
      <c r="AL159" s="1">
        <v>4.5999999999999996</v>
      </c>
      <c r="AM159" s="1">
        <v>4.5999999999999996</v>
      </c>
      <c r="AN159" s="1">
        <v>4.5999999999999996</v>
      </c>
      <c r="AO159" s="1">
        <v>4.5999999999999996</v>
      </c>
      <c r="AP159" s="1">
        <v>4.5999999999999996</v>
      </c>
      <c r="AQ159">
        <v>3</v>
      </c>
      <c r="AR159" t="s">
        <v>211</v>
      </c>
      <c r="AS159">
        <v>1</v>
      </c>
      <c r="AT159">
        <v>4</v>
      </c>
      <c r="AU159">
        <v>1080</v>
      </c>
      <c r="AV159">
        <v>0.2</v>
      </c>
      <c r="AW159">
        <v>1600</v>
      </c>
      <c r="AX159">
        <v>1</v>
      </c>
      <c r="AY159">
        <v>85</v>
      </c>
      <c r="AZ159">
        <v>0.04</v>
      </c>
      <c r="BA159" s="43" t="str">
        <f t="shared" si="4"/>
        <v>Express</v>
      </c>
      <c r="BB159" s="46">
        <f>IFERROR((AD159+IF(Calculator_v2!$E$6*Y159&lt;X159,X159,IF(Calculator_v2!$E$6*Y159&gt;Z159,Z159,Calculator_v2!$E$6*Y159))+IF(Calculator_v2!$E$6*AC159&lt;AB159,AB159,Calculator_v2!$E$6*AC159)+IFERROR(_xlfn.LET(_xlpm.tarifa,IF(Calculator_v2!$E$6&lt;=$AI$1,AI159,IF(Calculator_v2!$E$6&lt;=$AK$1,AJ159,IF(Calculator_v2!$E$6&lt;=$AL$1,AK159,IF(Calculator_v2!$E$6&lt;=$AM$1,AL159,IF(Calculator_v2!$E$6&lt;=$AN$1,AM159,IF(Calculator_v2!$E$6&lt;=$AO$1,AN159,IF(Calculator_v2!$E$6&lt;=$AP$1,AO159,AP159))))))),_xlpm.resultado,_xlpm.tarifa*Calculator_v2!$E$6,IF(_xlpm.resultado&lt;AH159,AH159,_xlpm.resultado)),0)+IF(Calculator_v2!$E$6*AV159&lt;AU159,AU159,IF(Calculator_v2!$E$6*AV159&gt;AW159,AW159,Calculator_v2!$E$6*AV159))+IF(Calculator_v2!$E$6*AZ159&lt;=AY159,AY159,Calculator_v2!$E$6*AZ159)),0)</f>
        <v>4091.72</v>
      </c>
      <c r="BC159" s="47">
        <f>IFERROR(+BB159/Calculator_v2!$E$6,0)+IFERROR(VLOOKUP(A159,DHL_ADDER!$B$4:$E$26,4,0),0)</f>
        <v>8.5816891891891878</v>
      </c>
      <c r="BD159" s="48">
        <f t="shared" si="5"/>
        <v>4</v>
      </c>
      <c r="BE159" s="48">
        <f>+T[[#This Row],[Airport to Destination Transit Time Days]]+T[[#This Row],[Airport to Airport Transit Time Days]]+T[[#This Row],[Origin to Airport Transit Time in days]]</f>
        <v>5</v>
      </c>
    </row>
    <row r="160" spans="1:57" customFormat="1" x14ac:dyDescent="0.35">
      <c r="A160" t="str">
        <f>+T[[#This Row],[Provider_Name]]&amp;"_"&amp;T[[#This Row],[AXIS]]</f>
        <v>DHL_B_JP&gt;TR</v>
      </c>
      <c r="B160" t="s">
        <v>71</v>
      </c>
      <c r="C160" t="s">
        <v>207</v>
      </c>
      <c r="D160" t="s">
        <v>208</v>
      </c>
      <c r="E160" t="s">
        <v>188</v>
      </c>
      <c r="F160" t="s">
        <v>92</v>
      </c>
      <c r="G160" t="s">
        <v>189</v>
      </c>
      <c r="H160" t="s">
        <v>190</v>
      </c>
      <c r="I160" t="s">
        <v>191</v>
      </c>
      <c r="J160" t="s">
        <v>209</v>
      </c>
      <c r="K160" t="s">
        <v>195</v>
      </c>
      <c r="L160" t="s">
        <v>126</v>
      </c>
      <c r="M160" t="s">
        <v>127</v>
      </c>
      <c r="N160" t="s">
        <v>128</v>
      </c>
      <c r="O160">
        <v>34771</v>
      </c>
      <c r="P160" t="s">
        <v>129</v>
      </c>
      <c r="Q160" t="s">
        <v>130</v>
      </c>
      <c r="R160">
        <v>27</v>
      </c>
      <c r="S160">
        <v>129359.5</v>
      </c>
      <c r="T160">
        <v>129364.2</v>
      </c>
      <c r="U160" s="1">
        <v>4791.2666666666664</v>
      </c>
      <c r="V160" t="s">
        <v>91</v>
      </c>
      <c r="W160" s="43">
        <v>7</v>
      </c>
      <c r="X160">
        <v>20</v>
      </c>
      <c r="Y160">
        <v>0.18</v>
      </c>
      <c r="Z160">
        <v>1110</v>
      </c>
      <c r="AA160">
        <v>1</v>
      </c>
      <c r="AB160">
        <v>15</v>
      </c>
      <c r="AC160">
        <v>0.13</v>
      </c>
      <c r="AD160">
        <v>20</v>
      </c>
      <c r="AE160">
        <v>22</v>
      </c>
      <c r="AF160">
        <v>0.15</v>
      </c>
      <c r="AG160" t="s">
        <v>86</v>
      </c>
      <c r="AH160">
        <v>95</v>
      </c>
      <c r="AI160" s="1">
        <v>8.879999999999999</v>
      </c>
      <c r="AJ160" s="1">
        <v>3.4</v>
      </c>
      <c r="AK160" s="1">
        <v>3.4</v>
      </c>
      <c r="AL160" s="1">
        <v>3.4</v>
      </c>
      <c r="AM160" s="1">
        <v>3.4</v>
      </c>
      <c r="AN160" s="1">
        <v>3.4</v>
      </c>
      <c r="AO160" s="1">
        <v>3.4</v>
      </c>
      <c r="AP160" s="1">
        <v>3.4</v>
      </c>
      <c r="AQ160">
        <v>5</v>
      </c>
      <c r="AR160" t="s">
        <v>211</v>
      </c>
      <c r="AS160">
        <v>1</v>
      </c>
      <c r="AT160">
        <v>3</v>
      </c>
      <c r="AU160">
        <v>1080</v>
      </c>
      <c r="AV160">
        <v>0.2</v>
      </c>
      <c r="AW160">
        <v>1600</v>
      </c>
      <c r="AX160">
        <v>1</v>
      </c>
      <c r="AY160">
        <v>85</v>
      </c>
      <c r="AZ160">
        <v>0.04</v>
      </c>
      <c r="BA160" s="43" t="str">
        <f t="shared" si="4"/>
        <v>Normal</v>
      </c>
      <c r="BB160" s="46">
        <f>IFERROR((AD160+IF(Calculator_v2!$E$6*Y160&lt;X160,X160,IF(Calculator_v2!$E$6*Y160&gt;Z160,Z160,Calculator_v2!$E$6*Y160))+IF(Calculator_v2!$E$6*AC160&lt;AB160,AB160,Calculator_v2!$E$6*AC160)+IFERROR(_xlfn.LET(_xlpm.tarifa,IF(Calculator_v2!$E$6&lt;=$AI$1,AI160,IF(Calculator_v2!$E$6&lt;=$AK$1,AJ160,IF(Calculator_v2!$E$6&lt;=$AL$1,AK160,IF(Calculator_v2!$E$6&lt;=$AM$1,AL160,IF(Calculator_v2!$E$6&lt;=$AN$1,AM160,IF(Calculator_v2!$E$6&lt;=$AO$1,AN160,IF(Calculator_v2!$E$6&lt;=$AP$1,AO160,AP160))))))),_xlpm.resultado,_xlpm.tarifa*Calculator_v2!$E$6,IF(_xlpm.resultado&lt;AH160,AH160,_xlpm.resultado)),0)+IF(Calculator_v2!$E$6*AV160&lt;AU160,AU160,IF(Calculator_v2!$E$6*AV160&gt;AW160,AW160,Calculator_v2!$E$6*AV160))+IF(Calculator_v2!$E$6*AZ160&lt;=AY160,AY160,Calculator_v2!$E$6*AZ160)),0)</f>
        <v>3381.32</v>
      </c>
      <c r="BC160" s="47">
        <f>IFERROR(+BB160/Calculator_v2!$E$6,0)+IFERROR(VLOOKUP(A160,DHL_ADDER!$B$4:$E$26,4,0),0)</f>
        <v>7.3816891891891894</v>
      </c>
      <c r="BD160" s="48">
        <f t="shared" si="5"/>
        <v>3</v>
      </c>
      <c r="BE160" s="48">
        <f>+T[[#This Row],[Airport to Destination Transit Time Days]]+T[[#This Row],[Airport to Airport Transit Time Days]]+T[[#This Row],[Origin to Airport Transit Time in days]]</f>
        <v>7</v>
      </c>
    </row>
    <row r="161" spans="1:57" customFormat="1" x14ac:dyDescent="0.35">
      <c r="A161" t="str">
        <f>+T[[#This Row],[Provider_Name]]&amp;"_"&amp;T[[#This Row],[AXIS]]</f>
        <v>DHL_B_KR&gt;BR</v>
      </c>
      <c r="B161" t="s">
        <v>71</v>
      </c>
      <c r="C161" t="s">
        <v>212</v>
      </c>
      <c r="D161" t="s">
        <v>213</v>
      </c>
      <c r="E161" t="s">
        <v>214</v>
      </c>
      <c r="F161" t="s">
        <v>75</v>
      </c>
      <c r="G161" t="s">
        <v>215</v>
      </c>
      <c r="H161" t="s">
        <v>216</v>
      </c>
      <c r="I161" t="s">
        <v>128</v>
      </c>
      <c r="J161">
        <v>34771</v>
      </c>
      <c r="K161" t="s">
        <v>217</v>
      </c>
      <c r="L161" t="s">
        <v>79</v>
      </c>
      <c r="M161" t="s">
        <v>80</v>
      </c>
      <c r="N161" t="s">
        <v>81</v>
      </c>
      <c r="O161" t="s">
        <v>82</v>
      </c>
      <c r="P161" t="s">
        <v>83</v>
      </c>
      <c r="Q161" t="s">
        <v>84</v>
      </c>
      <c r="R161">
        <v>6</v>
      </c>
      <c r="S161">
        <v>1601</v>
      </c>
      <c r="T161">
        <v>1688</v>
      </c>
      <c r="U161" s="1">
        <v>281.33333333333331</v>
      </c>
      <c r="V161" t="s">
        <v>85</v>
      </c>
      <c r="W161" s="43">
        <v>10</v>
      </c>
      <c r="X161">
        <v>55.000000000000007</v>
      </c>
      <c r="Y161">
        <v>0.11000000000000001</v>
      </c>
      <c r="Z161">
        <v>550</v>
      </c>
      <c r="AA161">
        <v>2</v>
      </c>
      <c r="AB161">
        <v>35.200000000000003</v>
      </c>
      <c r="AC161">
        <v>6.6000000000000003E-2</v>
      </c>
      <c r="AD161">
        <v>24.200000000000003</v>
      </c>
      <c r="AE161">
        <v>0</v>
      </c>
      <c r="AF161">
        <v>0</v>
      </c>
      <c r="AG161" t="s">
        <v>86</v>
      </c>
      <c r="AH161">
        <v>59.375</v>
      </c>
      <c r="AI161" s="1">
        <v>11.975</v>
      </c>
      <c r="AJ161" s="1">
        <v>11.35</v>
      </c>
      <c r="AK161" s="1">
        <v>6.4749999999999996</v>
      </c>
      <c r="AL161" s="1">
        <v>6.4749999999999996</v>
      </c>
      <c r="AM161" s="1">
        <v>6.4749999999999996</v>
      </c>
      <c r="AN161" s="1">
        <v>6.4749999999999996</v>
      </c>
      <c r="AO161" s="1">
        <v>6.4749999999999996</v>
      </c>
      <c r="AP161" s="1">
        <v>6.4749999999999996</v>
      </c>
      <c r="AQ161">
        <v>10</v>
      </c>
      <c r="AR161" t="s">
        <v>218</v>
      </c>
      <c r="AS161">
        <v>3</v>
      </c>
      <c r="AT161">
        <v>7</v>
      </c>
      <c r="AX161">
        <v>1</v>
      </c>
      <c r="AY161">
        <v>120</v>
      </c>
      <c r="AZ161">
        <v>0.06</v>
      </c>
      <c r="BA161" s="43" t="str">
        <f t="shared" si="4"/>
        <v>Economy</v>
      </c>
      <c r="BB161" s="46">
        <f>IFERROR((AD161+IF(Calculator_v2!$E$6*Y161&lt;X161,X161,IF(Calculator_v2!$E$6*Y161&gt;Z161,Z161,Calculator_v2!$E$6*Y161))+IF(Calculator_v2!$E$6*AC161&lt;AB161,AB161,Calculator_v2!$E$6*AC161)+IFERROR(_xlfn.LET(_xlpm.tarifa,IF(Calculator_v2!$E$6&lt;=$AI$1,AI161,IF(Calculator_v2!$E$6&lt;=$AK$1,AJ161,IF(Calculator_v2!$E$6&lt;=$AL$1,AK161,IF(Calculator_v2!$E$6&lt;=$AM$1,AL161,IF(Calculator_v2!$E$6&lt;=$AN$1,AM161,IF(Calculator_v2!$E$6&lt;=$AO$1,AN161,IF(Calculator_v2!$E$6&lt;=$AP$1,AO161,AP161))))))),_xlpm.resultado,_xlpm.tarifa*Calculator_v2!$E$6,IF(_xlpm.resultado&lt;AH161,AH161,_xlpm.resultado)),0)+IF(Calculator_v2!$E$6*AV161&lt;AU161,AU161,IF(Calculator_v2!$E$6*AV161&gt;AW161,AW161,Calculator_v2!$E$6*AV161))+IF(Calculator_v2!$E$6*AZ161&lt;=AY161,AY161,Calculator_v2!$E$6*AZ161)),0)</f>
        <v>4081.5919999999996</v>
      </c>
      <c r="BC161" s="47">
        <f>IFERROR(+BB161/Calculator_v2!$E$6,0)+IFERROR(VLOOKUP(A161,DHL_ADDER!$B$4:$E$26,4,0),0)</f>
        <v>8.2745810810810809</v>
      </c>
      <c r="BD161" s="48">
        <f t="shared" si="5"/>
        <v>7</v>
      </c>
      <c r="BE161" s="48">
        <f>+T[[#This Row],[Airport to Destination Transit Time Days]]+T[[#This Row],[Airport to Airport Transit Time Days]]+T[[#This Row],[Origin to Airport Transit Time in days]]</f>
        <v>13</v>
      </c>
    </row>
    <row r="162" spans="1:57" customFormat="1" x14ac:dyDescent="0.35">
      <c r="A162" t="str">
        <f>+T[[#This Row],[Provider_Name]]&amp;"_"&amp;T[[#This Row],[AXIS]]</f>
        <v>DHL_B_KR&gt;BR</v>
      </c>
      <c r="B162" t="s">
        <v>71</v>
      </c>
      <c r="C162" t="s">
        <v>212</v>
      </c>
      <c r="D162" t="s">
        <v>213</v>
      </c>
      <c r="E162" t="s">
        <v>214</v>
      </c>
      <c r="F162" t="s">
        <v>75</v>
      </c>
      <c r="G162" t="s">
        <v>215</v>
      </c>
      <c r="H162" t="s">
        <v>216</v>
      </c>
      <c r="I162" t="s">
        <v>128</v>
      </c>
      <c r="J162">
        <v>34771</v>
      </c>
      <c r="K162" t="s">
        <v>217</v>
      </c>
      <c r="L162" t="s">
        <v>79</v>
      </c>
      <c r="M162" t="s">
        <v>80</v>
      </c>
      <c r="N162" t="s">
        <v>81</v>
      </c>
      <c r="O162" t="s">
        <v>82</v>
      </c>
      <c r="P162" t="s">
        <v>89</v>
      </c>
      <c r="Q162" t="s">
        <v>84</v>
      </c>
      <c r="R162">
        <v>6</v>
      </c>
      <c r="S162">
        <v>1601</v>
      </c>
      <c r="T162">
        <v>1688</v>
      </c>
      <c r="U162" s="1">
        <v>281.33333333333331</v>
      </c>
      <c r="V162" t="s">
        <v>85</v>
      </c>
      <c r="W162" s="43">
        <v>8</v>
      </c>
      <c r="X162">
        <v>55.000000000000007</v>
      </c>
      <c r="Y162">
        <v>0.11000000000000001</v>
      </c>
      <c r="Z162">
        <v>550</v>
      </c>
      <c r="AA162">
        <v>2</v>
      </c>
      <c r="AB162">
        <v>35.200000000000003</v>
      </c>
      <c r="AC162">
        <v>6.6000000000000003E-2</v>
      </c>
      <c r="AD162">
        <v>24.200000000000003</v>
      </c>
      <c r="AE162">
        <v>0</v>
      </c>
      <c r="AF162">
        <v>0</v>
      </c>
      <c r="AG162" t="s">
        <v>86</v>
      </c>
      <c r="AH162">
        <v>59.375</v>
      </c>
      <c r="AI162" s="1">
        <v>13.6625</v>
      </c>
      <c r="AJ162" s="1">
        <v>13.0375</v>
      </c>
      <c r="AK162" s="1">
        <v>7.9124999999999996</v>
      </c>
      <c r="AL162" s="1">
        <v>7.9124999999999996</v>
      </c>
      <c r="AM162" s="1">
        <v>7.9124999999999996</v>
      </c>
      <c r="AN162" s="1">
        <v>7.9124999999999996</v>
      </c>
      <c r="AO162" s="1">
        <v>7.9124999999999996</v>
      </c>
      <c r="AP162" s="1">
        <v>7.9124999999999996</v>
      </c>
      <c r="AQ162">
        <v>10</v>
      </c>
      <c r="AR162" t="s">
        <v>218</v>
      </c>
      <c r="AS162">
        <v>3</v>
      </c>
      <c r="AT162">
        <v>7</v>
      </c>
      <c r="AX162">
        <v>1</v>
      </c>
      <c r="AY162">
        <v>120</v>
      </c>
      <c r="AZ162">
        <v>0.06</v>
      </c>
      <c r="BA162" s="43" t="str">
        <f t="shared" si="4"/>
        <v>Economy</v>
      </c>
      <c r="BB162" s="46">
        <f>IFERROR((AD162+IF(Calculator_v2!$E$6*Y162&lt;X162,X162,IF(Calculator_v2!$E$6*Y162&gt;Z162,Z162,Calculator_v2!$E$6*Y162))+IF(Calculator_v2!$E$6*AC162&lt;AB162,AB162,Calculator_v2!$E$6*AC162)+IFERROR(_xlfn.LET(_xlpm.tarifa,IF(Calculator_v2!$E$6&lt;=$AI$1,AI162,IF(Calculator_v2!$E$6&lt;=$AK$1,AJ162,IF(Calculator_v2!$E$6&lt;=$AL$1,AK162,IF(Calculator_v2!$E$6&lt;=$AM$1,AL162,IF(Calculator_v2!$E$6&lt;=$AN$1,AM162,IF(Calculator_v2!$E$6&lt;=$AO$1,AN162,IF(Calculator_v2!$E$6&lt;=$AP$1,AO162,AP162))))))),_xlpm.resultado,_xlpm.tarifa*Calculator_v2!$E$6,IF(_xlpm.resultado&lt;AH162,AH162,_xlpm.resultado)),0)+IF(Calculator_v2!$E$6*AV162&lt;AU162,AU162,IF(Calculator_v2!$E$6*AV162&gt;AW162,AW162,Calculator_v2!$E$6*AV162))+IF(Calculator_v2!$E$6*AZ162&lt;=AY162,AY162,Calculator_v2!$E$6*AZ162)),0)</f>
        <v>4932.5919999999996</v>
      </c>
      <c r="BC162" s="47">
        <f>IFERROR(+BB162/Calculator_v2!$E$6,0)+IFERROR(VLOOKUP(A162,DHL_ADDER!$B$4:$E$26,4,0),0)</f>
        <v>9.7120810810810809</v>
      </c>
      <c r="BD162" s="48">
        <f t="shared" si="5"/>
        <v>7</v>
      </c>
      <c r="BE162" s="48">
        <f>+T[[#This Row],[Airport to Destination Transit Time Days]]+T[[#This Row],[Airport to Airport Transit Time Days]]+T[[#This Row],[Origin to Airport Transit Time in days]]</f>
        <v>13</v>
      </c>
    </row>
    <row r="163" spans="1:57" customFormat="1" x14ac:dyDescent="0.35">
      <c r="A163" t="str">
        <f>+T[[#This Row],[Provider_Name]]&amp;"_"&amp;T[[#This Row],[AXIS]]</f>
        <v>DHL_B_KR&gt;BR</v>
      </c>
      <c r="B163" t="s">
        <v>71</v>
      </c>
      <c r="C163" t="s">
        <v>212</v>
      </c>
      <c r="D163" t="s">
        <v>213</v>
      </c>
      <c r="E163" t="s">
        <v>214</v>
      </c>
      <c r="F163" t="s">
        <v>75</v>
      </c>
      <c r="G163" t="s">
        <v>215</v>
      </c>
      <c r="H163" t="s">
        <v>216</v>
      </c>
      <c r="I163" t="s">
        <v>128</v>
      </c>
      <c r="J163">
        <v>34771</v>
      </c>
      <c r="K163" t="s">
        <v>217</v>
      </c>
      <c r="L163" t="s">
        <v>79</v>
      </c>
      <c r="M163" t="s">
        <v>80</v>
      </c>
      <c r="N163" t="s">
        <v>81</v>
      </c>
      <c r="O163" t="s">
        <v>82</v>
      </c>
      <c r="P163" t="s">
        <v>83</v>
      </c>
      <c r="Q163" t="s">
        <v>84</v>
      </c>
      <c r="R163">
        <v>6</v>
      </c>
      <c r="S163">
        <v>1601</v>
      </c>
      <c r="T163">
        <v>1688</v>
      </c>
      <c r="U163" s="1">
        <v>281.33333333333331</v>
      </c>
      <c r="V163" t="s">
        <v>90</v>
      </c>
      <c r="W163" s="43">
        <v>7</v>
      </c>
      <c r="X163">
        <v>171.60000000000002</v>
      </c>
      <c r="Y163">
        <v>0.17600000000000002</v>
      </c>
      <c r="Z163">
        <v>550</v>
      </c>
      <c r="AA163">
        <v>1</v>
      </c>
      <c r="AB163">
        <v>35.200000000000003</v>
      </c>
      <c r="AC163">
        <v>6.6000000000000003E-2</v>
      </c>
      <c r="AD163">
        <v>24.200000000000003</v>
      </c>
      <c r="AE163">
        <v>0</v>
      </c>
      <c r="AF163">
        <v>0</v>
      </c>
      <c r="AG163" t="s">
        <v>86</v>
      </c>
      <c r="AH163">
        <v>93.75</v>
      </c>
      <c r="AI163" s="1">
        <v>18.881250000000001</v>
      </c>
      <c r="AJ163" s="1">
        <v>17.787500000000001</v>
      </c>
      <c r="AK163" s="1">
        <v>15.725</v>
      </c>
      <c r="AL163" s="1">
        <v>15.725</v>
      </c>
      <c r="AM163" s="1">
        <v>15.725</v>
      </c>
      <c r="AN163" s="1">
        <v>15.725</v>
      </c>
      <c r="AO163" s="1">
        <v>15.725</v>
      </c>
      <c r="AP163" s="1">
        <v>15.725</v>
      </c>
      <c r="AQ163">
        <v>3</v>
      </c>
      <c r="AR163" t="s">
        <v>159</v>
      </c>
      <c r="AS163">
        <v>1</v>
      </c>
      <c r="AT163">
        <v>7</v>
      </c>
      <c r="AX163">
        <v>1</v>
      </c>
      <c r="AY163">
        <v>120</v>
      </c>
      <c r="AZ163">
        <v>0.06</v>
      </c>
      <c r="BA163" s="43" t="str">
        <f t="shared" si="4"/>
        <v>Express</v>
      </c>
      <c r="BB163" s="46">
        <f>IFERROR((AD163+IF(Calculator_v2!$E$6*Y163&lt;X163,X163,IF(Calculator_v2!$E$6*Y163&gt;Z163,Z163,Calculator_v2!$E$6*Y163))+IF(Calculator_v2!$E$6*AC163&lt;AB163,AB163,Calculator_v2!$E$6*AC163)+IFERROR(_xlfn.LET(_xlpm.tarifa,IF(Calculator_v2!$E$6&lt;=$AI$1,AI163,IF(Calculator_v2!$E$6&lt;=$AK$1,AJ163,IF(Calculator_v2!$E$6&lt;=$AL$1,AK163,IF(Calculator_v2!$E$6&lt;=$AM$1,AL163,IF(Calculator_v2!$E$6&lt;=$AN$1,AM163,IF(Calculator_v2!$E$6&lt;=$AO$1,AN163,IF(Calculator_v2!$E$6&lt;=$AP$1,AO163,AP163))))))),_xlpm.resultado,_xlpm.tarifa*Calculator_v2!$E$6,IF(_xlpm.resultado&lt;AH163,AH163,_xlpm.resultado)),0)+IF(Calculator_v2!$E$6*AV163&lt;AU163,AU163,IF(Calculator_v2!$E$6*AV163&gt;AW163,AW163,Calculator_v2!$E$6*AV163))+IF(Calculator_v2!$E$6*AZ163&lt;=AY163,AY163,Calculator_v2!$E$6*AZ163)),0)</f>
        <v>9664.0719999999983</v>
      </c>
      <c r="BC163" s="47">
        <f>IFERROR(+BB163/Calculator_v2!$E$6,0)+IFERROR(VLOOKUP(A163,DHL_ADDER!$B$4:$E$26,4,0),0)</f>
        <v>17.704445945945942</v>
      </c>
      <c r="BD163" s="48">
        <f t="shared" si="5"/>
        <v>7</v>
      </c>
      <c r="BE163" s="48">
        <f>+T[[#This Row],[Airport to Destination Transit Time Days]]+T[[#This Row],[Airport to Airport Transit Time Days]]+T[[#This Row],[Origin to Airport Transit Time in days]]</f>
        <v>5</v>
      </c>
    </row>
    <row r="164" spans="1:57" customFormat="1" x14ac:dyDescent="0.35">
      <c r="A164" t="str">
        <f>+T[[#This Row],[Provider_Name]]&amp;"_"&amp;T[[#This Row],[AXIS]]</f>
        <v>DHL_B_KR&gt;BR</v>
      </c>
      <c r="B164" t="s">
        <v>71</v>
      </c>
      <c r="C164" t="s">
        <v>212</v>
      </c>
      <c r="D164" t="s">
        <v>213</v>
      </c>
      <c r="E164" t="s">
        <v>214</v>
      </c>
      <c r="F164" t="s">
        <v>75</v>
      </c>
      <c r="G164" t="s">
        <v>215</v>
      </c>
      <c r="H164" t="s">
        <v>216</v>
      </c>
      <c r="I164" t="s">
        <v>128</v>
      </c>
      <c r="J164">
        <v>34771</v>
      </c>
      <c r="K164" t="s">
        <v>217</v>
      </c>
      <c r="L164" t="s">
        <v>79</v>
      </c>
      <c r="M164" t="s">
        <v>80</v>
      </c>
      <c r="N164" t="s">
        <v>81</v>
      </c>
      <c r="O164" t="s">
        <v>82</v>
      </c>
      <c r="P164" t="s">
        <v>89</v>
      </c>
      <c r="Q164" t="s">
        <v>84</v>
      </c>
      <c r="R164">
        <v>6</v>
      </c>
      <c r="S164">
        <v>1601</v>
      </c>
      <c r="T164">
        <v>1688</v>
      </c>
      <c r="U164" s="1">
        <v>281.33333333333331</v>
      </c>
      <c r="V164" t="s">
        <v>90</v>
      </c>
      <c r="W164" s="43">
        <v>6</v>
      </c>
      <c r="X164">
        <v>171.60000000000002</v>
      </c>
      <c r="Y164">
        <v>0.17600000000000002</v>
      </c>
      <c r="Z164">
        <v>550</v>
      </c>
      <c r="AA164">
        <v>1</v>
      </c>
      <c r="AB164">
        <v>35.200000000000003</v>
      </c>
      <c r="AC164">
        <v>6.6000000000000003E-2</v>
      </c>
      <c r="AD164">
        <v>24.200000000000003</v>
      </c>
      <c r="AE164">
        <v>0</v>
      </c>
      <c r="AF164">
        <v>0</v>
      </c>
      <c r="AG164" t="s">
        <v>86</v>
      </c>
      <c r="AH164">
        <v>89.0625</v>
      </c>
      <c r="AI164" s="1">
        <v>21.412500000000001</v>
      </c>
      <c r="AJ164" s="1">
        <v>20.318750000000001</v>
      </c>
      <c r="AK164" s="1">
        <v>13.1</v>
      </c>
      <c r="AL164" s="1">
        <v>13.1</v>
      </c>
      <c r="AM164" s="1">
        <v>13.1</v>
      </c>
      <c r="AN164" s="1">
        <v>13.1</v>
      </c>
      <c r="AO164" s="1">
        <v>13.1</v>
      </c>
      <c r="AP164" s="1">
        <v>13.1</v>
      </c>
      <c r="AQ164">
        <v>4</v>
      </c>
      <c r="AR164" t="s">
        <v>219</v>
      </c>
      <c r="AS164">
        <v>1</v>
      </c>
      <c r="AT164">
        <v>7</v>
      </c>
      <c r="AX164">
        <v>1</v>
      </c>
      <c r="AY164">
        <v>120</v>
      </c>
      <c r="AZ164">
        <v>0.06</v>
      </c>
      <c r="BA164" s="43" t="str">
        <f t="shared" si="4"/>
        <v>Express</v>
      </c>
      <c r="BB164" s="46">
        <f>IFERROR((AD164+IF(Calculator_v2!$E$6*Y164&lt;X164,X164,IF(Calculator_v2!$E$6*Y164&gt;Z164,Z164,Calculator_v2!$E$6*Y164))+IF(Calculator_v2!$E$6*AC164&lt;AB164,AB164,Calculator_v2!$E$6*AC164)+IFERROR(_xlfn.LET(_xlpm.tarifa,IF(Calculator_v2!$E$6&lt;=$AI$1,AI164,IF(Calculator_v2!$E$6&lt;=$AK$1,AJ164,IF(Calculator_v2!$E$6&lt;=$AL$1,AK164,IF(Calculator_v2!$E$6&lt;=$AM$1,AL164,IF(Calculator_v2!$E$6&lt;=$AN$1,AM164,IF(Calculator_v2!$E$6&lt;=$AO$1,AN164,IF(Calculator_v2!$E$6&lt;=$AP$1,AO164,AP164))))))),_xlpm.resultado,_xlpm.tarifa*Calculator_v2!$E$6,IF(_xlpm.resultado&lt;AH164,AH164,_xlpm.resultado)),0)+IF(Calculator_v2!$E$6*AV164&lt;AU164,AU164,IF(Calculator_v2!$E$6*AV164&gt;AW164,AW164,Calculator_v2!$E$6*AV164))+IF(Calculator_v2!$E$6*AZ164&lt;=AY164,AY164,Calculator_v2!$E$6*AZ164)),0)</f>
        <v>8110.0720000000001</v>
      </c>
      <c r="BC164" s="47">
        <f>IFERROR(+BB164/Calculator_v2!$E$6,0)+IFERROR(VLOOKUP(A164,DHL_ADDER!$B$4:$E$26,4,0),0)</f>
        <v>15.079445945945945</v>
      </c>
      <c r="BD164" s="48">
        <f t="shared" si="5"/>
        <v>7</v>
      </c>
      <c r="BE164" s="48">
        <f>+T[[#This Row],[Airport to Destination Transit Time Days]]+T[[#This Row],[Airport to Airport Transit Time Days]]+T[[#This Row],[Origin to Airport Transit Time in days]]</f>
        <v>6</v>
      </c>
    </row>
    <row r="165" spans="1:57" customFormat="1" x14ac:dyDescent="0.35">
      <c r="A165" t="str">
        <f>+T[[#This Row],[Provider_Name]]&amp;"_"&amp;T[[#This Row],[AXIS]]</f>
        <v>DHL_B_KR&gt;BR</v>
      </c>
      <c r="B165" t="s">
        <v>71</v>
      </c>
      <c r="C165" t="s">
        <v>212</v>
      </c>
      <c r="D165" t="s">
        <v>213</v>
      </c>
      <c r="E165" t="s">
        <v>214</v>
      </c>
      <c r="F165" t="s">
        <v>75</v>
      </c>
      <c r="G165" t="s">
        <v>215</v>
      </c>
      <c r="H165" t="s">
        <v>216</v>
      </c>
      <c r="I165" t="s">
        <v>128</v>
      </c>
      <c r="J165">
        <v>34771</v>
      </c>
      <c r="K165" t="s">
        <v>217</v>
      </c>
      <c r="L165" t="s">
        <v>79</v>
      </c>
      <c r="M165" t="s">
        <v>80</v>
      </c>
      <c r="N165" t="s">
        <v>81</v>
      </c>
      <c r="O165" t="s">
        <v>82</v>
      </c>
      <c r="P165" t="s">
        <v>83</v>
      </c>
      <c r="Q165" t="s">
        <v>84</v>
      </c>
      <c r="R165">
        <v>6</v>
      </c>
      <c r="S165">
        <v>1601</v>
      </c>
      <c r="T165">
        <v>1688</v>
      </c>
      <c r="U165" s="1">
        <v>281.33333333333331</v>
      </c>
      <c r="V165" t="s">
        <v>91</v>
      </c>
      <c r="W165" s="43">
        <v>11</v>
      </c>
      <c r="X165">
        <v>55.000000000000007</v>
      </c>
      <c r="Y165">
        <v>0.11000000000000001</v>
      </c>
      <c r="Z165">
        <v>550</v>
      </c>
      <c r="AA165">
        <v>2</v>
      </c>
      <c r="AB165">
        <v>35.200000000000003</v>
      </c>
      <c r="AC165">
        <v>6.6000000000000003E-2</v>
      </c>
      <c r="AD165">
        <v>24.200000000000003</v>
      </c>
      <c r="AE165">
        <v>0</v>
      </c>
      <c r="AF165">
        <v>0</v>
      </c>
      <c r="AG165" t="s">
        <v>86</v>
      </c>
      <c r="AH165">
        <v>75</v>
      </c>
      <c r="AI165" s="1">
        <v>13.85</v>
      </c>
      <c r="AJ165" s="1">
        <v>14.475</v>
      </c>
      <c r="AK165" s="1">
        <v>9.1624999999999996</v>
      </c>
      <c r="AL165" s="1">
        <v>9.1624999999999996</v>
      </c>
      <c r="AM165" s="1">
        <v>9.1624999999999996</v>
      </c>
      <c r="AN165" s="1">
        <v>9.1624999999999996</v>
      </c>
      <c r="AO165" s="1">
        <v>9.1624999999999996</v>
      </c>
      <c r="AP165" s="1">
        <v>9.1624999999999996</v>
      </c>
      <c r="AQ165">
        <v>6</v>
      </c>
      <c r="AR165" t="s">
        <v>219</v>
      </c>
      <c r="AS165">
        <v>1</v>
      </c>
      <c r="AT165">
        <v>7</v>
      </c>
      <c r="AX165">
        <v>1</v>
      </c>
      <c r="AY165">
        <v>120</v>
      </c>
      <c r="AZ165">
        <v>0.06</v>
      </c>
      <c r="BA165" s="43" t="str">
        <f t="shared" si="4"/>
        <v>Normal</v>
      </c>
      <c r="BB165" s="46">
        <f>IFERROR((AD165+IF(Calculator_v2!$E$6*Y165&lt;X165,X165,IF(Calculator_v2!$E$6*Y165&gt;Z165,Z165,Calculator_v2!$E$6*Y165))+IF(Calculator_v2!$E$6*AC165&lt;AB165,AB165,Calculator_v2!$E$6*AC165)+IFERROR(_xlfn.LET(_xlpm.tarifa,IF(Calculator_v2!$E$6&lt;=$AI$1,AI165,IF(Calculator_v2!$E$6&lt;=$AK$1,AJ165,IF(Calculator_v2!$E$6&lt;=$AL$1,AK165,IF(Calculator_v2!$E$6&lt;=$AM$1,AL165,IF(Calculator_v2!$E$6&lt;=$AN$1,AM165,IF(Calculator_v2!$E$6&lt;=$AO$1,AN165,IF(Calculator_v2!$E$6&lt;=$AP$1,AO165,AP165))))))),_xlpm.resultado,_xlpm.tarifa*Calculator_v2!$E$6,IF(_xlpm.resultado&lt;AH165,AH165,_xlpm.resultado)),0)+IF(Calculator_v2!$E$6*AV165&lt;AU165,AU165,IF(Calculator_v2!$E$6*AV165&gt;AW165,AW165,Calculator_v2!$E$6*AV165))+IF(Calculator_v2!$E$6*AZ165&lt;=AY165,AY165,Calculator_v2!$E$6*AZ165)),0)</f>
        <v>5672.5919999999996</v>
      </c>
      <c r="BC165" s="47">
        <f>IFERROR(+BB165/Calculator_v2!$E$6,0)+IFERROR(VLOOKUP(A165,DHL_ADDER!$B$4:$E$26,4,0),0)</f>
        <v>10.962081081081081</v>
      </c>
      <c r="BD165" s="48">
        <f t="shared" si="5"/>
        <v>7</v>
      </c>
      <c r="BE165" s="48">
        <f>+T[[#This Row],[Airport to Destination Transit Time Days]]+T[[#This Row],[Airport to Airport Transit Time Days]]+T[[#This Row],[Origin to Airport Transit Time in days]]</f>
        <v>9</v>
      </c>
    </row>
    <row r="166" spans="1:57" customFormat="1" x14ac:dyDescent="0.35">
      <c r="A166" t="str">
        <f>+T[[#This Row],[Provider_Name]]&amp;"_"&amp;T[[#This Row],[AXIS]]</f>
        <v>DHL_B_KR&gt;BR</v>
      </c>
      <c r="B166" t="s">
        <v>71</v>
      </c>
      <c r="C166" t="s">
        <v>212</v>
      </c>
      <c r="D166" t="s">
        <v>213</v>
      </c>
      <c r="E166" t="s">
        <v>214</v>
      </c>
      <c r="F166" t="s">
        <v>75</v>
      </c>
      <c r="G166" t="s">
        <v>215</v>
      </c>
      <c r="H166" t="s">
        <v>216</v>
      </c>
      <c r="I166" t="s">
        <v>128</v>
      </c>
      <c r="J166">
        <v>34771</v>
      </c>
      <c r="K166" t="s">
        <v>217</v>
      </c>
      <c r="L166" t="s">
        <v>79</v>
      </c>
      <c r="M166" t="s">
        <v>80</v>
      </c>
      <c r="N166" t="s">
        <v>81</v>
      </c>
      <c r="O166" t="s">
        <v>82</v>
      </c>
      <c r="P166" t="s">
        <v>89</v>
      </c>
      <c r="Q166" t="s">
        <v>84</v>
      </c>
      <c r="R166">
        <v>6</v>
      </c>
      <c r="S166">
        <v>1601</v>
      </c>
      <c r="T166">
        <v>1688</v>
      </c>
      <c r="U166" s="1">
        <v>281.33333333333331</v>
      </c>
      <c r="V166" t="s">
        <v>91</v>
      </c>
      <c r="W166" s="43">
        <v>9</v>
      </c>
      <c r="X166">
        <v>55.000000000000007</v>
      </c>
      <c r="Y166">
        <v>0.11000000000000001</v>
      </c>
      <c r="Z166">
        <v>550</v>
      </c>
      <c r="AA166">
        <v>2</v>
      </c>
      <c r="AB166">
        <v>35.200000000000003</v>
      </c>
      <c r="AC166">
        <v>6.6000000000000003E-2</v>
      </c>
      <c r="AD166">
        <v>24.200000000000003</v>
      </c>
      <c r="AE166">
        <v>0</v>
      </c>
      <c r="AF166">
        <v>0</v>
      </c>
      <c r="AG166" t="s">
        <v>86</v>
      </c>
      <c r="AH166">
        <v>75</v>
      </c>
      <c r="AI166" s="1">
        <v>18.100000000000001</v>
      </c>
      <c r="AJ166" s="1">
        <v>16.100000000000001</v>
      </c>
      <c r="AK166" s="1">
        <v>10.6</v>
      </c>
      <c r="AL166" s="1">
        <v>10.6</v>
      </c>
      <c r="AM166" s="1">
        <v>10.6</v>
      </c>
      <c r="AN166" s="1">
        <v>10.6</v>
      </c>
      <c r="AO166" s="1">
        <v>10.6</v>
      </c>
      <c r="AP166" s="1">
        <v>10.6</v>
      </c>
      <c r="AQ166">
        <v>6</v>
      </c>
      <c r="AR166" t="s">
        <v>218</v>
      </c>
      <c r="AS166">
        <v>1</v>
      </c>
      <c r="AT166">
        <v>7</v>
      </c>
      <c r="AX166">
        <v>1</v>
      </c>
      <c r="AY166">
        <v>120</v>
      </c>
      <c r="AZ166">
        <v>0.06</v>
      </c>
      <c r="BA166" s="43" t="str">
        <f t="shared" si="4"/>
        <v>Normal</v>
      </c>
      <c r="BB166" s="46">
        <f>IFERROR((AD166+IF(Calculator_v2!$E$6*Y166&lt;X166,X166,IF(Calculator_v2!$E$6*Y166&gt;Z166,Z166,Calculator_v2!$E$6*Y166))+IF(Calculator_v2!$E$6*AC166&lt;AB166,AB166,Calculator_v2!$E$6*AC166)+IFERROR(_xlfn.LET(_xlpm.tarifa,IF(Calculator_v2!$E$6&lt;=$AI$1,AI166,IF(Calculator_v2!$E$6&lt;=$AK$1,AJ166,IF(Calculator_v2!$E$6&lt;=$AL$1,AK166,IF(Calculator_v2!$E$6&lt;=$AM$1,AL166,IF(Calculator_v2!$E$6&lt;=$AN$1,AM166,IF(Calculator_v2!$E$6&lt;=$AO$1,AN166,IF(Calculator_v2!$E$6&lt;=$AP$1,AO166,AP166))))))),_xlpm.resultado,_xlpm.tarifa*Calculator_v2!$E$6,IF(_xlpm.resultado&lt;AH166,AH166,_xlpm.resultado)),0)+IF(Calculator_v2!$E$6*AV166&lt;AU166,AU166,IF(Calculator_v2!$E$6*AV166&gt;AW166,AW166,Calculator_v2!$E$6*AV166))+IF(Calculator_v2!$E$6*AZ166&lt;=AY166,AY166,Calculator_v2!$E$6*AZ166)),0)</f>
        <v>6523.5919999999996</v>
      </c>
      <c r="BC166" s="47">
        <f>IFERROR(+BB166/Calculator_v2!$E$6,0)+IFERROR(VLOOKUP(A166,DHL_ADDER!$B$4:$E$26,4,0),0)</f>
        <v>12.399581081081081</v>
      </c>
      <c r="BD166" s="48">
        <f t="shared" si="5"/>
        <v>7</v>
      </c>
      <c r="BE166" s="48">
        <f>+T[[#This Row],[Airport to Destination Transit Time Days]]+T[[#This Row],[Airport to Airport Transit Time Days]]+T[[#This Row],[Origin to Airport Transit Time in days]]</f>
        <v>9</v>
      </c>
    </row>
    <row r="167" spans="1:57" customFormat="1" x14ac:dyDescent="0.35">
      <c r="A167" t="str">
        <f>+T[[#This Row],[Provider_Name]]&amp;"_"&amp;T[[#This Row],[AXIS]]</f>
        <v>DHL_B_KR&gt;BR</v>
      </c>
      <c r="B167" t="s">
        <v>71</v>
      </c>
      <c r="C167" t="s">
        <v>212</v>
      </c>
      <c r="D167" t="s">
        <v>213</v>
      </c>
      <c r="E167" t="s">
        <v>214</v>
      </c>
      <c r="F167" t="s">
        <v>92</v>
      </c>
      <c r="G167" t="s">
        <v>215</v>
      </c>
      <c r="H167" t="s">
        <v>216</v>
      </c>
      <c r="I167" t="s">
        <v>128</v>
      </c>
      <c r="J167">
        <v>34771</v>
      </c>
      <c r="K167" t="s">
        <v>217</v>
      </c>
      <c r="L167" t="s">
        <v>79</v>
      </c>
      <c r="M167" t="s">
        <v>80</v>
      </c>
      <c r="N167" t="s">
        <v>81</v>
      </c>
      <c r="O167" t="s">
        <v>82</v>
      </c>
      <c r="P167" t="s">
        <v>93</v>
      </c>
      <c r="Q167" t="s">
        <v>84</v>
      </c>
      <c r="R167">
        <v>6</v>
      </c>
      <c r="S167">
        <v>1601</v>
      </c>
      <c r="T167">
        <v>1688</v>
      </c>
      <c r="U167" s="1">
        <v>281.33333333333331</v>
      </c>
      <c r="V167" t="s">
        <v>85</v>
      </c>
      <c r="W167" s="43">
        <v>10</v>
      </c>
      <c r="X167" s="44">
        <v>55.000000000000007</v>
      </c>
      <c r="Y167" s="44">
        <v>0.11000000000000001</v>
      </c>
      <c r="Z167" s="44">
        <v>550</v>
      </c>
      <c r="AA167">
        <v>2</v>
      </c>
      <c r="AB167" s="45">
        <v>35.200000000000003</v>
      </c>
      <c r="AC167" s="45">
        <v>6.6000000000000003E-2</v>
      </c>
      <c r="AD167" s="45">
        <v>24.200000000000003</v>
      </c>
      <c r="AE167">
        <v>0</v>
      </c>
      <c r="AF167">
        <v>0</v>
      </c>
      <c r="AG167" t="s">
        <v>86</v>
      </c>
      <c r="AH167" s="44">
        <v>59.375</v>
      </c>
      <c r="AI167" s="44">
        <v>11.7875</v>
      </c>
      <c r="AJ167" s="44">
        <v>11.1625</v>
      </c>
      <c r="AK167" s="44">
        <v>5.6</v>
      </c>
      <c r="AL167" s="44">
        <v>4.7874999999999996</v>
      </c>
      <c r="AM167" s="44">
        <v>4.7874999999999996</v>
      </c>
      <c r="AN167" s="44">
        <v>4.7874999999999996</v>
      </c>
      <c r="AO167" s="44">
        <v>4.7874999999999996</v>
      </c>
      <c r="AP167" s="44">
        <v>4.7874999999999996</v>
      </c>
      <c r="AQ167">
        <v>10</v>
      </c>
      <c r="AR167" t="s">
        <v>218</v>
      </c>
      <c r="AS167">
        <v>3</v>
      </c>
      <c r="AT167">
        <v>7</v>
      </c>
      <c r="AU167" s="45"/>
      <c r="AV167" s="45"/>
      <c r="AW167" s="45"/>
      <c r="AX167">
        <v>1</v>
      </c>
      <c r="AY167">
        <v>120</v>
      </c>
      <c r="AZ167">
        <v>0.06</v>
      </c>
      <c r="BA167" s="43" t="str">
        <f t="shared" si="4"/>
        <v>Economy</v>
      </c>
      <c r="BB167" s="46">
        <f>IFERROR((AD167+IF(Calculator_v2!$E$6*Y167&lt;X167,X167,IF(Calculator_v2!$E$6*Y167&gt;Z167,Z167,Calculator_v2!$E$6*Y167))+IF(Calculator_v2!$E$6*AC167&lt;AB167,AB167,Calculator_v2!$E$6*AC167)+IFERROR(_xlfn.LET(_xlpm.tarifa,IF(Calculator_v2!$E$6&lt;=$AI$1,AI167,IF(Calculator_v2!$E$6&lt;=$AK$1,AJ167,IF(Calculator_v2!$E$6&lt;=$AL$1,AK167,IF(Calculator_v2!$E$6&lt;=$AM$1,AL167,IF(Calculator_v2!$E$6&lt;=$AN$1,AM167,IF(Calculator_v2!$E$6&lt;=$AO$1,AN167,IF(Calculator_v2!$E$6&lt;=$AP$1,AO167,AP167))))))),_xlpm.resultado,_xlpm.tarifa*Calculator_v2!$E$6,IF(_xlpm.resultado&lt;AH167,AH167,_xlpm.resultado)),0)+IF(Calculator_v2!$E$6*AV167&lt;AU167,AU167,IF(Calculator_v2!$E$6*AV167&gt;AW167,AW167,Calculator_v2!$E$6*AV167))+IF(Calculator_v2!$E$6*AZ167&lt;=AY167,AY167,Calculator_v2!$E$6*AZ167)),0)</f>
        <v>3082.5919999999996</v>
      </c>
      <c r="BC167" s="47">
        <f>IFERROR(+BB167/Calculator_v2!$E$6,0)+IFERROR(VLOOKUP(A167,DHL_ADDER!$B$4:$E$26,4,0),0)</f>
        <v>6.58708108108108</v>
      </c>
      <c r="BD167" s="48">
        <f t="shared" si="5"/>
        <v>7</v>
      </c>
      <c r="BE167" s="48">
        <f>+T[[#This Row],[Airport to Destination Transit Time Days]]+T[[#This Row],[Airport to Airport Transit Time Days]]+T[[#This Row],[Origin to Airport Transit Time in days]]</f>
        <v>13</v>
      </c>
    </row>
    <row r="168" spans="1:57" customFormat="1" x14ac:dyDescent="0.35">
      <c r="A168" t="str">
        <f>+T[[#This Row],[Provider_Name]]&amp;"_"&amp;T[[#This Row],[AXIS]]</f>
        <v>DHL_B_KR&gt;BR</v>
      </c>
      <c r="B168" t="s">
        <v>71</v>
      </c>
      <c r="C168" t="s">
        <v>212</v>
      </c>
      <c r="D168" t="s">
        <v>213</v>
      </c>
      <c r="E168" t="s">
        <v>214</v>
      </c>
      <c r="F168" t="s">
        <v>92</v>
      </c>
      <c r="G168" t="s">
        <v>215</v>
      </c>
      <c r="H168" t="s">
        <v>216</v>
      </c>
      <c r="I168" t="s">
        <v>128</v>
      </c>
      <c r="J168">
        <v>34771</v>
      </c>
      <c r="K168" t="s">
        <v>217</v>
      </c>
      <c r="L168" t="s">
        <v>79</v>
      </c>
      <c r="M168" t="s">
        <v>80</v>
      </c>
      <c r="N168" t="s">
        <v>81</v>
      </c>
      <c r="O168" t="s">
        <v>82</v>
      </c>
      <c r="P168" t="s">
        <v>93</v>
      </c>
      <c r="Q168" t="s">
        <v>84</v>
      </c>
      <c r="R168">
        <v>6</v>
      </c>
      <c r="S168">
        <v>1601</v>
      </c>
      <c r="T168">
        <v>1688</v>
      </c>
      <c r="U168" s="1">
        <v>281.33333333333331</v>
      </c>
      <c r="V168" t="s">
        <v>90</v>
      </c>
      <c r="W168" s="48">
        <v>7</v>
      </c>
      <c r="X168" s="44">
        <v>171.60000000000002</v>
      </c>
      <c r="Y168" s="44">
        <v>0.17600000000000002</v>
      </c>
      <c r="Z168" s="44">
        <v>550</v>
      </c>
      <c r="AA168">
        <v>1</v>
      </c>
      <c r="AB168" s="35">
        <v>35.200000000000003</v>
      </c>
      <c r="AC168" s="45">
        <v>6.6000000000000003E-2</v>
      </c>
      <c r="AD168" s="45">
        <v>24.200000000000003</v>
      </c>
      <c r="AE168">
        <v>0</v>
      </c>
      <c r="AF168">
        <v>0</v>
      </c>
      <c r="AG168" t="s">
        <v>86</v>
      </c>
      <c r="AH168" s="44">
        <v>89.0625</v>
      </c>
      <c r="AI168" s="44">
        <v>18.600000000000001</v>
      </c>
      <c r="AJ168" s="44">
        <v>17.506250000000001</v>
      </c>
      <c r="AK168" s="44">
        <v>14.975</v>
      </c>
      <c r="AL168" s="44">
        <v>11.975</v>
      </c>
      <c r="AM168" s="44">
        <v>11.6625</v>
      </c>
      <c r="AN168" s="44">
        <v>11.6625</v>
      </c>
      <c r="AO168" s="44">
        <v>11.6625</v>
      </c>
      <c r="AP168" s="44">
        <v>11.6625</v>
      </c>
      <c r="AQ168">
        <v>3</v>
      </c>
      <c r="AR168" t="s">
        <v>220</v>
      </c>
      <c r="AS168">
        <v>1</v>
      </c>
      <c r="AT168">
        <v>7</v>
      </c>
      <c r="AU168" s="45"/>
      <c r="AV168" s="45"/>
      <c r="AW168" s="44"/>
      <c r="AX168">
        <v>1</v>
      </c>
      <c r="AY168">
        <v>120</v>
      </c>
      <c r="AZ168">
        <v>0.06</v>
      </c>
      <c r="BA168" s="43" t="str">
        <f t="shared" si="4"/>
        <v>Express</v>
      </c>
      <c r="BB168" s="46">
        <f>IFERROR((AD168+IF(Calculator_v2!$E$6*Y168&lt;X168,X168,IF(Calculator_v2!$E$6*Y168&gt;Z168,Z168,Calculator_v2!$E$6*Y168))+IF(Calculator_v2!$E$6*AC168&lt;AB168,AB168,Calculator_v2!$E$6*AC168)+IFERROR(_xlfn.LET(_xlpm.tarifa,IF(Calculator_v2!$E$6&lt;=$AI$1,AI168,IF(Calculator_v2!$E$6&lt;=$AK$1,AJ168,IF(Calculator_v2!$E$6&lt;=$AL$1,AK168,IF(Calculator_v2!$E$6&lt;=$AM$1,AL168,IF(Calculator_v2!$E$6&lt;=$AN$1,AM168,IF(Calculator_v2!$E$6&lt;=$AO$1,AN168,IF(Calculator_v2!$E$6&lt;=$AP$1,AO168,AP168))))))),_xlpm.resultado,_xlpm.tarifa*Calculator_v2!$E$6,IF(_xlpm.resultado&lt;AH168,AH168,_xlpm.resultado)),0)+IF(Calculator_v2!$E$6*AV168&lt;AU168,AU168,IF(Calculator_v2!$E$6*AV168&gt;AW168,AW168,Calculator_v2!$E$6*AV168))+IF(Calculator_v2!$E$6*AZ168&lt;=AY168,AY168,Calculator_v2!$E$6*AZ168)),0)</f>
        <v>7259.0720000000001</v>
      </c>
      <c r="BC168" s="47">
        <f>IFERROR(+BB168/Calculator_v2!$E$6,0)+IFERROR(VLOOKUP(A168,DHL_ADDER!$B$4:$E$26,4,0),0)</f>
        <v>13.641945945945945</v>
      </c>
      <c r="BD168" s="48">
        <f t="shared" si="5"/>
        <v>7</v>
      </c>
      <c r="BE168" s="48">
        <f>+T[[#This Row],[Airport to Destination Transit Time Days]]+T[[#This Row],[Airport to Airport Transit Time Days]]+T[[#This Row],[Origin to Airport Transit Time in days]]</f>
        <v>5</v>
      </c>
    </row>
    <row r="169" spans="1:57" customFormat="1" x14ac:dyDescent="0.35">
      <c r="A169" t="str">
        <f>+T[[#This Row],[Provider_Name]]&amp;"_"&amp;T[[#This Row],[AXIS]]</f>
        <v>DHL_B_KR&gt;BR</v>
      </c>
      <c r="B169" t="s">
        <v>71</v>
      </c>
      <c r="C169" t="s">
        <v>212</v>
      </c>
      <c r="D169" t="s">
        <v>213</v>
      </c>
      <c r="E169" t="s">
        <v>214</v>
      </c>
      <c r="F169" t="s">
        <v>92</v>
      </c>
      <c r="G169" t="s">
        <v>215</v>
      </c>
      <c r="H169" t="s">
        <v>216</v>
      </c>
      <c r="I169" t="s">
        <v>128</v>
      </c>
      <c r="J169">
        <v>34771</v>
      </c>
      <c r="K169" t="s">
        <v>217</v>
      </c>
      <c r="L169" t="s">
        <v>79</v>
      </c>
      <c r="M169" t="s">
        <v>80</v>
      </c>
      <c r="N169" t="s">
        <v>81</v>
      </c>
      <c r="O169" t="s">
        <v>82</v>
      </c>
      <c r="P169" t="s">
        <v>93</v>
      </c>
      <c r="Q169" t="s">
        <v>84</v>
      </c>
      <c r="R169">
        <v>6</v>
      </c>
      <c r="S169">
        <v>1601</v>
      </c>
      <c r="T169">
        <v>1688</v>
      </c>
      <c r="U169" s="1">
        <v>281.33333333333331</v>
      </c>
      <c r="V169" t="s">
        <v>91</v>
      </c>
      <c r="W169" s="48">
        <v>11</v>
      </c>
      <c r="X169" s="44">
        <v>55.000000000000007</v>
      </c>
      <c r="Y169" s="44">
        <v>0.11000000000000001</v>
      </c>
      <c r="Z169" s="44">
        <v>550</v>
      </c>
      <c r="AA169">
        <v>2</v>
      </c>
      <c r="AB169" s="45">
        <v>35.200000000000003</v>
      </c>
      <c r="AC169" s="45">
        <v>6.6000000000000003E-2</v>
      </c>
      <c r="AD169" s="45">
        <v>24.200000000000003</v>
      </c>
      <c r="AE169">
        <v>0</v>
      </c>
      <c r="AF169">
        <v>0</v>
      </c>
      <c r="AG169" t="s">
        <v>86</v>
      </c>
      <c r="AH169" s="44">
        <v>7.8125</v>
      </c>
      <c r="AI169" s="44">
        <v>13.85</v>
      </c>
      <c r="AJ169" s="44">
        <v>9.4749999999999996</v>
      </c>
      <c r="AK169" s="44">
        <v>8.2249999999999996</v>
      </c>
      <c r="AL169" s="44">
        <v>7.9749999999999996</v>
      </c>
      <c r="AM169" s="44">
        <v>7.9749999999999996</v>
      </c>
      <c r="AN169" s="44">
        <v>7.9749999999999996</v>
      </c>
      <c r="AO169" s="44">
        <v>7.9749999999999996</v>
      </c>
      <c r="AP169" s="44">
        <v>7.9749999999999996</v>
      </c>
      <c r="AQ169">
        <v>6</v>
      </c>
      <c r="AR169" t="s">
        <v>221</v>
      </c>
      <c r="AS169">
        <v>1</v>
      </c>
      <c r="AT169">
        <v>7</v>
      </c>
      <c r="AU169" s="45"/>
      <c r="AV169" s="45"/>
      <c r="AW169" s="45"/>
      <c r="AX169">
        <v>1</v>
      </c>
      <c r="AY169">
        <v>120</v>
      </c>
      <c r="AZ169">
        <v>0.06</v>
      </c>
      <c r="BA169" s="43" t="str">
        <f t="shared" si="4"/>
        <v>Normal</v>
      </c>
      <c r="BB169" s="46">
        <f>IFERROR((AD169+IF(Calculator_v2!$E$6*Y169&lt;X169,X169,IF(Calculator_v2!$E$6*Y169&gt;Z169,Z169,Calculator_v2!$E$6*Y169))+IF(Calculator_v2!$E$6*AC169&lt;AB169,AB169,Calculator_v2!$E$6*AC169)+IFERROR(_xlfn.LET(_xlpm.tarifa,IF(Calculator_v2!$E$6&lt;=$AI$1,AI169,IF(Calculator_v2!$E$6&lt;=$AK$1,AJ169,IF(Calculator_v2!$E$6&lt;=$AL$1,AK169,IF(Calculator_v2!$E$6&lt;=$AM$1,AL169,IF(Calculator_v2!$E$6&lt;=$AN$1,AM169,IF(Calculator_v2!$E$6&lt;=$AO$1,AN169,IF(Calculator_v2!$E$6&lt;=$AP$1,AO169,AP169))))))),_xlpm.resultado,_xlpm.tarifa*Calculator_v2!$E$6,IF(_xlpm.resultado&lt;AH169,AH169,_xlpm.resultado)),0)+IF(Calculator_v2!$E$6*AV169&lt;AU169,AU169,IF(Calculator_v2!$E$6*AV169&gt;AW169,AW169,Calculator_v2!$E$6*AV169))+IF(Calculator_v2!$E$6*AZ169&lt;=AY169,AY169,Calculator_v2!$E$6*AZ169)),0)</f>
        <v>4969.5919999999996</v>
      </c>
      <c r="BC169" s="47">
        <f>IFERROR(+BB169/Calculator_v2!$E$6,0)+IFERROR(VLOOKUP(A169,DHL_ADDER!$B$4:$E$26,4,0),0)</f>
        <v>9.7745810810810809</v>
      </c>
      <c r="BD169" s="48">
        <f t="shared" si="5"/>
        <v>7</v>
      </c>
      <c r="BE169" s="48">
        <f>+T[[#This Row],[Airport to Destination Transit Time Days]]+T[[#This Row],[Airport to Airport Transit Time Days]]+T[[#This Row],[Origin to Airport Transit Time in days]]</f>
        <v>9</v>
      </c>
    </row>
    <row r="170" spans="1:57" customFormat="1" x14ac:dyDescent="0.35">
      <c r="A170" t="str">
        <f>+T[[#This Row],[Provider_Name]]&amp;"_"&amp;T[[#This Row],[AXIS]]</f>
        <v>DHL_B_KR&gt;TR</v>
      </c>
      <c r="B170" t="s">
        <v>71</v>
      </c>
      <c r="C170" t="s">
        <v>222</v>
      </c>
      <c r="D170" t="s">
        <v>223</v>
      </c>
      <c r="E170" t="s">
        <v>214</v>
      </c>
      <c r="F170" t="s">
        <v>92</v>
      </c>
      <c r="G170" t="s">
        <v>215</v>
      </c>
      <c r="H170" t="s">
        <v>216</v>
      </c>
      <c r="I170" t="s">
        <v>128</v>
      </c>
      <c r="J170">
        <v>34771</v>
      </c>
      <c r="K170" t="s">
        <v>217</v>
      </c>
      <c r="L170" t="s">
        <v>126</v>
      </c>
      <c r="M170" t="s">
        <v>127</v>
      </c>
      <c r="N170" t="s">
        <v>128</v>
      </c>
      <c r="O170">
        <v>34771</v>
      </c>
      <c r="P170" t="s">
        <v>129</v>
      </c>
      <c r="Q170" t="s">
        <v>130</v>
      </c>
      <c r="R170">
        <v>2</v>
      </c>
      <c r="S170">
        <v>301</v>
      </c>
      <c r="T170">
        <v>312</v>
      </c>
      <c r="U170" s="1">
        <v>156</v>
      </c>
      <c r="V170" t="s">
        <v>85</v>
      </c>
      <c r="W170" s="43">
        <v>8</v>
      </c>
      <c r="X170">
        <v>55.000000000000007</v>
      </c>
      <c r="Y170">
        <v>0.11000000000000001</v>
      </c>
      <c r="Z170">
        <v>550</v>
      </c>
      <c r="AA170">
        <v>2</v>
      </c>
      <c r="AB170">
        <v>35.200000000000003</v>
      </c>
      <c r="AC170">
        <v>6.6000000000000003E-2</v>
      </c>
      <c r="AD170">
        <v>24.200000000000003</v>
      </c>
      <c r="AE170">
        <v>0</v>
      </c>
      <c r="AF170">
        <v>0</v>
      </c>
      <c r="AG170" t="s">
        <v>86</v>
      </c>
      <c r="AH170">
        <v>47.4375</v>
      </c>
      <c r="AI170" s="1">
        <v>7.0374999999999996</v>
      </c>
      <c r="AJ170" s="1">
        <v>4.8499999999999996</v>
      </c>
      <c r="AK170" s="1">
        <v>2.9125000000000001</v>
      </c>
      <c r="AL170" s="1">
        <v>2.7250000000000001</v>
      </c>
      <c r="AM170" s="1">
        <v>2.7250000000000001</v>
      </c>
      <c r="AN170" s="1">
        <v>2.6</v>
      </c>
      <c r="AO170" s="1">
        <v>2.6</v>
      </c>
      <c r="AP170" s="1">
        <v>2.6</v>
      </c>
      <c r="AQ170">
        <v>5</v>
      </c>
      <c r="AR170" t="s">
        <v>224</v>
      </c>
      <c r="AS170">
        <v>2</v>
      </c>
      <c r="AT170">
        <v>7</v>
      </c>
      <c r="AU170">
        <v>495</v>
      </c>
      <c r="AV170">
        <v>0.49</v>
      </c>
      <c r="AW170">
        <v>750</v>
      </c>
      <c r="AX170">
        <v>1</v>
      </c>
      <c r="AY170">
        <v>85</v>
      </c>
      <c r="AZ170">
        <v>0.04</v>
      </c>
      <c r="BA170" s="43" t="str">
        <f t="shared" si="4"/>
        <v>Economy</v>
      </c>
      <c r="BB170" s="46">
        <f>IFERROR((AD170+IF(Calculator_v2!$E$6*Y170&lt;X170,X170,IF(Calculator_v2!$E$6*Y170&gt;Z170,Z170,Calculator_v2!$E$6*Y170))+IF(Calculator_v2!$E$6*AC170&lt;AB170,AB170,Calculator_v2!$E$6*AC170)+IFERROR(_xlfn.LET(_xlpm.tarifa,IF(Calculator_v2!$E$6&lt;=$AI$1,AI170,IF(Calculator_v2!$E$6&lt;=$AK$1,AJ170,IF(Calculator_v2!$E$6&lt;=$AL$1,AK170,IF(Calculator_v2!$E$6&lt;=$AM$1,AL170,IF(Calculator_v2!$E$6&lt;=$AN$1,AM170,IF(Calculator_v2!$E$6&lt;=$AO$1,AN170,IF(Calculator_v2!$E$6&lt;=$AP$1,AO170,AP170))))))),_xlpm.resultado,_xlpm.tarifa*Calculator_v2!$E$6,IF(_xlpm.resultado&lt;AH170,AH170,_xlpm.resultado)),0)+IF(Calculator_v2!$E$6*AV170&lt;AU170,AU170,IF(Calculator_v2!$E$6*AV170&gt;AW170,AW170,Calculator_v2!$E$6*AV170))+IF(Calculator_v2!$E$6*AZ170&lt;=AY170,AY170,Calculator_v2!$E$6*AZ170)),0)</f>
        <v>2321.5920000000001</v>
      </c>
      <c r="BC170" s="47">
        <f>IFERROR(+BB170/Calculator_v2!$E$6,0)+IFERROR(VLOOKUP(A170,DHL_ADDER!$B$4:$E$26,4,0),0)</f>
        <v>6.2916081081081083</v>
      </c>
      <c r="BD170" s="48">
        <f t="shared" si="5"/>
        <v>7</v>
      </c>
      <c r="BE170" s="48">
        <f>+T[[#This Row],[Airport to Destination Transit Time Days]]+T[[#This Row],[Airport to Airport Transit Time Days]]+T[[#This Row],[Origin to Airport Transit Time in days]]</f>
        <v>8</v>
      </c>
    </row>
    <row r="171" spans="1:57" customFormat="1" x14ac:dyDescent="0.35">
      <c r="A171" t="str">
        <f>+T[[#This Row],[Provider_Name]]&amp;"_"&amp;T[[#This Row],[AXIS]]</f>
        <v>DHL_B_KR&gt;TR</v>
      </c>
      <c r="B171" t="s">
        <v>71</v>
      </c>
      <c r="C171" t="s">
        <v>222</v>
      </c>
      <c r="D171" t="s">
        <v>223</v>
      </c>
      <c r="E171" t="s">
        <v>214</v>
      </c>
      <c r="F171" t="s">
        <v>92</v>
      </c>
      <c r="G171" t="s">
        <v>215</v>
      </c>
      <c r="H171" t="s">
        <v>216</v>
      </c>
      <c r="I171" t="s">
        <v>128</v>
      </c>
      <c r="J171">
        <v>34771</v>
      </c>
      <c r="K171" t="s">
        <v>217</v>
      </c>
      <c r="L171" t="s">
        <v>126</v>
      </c>
      <c r="M171" t="s">
        <v>127</v>
      </c>
      <c r="N171" t="s">
        <v>128</v>
      </c>
      <c r="O171">
        <v>34771</v>
      </c>
      <c r="P171" t="s">
        <v>129</v>
      </c>
      <c r="Q171" t="s">
        <v>130</v>
      </c>
      <c r="R171">
        <v>2</v>
      </c>
      <c r="S171">
        <v>301</v>
      </c>
      <c r="T171">
        <v>312</v>
      </c>
      <c r="U171" s="1">
        <v>156</v>
      </c>
      <c r="V171" t="s">
        <v>90</v>
      </c>
      <c r="W171" s="43">
        <v>4</v>
      </c>
      <c r="X171">
        <v>171.60000000000002</v>
      </c>
      <c r="Y171">
        <v>0.17600000000000002</v>
      </c>
      <c r="Z171">
        <v>550</v>
      </c>
      <c r="AA171">
        <v>1</v>
      </c>
      <c r="AB171">
        <v>35.200000000000003</v>
      </c>
      <c r="AC171">
        <v>6.6000000000000003E-2</v>
      </c>
      <c r="AD171">
        <v>24.200000000000003</v>
      </c>
      <c r="AE171">
        <v>0</v>
      </c>
      <c r="AF171">
        <v>0</v>
      </c>
      <c r="AG171" t="s">
        <v>86</v>
      </c>
      <c r="AH171">
        <v>93.75</v>
      </c>
      <c r="AI171" s="1">
        <v>8.2249999999999996</v>
      </c>
      <c r="AJ171" s="1">
        <v>8.2249999999999996</v>
      </c>
      <c r="AK171" s="1">
        <v>4.4749999999999996</v>
      </c>
      <c r="AL171" s="1">
        <v>4.4749999999999996</v>
      </c>
      <c r="AM171" s="1">
        <v>4.4749999999999996</v>
      </c>
      <c r="AN171" s="1">
        <v>4.3499999999999996</v>
      </c>
      <c r="AO171" s="1">
        <v>4.3499999999999996</v>
      </c>
      <c r="AP171" s="1">
        <v>4.3499999999999996</v>
      </c>
      <c r="AQ171">
        <v>2</v>
      </c>
      <c r="AR171" t="s">
        <v>225</v>
      </c>
      <c r="AS171">
        <v>1</v>
      </c>
      <c r="AT171">
        <v>7</v>
      </c>
      <c r="AU171">
        <v>495</v>
      </c>
      <c r="AV171">
        <v>0.49</v>
      </c>
      <c r="AW171">
        <v>750</v>
      </c>
      <c r="AX171">
        <v>1</v>
      </c>
      <c r="AY171">
        <v>85</v>
      </c>
      <c r="AZ171">
        <v>0.04</v>
      </c>
      <c r="BA171" s="43" t="str">
        <f t="shared" si="4"/>
        <v>Express</v>
      </c>
      <c r="BB171" s="46">
        <f>IFERROR((AD171+IF(Calculator_v2!$E$6*Y171&lt;X171,X171,IF(Calculator_v2!$E$6*Y171&gt;Z171,Z171,Calculator_v2!$E$6*Y171))+IF(Calculator_v2!$E$6*AC171&lt;AB171,AB171,Calculator_v2!$E$6*AC171)+IFERROR(_xlfn.LET(_xlpm.tarifa,IF(Calculator_v2!$E$6&lt;=$AI$1,AI171,IF(Calculator_v2!$E$6&lt;=$AK$1,AJ171,IF(Calculator_v2!$E$6&lt;=$AL$1,AK171,IF(Calculator_v2!$E$6&lt;=$AM$1,AL171,IF(Calculator_v2!$E$6&lt;=$AN$1,AM171,IF(Calculator_v2!$E$6&lt;=$AO$1,AN171,IF(Calculator_v2!$E$6&lt;=$AP$1,AO171,AP171))))))),_xlpm.resultado,_xlpm.tarifa*Calculator_v2!$E$6,IF(_xlpm.resultado&lt;AH171,AH171,_xlpm.resultado)),0)+IF(Calculator_v2!$E$6*AV171&lt;AU171,AU171,IF(Calculator_v2!$E$6*AV171&gt;AW171,AW171,Calculator_v2!$E$6*AV171))+IF(Calculator_v2!$E$6*AZ171&lt;=AY171,AY171,Calculator_v2!$E$6*AZ171)),0)</f>
        <v>3464.0719999999997</v>
      </c>
      <c r="BC171" s="47">
        <f>IFERROR(+BB171/Calculator_v2!$E$6,0)+IFERROR(VLOOKUP(A171,DHL_ADDER!$B$4:$E$26,4,0),0)</f>
        <v>8.2214729729729719</v>
      </c>
      <c r="BD171" s="48">
        <f t="shared" si="5"/>
        <v>7</v>
      </c>
      <c r="BE171" s="48">
        <f>+T[[#This Row],[Airport to Destination Transit Time Days]]+T[[#This Row],[Airport to Airport Transit Time Days]]+T[[#This Row],[Origin to Airport Transit Time in days]]</f>
        <v>4</v>
      </c>
    </row>
    <row r="172" spans="1:57" customFormat="1" x14ac:dyDescent="0.35">
      <c r="A172" t="str">
        <f>+T[[#This Row],[Provider_Name]]&amp;"_"&amp;T[[#This Row],[AXIS]]</f>
        <v>DHL_B_KR&gt;TR</v>
      </c>
      <c r="B172" t="s">
        <v>71</v>
      </c>
      <c r="C172" t="s">
        <v>222</v>
      </c>
      <c r="D172" t="s">
        <v>223</v>
      </c>
      <c r="E172" t="s">
        <v>214</v>
      </c>
      <c r="F172" t="s">
        <v>92</v>
      </c>
      <c r="G172" t="s">
        <v>215</v>
      </c>
      <c r="H172" t="s">
        <v>216</v>
      </c>
      <c r="I172" t="s">
        <v>128</v>
      </c>
      <c r="J172">
        <v>34771</v>
      </c>
      <c r="K172" t="s">
        <v>217</v>
      </c>
      <c r="L172" t="s">
        <v>126</v>
      </c>
      <c r="M172" t="s">
        <v>127</v>
      </c>
      <c r="N172" t="s">
        <v>128</v>
      </c>
      <c r="O172">
        <v>34771</v>
      </c>
      <c r="P172" t="s">
        <v>129</v>
      </c>
      <c r="Q172" t="s">
        <v>130</v>
      </c>
      <c r="R172">
        <v>2</v>
      </c>
      <c r="S172">
        <v>301</v>
      </c>
      <c r="T172">
        <v>312</v>
      </c>
      <c r="U172" s="1">
        <v>156</v>
      </c>
      <c r="V172" t="s">
        <v>91</v>
      </c>
      <c r="W172" s="43">
        <v>6</v>
      </c>
      <c r="X172">
        <v>55.000000000000007</v>
      </c>
      <c r="Y172">
        <v>0.11000000000000001</v>
      </c>
      <c r="Z172">
        <v>550</v>
      </c>
      <c r="AA172">
        <v>2</v>
      </c>
      <c r="AB172">
        <v>35.200000000000003</v>
      </c>
      <c r="AC172">
        <v>6.6000000000000003E-2</v>
      </c>
      <c r="AD172">
        <v>24.200000000000003</v>
      </c>
      <c r="AE172">
        <v>0</v>
      </c>
      <c r="AF172">
        <v>0</v>
      </c>
      <c r="AG172" t="s">
        <v>86</v>
      </c>
      <c r="AH172">
        <v>75</v>
      </c>
      <c r="AI172" s="1">
        <v>7.6</v>
      </c>
      <c r="AJ172" s="1">
        <v>7.6</v>
      </c>
      <c r="AK172" s="1">
        <v>3.9750000000000001</v>
      </c>
      <c r="AL172" s="1">
        <v>3.9125000000000001</v>
      </c>
      <c r="AM172" s="1">
        <v>3.9125000000000001</v>
      </c>
      <c r="AN172" s="1">
        <v>3.85</v>
      </c>
      <c r="AO172" s="1">
        <v>3.85</v>
      </c>
      <c r="AP172" s="1">
        <v>3.85</v>
      </c>
      <c r="AQ172">
        <v>3</v>
      </c>
      <c r="AR172" t="s">
        <v>226</v>
      </c>
      <c r="AS172">
        <v>1</v>
      </c>
      <c r="AT172">
        <v>7</v>
      </c>
      <c r="AU172">
        <v>495</v>
      </c>
      <c r="AV172">
        <v>0.49</v>
      </c>
      <c r="AW172">
        <v>750</v>
      </c>
      <c r="AX172">
        <v>1</v>
      </c>
      <c r="AY172">
        <v>85</v>
      </c>
      <c r="AZ172">
        <v>0.04</v>
      </c>
      <c r="BA172" s="43" t="str">
        <f t="shared" si="4"/>
        <v>Normal</v>
      </c>
      <c r="BB172" s="46">
        <f>IFERROR((AD172+IF(Calculator_v2!$E$6*Y172&lt;X172,X172,IF(Calculator_v2!$E$6*Y172&gt;Z172,Z172,Calculator_v2!$E$6*Y172))+IF(Calculator_v2!$E$6*AC172&lt;AB172,AB172,Calculator_v2!$E$6*AC172)+IFERROR(_xlfn.LET(_xlpm.tarifa,IF(Calculator_v2!$E$6&lt;=$AI$1,AI172,IF(Calculator_v2!$E$6&lt;=$AK$1,AJ172,IF(Calculator_v2!$E$6&lt;=$AL$1,AK172,IF(Calculator_v2!$E$6&lt;=$AM$1,AL172,IF(Calculator_v2!$E$6&lt;=$AN$1,AM172,IF(Calculator_v2!$E$6&lt;=$AO$1,AN172,IF(Calculator_v2!$E$6&lt;=$AP$1,AO172,AP172))))))),_xlpm.resultado,_xlpm.tarifa*Calculator_v2!$E$6,IF(_xlpm.resultado&lt;AH172,AH172,_xlpm.resultado)),0)+IF(Calculator_v2!$E$6*AV172&lt;AU172,AU172,IF(Calculator_v2!$E$6*AV172&gt;AW172,AW172,Calculator_v2!$E$6*AV172))+IF(Calculator_v2!$E$6*AZ172&lt;=AY172,AY172,Calculator_v2!$E$6*AZ172)),0)</f>
        <v>3024.5920000000001</v>
      </c>
      <c r="BC172" s="47">
        <f>IFERROR(+BB172/Calculator_v2!$E$6,0)+IFERROR(VLOOKUP(A172,DHL_ADDER!$B$4:$E$26,4,0),0)</f>
        <v>7.4791081081081083</v>
      </c>
      <c r="BD172" s="48">
        <f t="shared" si="5"/>
        <v>7</v>
      </c>
      <c r="BE172" s="48">
        <f>+T[[#This Row],[Airport to Destination Transit Time Days]]+T[[#This Row],[Airport to Airport Transit Time Days]]+T[[#This Row],[Origin to Airport Transit Time in days]]</f>
        <v>6</v>
      </c>
    </row>
    <row r="173" spans="1:57" customFormat="1" x14ac:dyDescent="0.35">
      <c r="A173" t="str">
        <f>+T[[#This Row],[Provider_Name]]&amp;"_"&amp;T[[#This Row],[AXIS]]</f>
        <v>DHL_B_RO&gt;BR</v>
      </c>
      <c r="B173" t="s">
        <v>71</v>
      </c>
      <c r="C173" t="s">
        <v>227</v>
      </c>
      <c r="D173" t="s">
        <v>228</v>
      </c>
      <c r="E173" t="s">
        <v>229</v>
      </c>
      <c r="F173" t="s">
        <v>75</v>
      </c>
      <c r="G173" t="s">
        <v>119</v>
      </c>
      <c r="H173" t="s">
        <v>120</v>
      </c>
      <c r="I173" t="s">
        <v>121</v>
      </c>
      <c r="J173">
        <v>115400</v>
      </c>
      <c r="K173" t="s">
        <v>122</v>
      </c>
      <c r="L173" t="s">
        <v>79</v>
      </c>
      <c r="M173" t="s">
        <v>80</v>
      </c>
      <c r="N173" t="s">
        <v>81</v>
      </c>
      <c r="O173" t="s">
        <v>82</v>
      </c>
      <c r="P173" t="s">
        <v>83</v>
      </c>
      <c r="Q173" t="s">
        <v>84</v>
      </c>
      <c r="R173">
        <v>34</v>
      </c>
      <c r="S173">
        <v>9562</v>
      </c>
      <c r="T173">
        <v>11347.66</v>
      </c>
      <c r="U173" s="1">
        <v>333.75470588235294</v>
      </c>
      <c r="V173" t="s">
        <v>85</v>
      </c>
      <c r="W173" s="43">
        <v>12</v>
      </c>
      <c r="X173">
        <v>110</v>
      </c>
      <c r="Y173">
        <v>0.18</v>
      </c>
      <c r="Z173">
        <v>300</v>
      </c>
      <c r="AA173">
        <v>1</v>
      </c>
      <c r="AB173">
        <v>7</v>
      </c>
      <c r="AC173">
        <v>7.0000000000000007E-2</v>
      </c>
      <c r="AD173">
        <v>35</v>
      </c>
      <c r="AE173">
        <v>10</v>
      </c>
      <c r="AF173">
        <v>0.1</v>
      </c>
      <c r="AG173" t="s">
        <v>86</v>
      </c>
      <c r="AH173">
        <v>76</v>
      </c>
      <c r="AI173" s="1">
        <v>3.5900000000000003</v>
      </c>
      <c r="AJ173" s="1">
        <v>3.3200000000000003</v>
      </c>
      <c r="AK173" s="1">
        <v>2.74</v>
      </c>
      <c r="AL173" s="1">
        <v>2.6</v>
      </c>
      <c r="AM173" s="1">
        <v>2.58</v>
      </c>
      <c r="AN173" s="1">
        <v>2.5300000000000002</v>
      </c>
      <c r="AO173" s="1">
        <v>2.5300000000000002</v>
      </c>
      <c r="AP173" s="1">
        <v>2.5300000000000002</v>
      </c>
      <c r="AQ173">
        <v>9</v>
      </c>
      <c r="AR173" t="s">
        <v>230</v>
      </c>
      <c r="AS173">
        <v>3</v>
      </c>
      <c r="AT173">
        <v>3</v>
      </c>
      <c r="AX173">
        <v>1</v>
      </c>
      <c r="AY173">
        <v>120</v>
      </c>
      <c r="AZ173">
        <v>0.06</v>
      </c>
      <c r="BA173" s="43" t="str">
        <f t="shared" si="4"/>
        <v>Economy</v>
      </c>
      <c r="BB173" s="46">
        <f>IFERROR((AD173+IF(Calculator_v2!$E$6*Y173&lt;X173,X173,IF(Calculator_v2!$E$6*Y173&gt;Z173,Z173,Calculator_v2!$E$6*Y173))+IF(Calculator_v2!$E$6*AC173&lt;AB173,AB173,Calculator_v2!$E$6*AC173)+IFERROR(_xlfn.LET(_xlpm.tarifa,IF(Calculator_v2!$E$6&lt;=$AI$1,AI173,IF(Calculator_v2!$E$6&lt;=$AK$1,AJ173,IF(Calculator_v2!$E$6&lt;=$AL$1,AK173,IF(Calculator_v2!$E$6&lt;=$AM$1,AL173,IF(Calculator_v2!$E$6&lt;=$AN$1,AM173,IF(Calculator_v2!$E$6&lt;=$AO$1,AN173,IF(Calculator_v2!$E$6&lt;=$AP$1,AO173,AP173))))))),_xlpm.resultado,_xlpm.tarifa*Calculator_v2!$E$6,IF(_xlpm.resultado&lt;AH173,AH173,_xlpm.resultado)),0)+IF(Calculator_v2!$E$6*AV173&lt;AU173,AU173,IF(Calculator_v2!$E$6*AV173&gt;AW173,AW173,Calculator_v2!$E$6*AV173))+IF(Calculator_v2!$E$6*AZ173&lt;=AY173,AY173,Calculator_v2!$E$6*AZ173)),0)</f>
        <v>1833.8000000000002</v>
      </c>
      <c r="BC173" s="47">
        <f>IFERROR(+BB173/Calculator_v2!$E$6,0)+IFERROR(VLOOKUP(A173,DHL_ADDER!$B$4:$E$26,4,0),0)</f>
        <v>4.6776351351351355</v>
      </c>
      <c r="BD173" s="48">
        <f t="shared" si="5"/>
        <v>3</v>
      </c>
      <c r="BE173" s="48">
        <f>+T[[#This Row],[Airport to Destination Transit Time Days]]+T[[#This Row],[Airport to Airport Transit Time Days]]+T[[#This Row],[Origin to Airport Transit Time in days]]</f>
        <v>11</v>
      </c>
    </row>
    <row r="174" spans="1:57" customFormat="1" x14ac:dyDescent="0.35">
      <c r="A174" t="str">
        <f>+T[[#This Row],[Provider_Name]]&amp;"_"&amp;T[[#This Row],[AXIS]]</f>
        <v>DHL_B_RO&gt;BR</v>
      </c>
      <c r="B174" t="s">
        <v>71</v>
      </c>
      <c r="C174" t="s">
        <v>227</v>
      </c>
      <c r="D174" t="s">
        <v>228</v>
      </c>
      <c r="E174" t="s">
        <v>229</v>
      </c>
      <c r="F174" t="s">
        <v>75</v>
      </c>
      <c r="G174" t="s">
        <v>119</v>
      </c>
      <c r="H174" t="s">
        <v>120</v>
      </c>
      <c r="I174" t="s">
        <v>121</v>
      </c>
      <c r="J174">
        <v>115400</v>
      </c>
      <c r="K174" t="s">
        <v>122</v>
      </c>
      <c r="L174" t="s">
        <v>79</v>
      </c>
      <c r="M174" t="s">
        <v>80</v>
      </c>
      <c r="N174" t="s">
        <v>81</v>
      </c>
      <c r="O174" t="s">
        <v>82</v>
      </c>
      <c r="P174" t="s">
        <v>89</v>
      </c>
      <c r="Q174" t="s">
        <v>84</v>
      </c>
      <c r="R174">
        <v>34</v>
      </c>
      <c r="S174">
        <v>9562</v>
      </c>
      <c r="T174">
        <v>11347.66</v>
      </c>
      <c r="U174" s="1">
        <v>333.75470588235294</v>
      </c>
      <c r="V174" t="s">
        <v>85</v>
      </c>
      <c r="W174" s="43">
        <v>11</v>
      </c>
      <c r="X174">
        <v>110</v>
      </c>
      <c r="Y174">
        <v>0.18</v>
      </c>
      <c r="Z174">
        <v>300</v>
      </c>
      <c r="AA174">
        <v>1</v>
      </c>
      <c r="AB174">
        <v>7</v>
      </c>
      <c r="AC174">
        <v>7.0000000000000007E-2</v>
      </c>
      <c r="AD174">
        <v>35</v>
      </c>
      <c r="AE174">
        <v>10</v>
      </c>
      <c r="AF174">
        <v>0.1</v>
      </c>
      <c r="AG174" t="s">
        <v>86</v>
      </c>
      <c r="AH174">
        <v>105</v>
      </c>
      <c r="AI174" s="1">
        <v>3.64</v>
      </c>
      <c r="AJ174" s="1">
        <v>3.36</v>
      </c>
      <c r="AK174" s="1">
        <v>2.7600000000000002</v>
      </c>
      <c r="AL174" s="1">
        <v>2.62</v>
      </c>
      <c r="AM174" s="1">
        <v>2.5900000000000003</v>
      </c>
      <c r="AN174" s="1">
        <v>2.5500000000000003</v>
      </c>
      <c r="AO174" s="1">
        <v>2.5500000000000003</v>
      </c>
      <c r="AP174" s="1">
        <v>2.5500000000000003</v>
      </c>
      <c r="AQ174">
        <v>9</v>
      </c>
      <c r="AR174" t="s">
        <v>230</v>
      </c>
      <c r="AS174">
        <v>3</v>
      </c>
      <c r="AT174">
        <v>3</v>
      </c>
      <c r="AX174">
        <v>1</v>
      </c>
      <c r="AY174">
        <v>120</v>
      </c>
      <c r="AZ174">
        <v>0.06</v>
      </c>
      <c r="BA174" s="43" t="str">
        <f t="shared" si="4"/>
        <v>Economy</v>
      </c>
      <c r="BB174" s="46">
        <f>IFERROR((AD174+IF(Calculator_v2!$E$6*Y174&lt;X174,X174,IF(Calculator_v2!$E$6*Y174&gt;Z174,Z174,Calculator_v2!$E$6*Y174))+IF(Calculator_v2!$E$6*AC174&lt;AB174,AB174,Calculator_v2!$E$6*AC174)+IFERROR(_xlfn.LET(_xlpm.tarifa,IF(Calculator_v2!$E$6&lt;=$AI$1,AI174,IF(Calculator_v2!$E$6&lt;=$AK$1,AJ174,IF(Calculator_v2!$E$6&lt;=$AL$1,AK174,IF(Calculator_v2!$E$6&lt;=$AM$1,AL174,IF(Calculator_v2!$E$6&lt;=$AN$1,AM174,IF(Calculator_v2!$E$6&lt;=$AO$1,AN174,IF(Calculator_v2!$E$6&lt;=$AP$1,AO174,AP174))))))),_xlpm.resultado,_xlpm.tarifa*Calculator_v2!$E$6,IF(_xlpm.resultado&lt;AH174,AH174,_xlpm.resultado)),0)+IF(Calculator_v2!$E$6*AV174&lt;AU174,AU174,IF(Calculator_v2!$E$6*AV174&gt;AW174,AW174,Calculator_v2!$E$6*AV174))+IF(Calculator_v2!$E$6*AZ174&lt;=AY174,AY174,Calculator_v2!$E$6*AZ174)),0)</f>
        <v>1839.7200000000003</v>
      </c>
      <c r="BC174" s="47">
        <f>IFERROR(+BB174/Calculator_v2!$E$6,0)+IFERROR(VLOOKUP(A174,DHL_ADDER!$B$4:$E$26,4,0),0)</f>
        <v>4.6876351351351353</v>
      </c>
      <c r="BD174" s="48">
        <f t="shared" si="5"/>
        <v>3</v>
      </c>
      <c r="BE174" s="48">
        <f>+T[[#This Row],[Airport to Destination Transit Time Days]]+T[[#This Row],[Airport to Airport Transit Time Days]]+T[[#This Row],[Origin to Airport Transit Time in days]]</f>
        <v>11</v>
      </c>
    </row>
    <row r="175" spans="1:57" customFormat="1" x14ac:dyDescent="0.35">
      <c r="A175" t="str">
        <f>+T[[#This Row],[Provider_Name]]&amp;"_"&amp;T[[#This Row],[AXIS]]</f>
        <v>DHL_B_RO&gt;BR</v>
      </c>
      <c r="B175" t="s">
        <v>71</v>
      </c>
      <c r="C175" t="s">
        <v>227</v>
      </c>
      <c r="D175" t="s">
        <v>228</v>
      </c>
      <c r="E175" t="s">
        <v>229</v>
      </c>
      <c r="F175" t="s">
        <v>75</v>
      </c>
      <c r="G175" t="s">
        <v>119</v>
      </c>
      <c r="H175" t="s">
        <v>120</v>
      </c>
      <c r="I175" t="s">
        <v>121</v>
      </c>
      <c r="J175">
        <v>115400</v>
      </c>
      <c r="K175" t="s">
        <v>122</v>
      </c>
      <c r="L175" t="s">
        <v>79</v>
      </c>
      <c r="M175" t="s">
        <v>80</v>
      </c>
      <c r="N175" t="s">
        <v>81</v>
      </c>
      <c r="O175" t="s">
        <v>82</v>
      </c>
      <c r="P175" t="s">
        <v>83</v>
      </c>
      <c r="Q175" t="s">
        <v>84</v>
      </c>
      <c r="R175">
        <v>34</v>
      </c>
      <c r="S175">
        <v>9562</v>
      </c>
      <c r="T175">
        <v>11347.66</v>
      </c>
      <c r="U175" s="1">
        <v>333.75470588235294</v>
      </c>
      <c r="V175" t="s">
        <v>90</v>
      </c>
      <c r="W175" s="43">
        <v>11</v>
      </c>
      <c r="X175">
        <v>110</v>
      </c>
      <c r="Y175">
        <v>0.18</v>
      </c>
      <c r="Z175">
        <v>300</v>
      </c>
      <c r="AA175">
        <v>1</v>
      </c>
      <c r="AB175">
        <v>7</v>
      </c>
      <c r="AC175">
        <v>7.0000000000000007E-2</v>
      </c>
      <c r="AD175">
        <v>35</v>
      </c>
      <c r="AE175">
        <v>10</v>
      </c>
      <c r="AF175">
        <v>0.1</v>
      </c>
      <c r="AG175" t="s">
        <v>86</v>
      </c>
      <c r="AH175">
        <v>124</v>
      </c>
      <c r="AI175" s="1">
        <v>4.5599999999999996</v>
      </c>
      <c r="AJ175" s="1">
        <v>4.2299999999999995</v>
      </c>
      <c r="AK175" s="1">
        <v>3.46</v>
      </c>
      <c r="AL175" s="1">
        <v>3.2600000000000002</v>
      </c>
      <c r="AM175" s="1">
        <v>3.21</v>
      </c>
      <c r="AN175" s="1">
        <v>3.15</v>
      </c>
      <c r="AO175" s="1">
        <v>3.15</v>
      </c>
      <c r="AP175" s="1">
        <v>3.15</v>
      </c>
      <c r="AQ175">
        <v>7</v>
      </c>
      <c r="AR175" t="s">
        <v>230</v>
      </c>
      <c r="AS175">
        <v>2</v>
      </c>
      <c r="AT175">
        <v>5</v>
      </c>
      <c r="AX175">
        <v>1</v>
      </c>
      <c r="AY175">
        <v>120</v>
      </c>
      <c r="AZ175">
        <v>0.06</v>
      </c>
      <c r="BA175" s="43" t="str">
        <f t="shared" si="4"/>
        <v>Express</v>
      </c>
      <c r="BB175" s="46">
        <f>IFERROR((AD175+IF(Calculator_v2!$E$6*Y175&lt;X175,X175,IF(Calculator_v2!$E$6*Y175&gt;Z175,Z175,Calculator_v2!$E$6*Y175))+IF(Calculator_v2!$E$6*AC175&lt;AB175,AB175,Calculator_v2!$E$6*AC175)+IFERROR(_xlfn.LET(_xlpm.tarifa,IF(Calculator_v2!$E$6&lt;=$AI$1,AI175,IF(Calculator_v2!$E$6&lt;=$AK$1,AJ175,IF(Calculator_v2!$E$6&lt;=$AL$1,AK175,IF(Calculator_v2!$E$6&lt;=$AM$1,AL175,IF(Calculator_v2!$E$6&lt;=$AN$1,AM175,IF(Calculator_v2!$E$6&lt;=$AO$1,AN175,IF(Calculator_v2!$E$6&lt;=$AP$1,AO175,AP175))))))),_xlpm.resultado,_xlpm.tarifa*Calculator_v2!$E$6,IF(_xlpm.resultado&lt;AH175,AH175,_xlpm.resultado)),0)+IF(Calculator_v2!$E$6*AV175&lt;AU175,AU175,IF(Calculator_v2!$E$6*AV175&gt;AW175,AW175,Calculator_v2!$E$6*AV175))+IF(Calculator_v2!$E$6*AZ175&lt;=AY175,AY175,Calculator_v2!$E$6*AZ175)),0)</f>
        <v>2206.7599999999998</v>
      </c>
      <c r="BC175" s="47">
        <f>IFERROR(+BB175/Calculator_v2!$E$6,0)+IFERROR(VLOOKUP(A175,DHL_ADDER!$B$4:$E$26,4,0),0)</f>
        <v>5.3076351351351345</v>
      </c>
      <c r="BD175" s="48">
        <f t="shared" si="5"/>
        <v>5</v>
      </c>
      <c r="BE175" s="48">
        <f>+T[[#This Row],[Airport to Destination Transit Time Days]]+T[[#This Row],[Airport to Airport Transit Time Days]]+T[[#This Row],[Origin to Airport Transit Time in days]]</f>
        <v>9</v>
      </c>
    </row>
    <row r="176" spans="1:57" customFormat="1" x14ac:dyDescent="0.35">
      <c r="A176" t="str">
        <f>+T[[#This Row],[Provider_Name]]&amp;"_"&amp;T[[#This Row],[AXIS]]</f>
        <v>DHL_B_RO&gt;BR</v>
      </c>
      <c r="B176" t="s">
        <v>71</v>
      </c>
      <c r="C176" t="s">
        <v>227</v>
      </c>
      <c r="D176" t="s">
        <v>228</v>
      </c>
      <c r="E176" t="s">
        <v>229</v>
      </c>
      <c r="F176" t="s">
        <v>75</v>
      </c>
      <c r="G176" t="s">
        <v>119</v>
      </c>
      <c r="H176" t="s">
        <v>120</v>
      </c>
      <c r="I176" t="s">
        <v>121</v>
      </c>
      <c r="J176">
        <v>115400</v>
      </c>
      <c r="K176" t="s">
        <v>122</v>
      </c>
      <c r="L176" t="s">
        <v>79</v>
      </c>
      <c r="M176" t="s">
        <v>80</v>
      </c>
      <c r="N176" t="s">
        <v>81</v>
      </c>
      <c r="O176" t="s">
        <v>82</v>
      </c>
      <c r="P176" t="s">
        <v>89</v>
      </c>
      <c r="Q176" t="s">
        <v>84</v>
      </c>
      <c r="R176">
        <v>34</v>
      </c>
      <c r="S176">
        <v>9562</v>
      </c>
      <c r="T176">
        <v>11347.66</v>
      </c>
      <c r="U176" s="1">
        <v>333.75470588235294</v>
      </c>
      <c r="V176" t="s">
        <v>90</v>
      </c>
      <c r="W176" s="43">
        <v>9</v>
      </c>
      <c r="X176">
        <v>110</v>
      </c>
      <c r="Y176">
        <v>0.18</v>
      </c>
      <c r="Z176">
        <v>300</v>
      </c>
      <c r="AA176">
        <v>1</v>
      </c>
      <c r="AB176">
        <v>7</v>
      </c>
      <c r="AC176">
        <v>7.0000000000000007E-2</v>
      </c>
      <c r="AD176">
        <v>35</v>
      </c>
      <c r="AE176">
        <v>10</v>
      </c>
      <c r="AF176">
        <v>0.1</v>
      </c>
      <c r="AG176" t="s">
        <v>86</v>
      </c>
      <c r="AH176">
        <v>170</v>
      </c>
      <c r="AI176" s="1">
        <v>5.04</v>
      </c>
      <c r="AJ176" s="1">
        <v>4.6499999999999995</v>
      </c>
      <c r="AK176" s="1">
        <v>3.7800000000000002</v>
      </c>
      <c r="AL176" s="1">
        <v>3.5700000000000003</v>
      </c>
      <c r="AM176" s="1">
        <v>3.5100000000000002</v>
      </c>
      <c r="AN176" s="1">
        <v>3.45</v>
      </c>
      <c r="AO176" s="1">
        <v>3.45</v>
      </c>
      <c r="AP176" s="1">
        <v>3.45</v>
      </c>
      <c r="AQ176">
        <v>7</v>
      </c>
      <c r="AR176" t="s">
        <v>230</v>
      </c>
      <c r="AS176">
        <v>2</v>
      </c>
      <c r="AT176">
        <v>5</v>
      </c>
      <c r="AX176">
        <v>1</v>
      </c>
      <c r="AY176">
        <v>120</v>
      </c>
      <c r="AZ176">
        <v>0.06</v>
      </c>
      <c r="BA176" s="43" t="str">
        <f t="shared" si="4"/>
        <v>Express</v>
      </c>
      <c r="BB176" s="46">
        <f>IFERROR((AD176+IF(Calculator_v2!$E$6*Y176&lt;X176,X176,IF(Calculator_v2!$E$6*Y176&gt;Z176,Z176,Calculator_v2!$E$6*Y176))+IF(Calculator_v2!$E$6*AC176&lt;AB176,AB176,Calculator_v2!$E$6*AC176)+IFERROR(_xlfn.LET(_xlpm.tarifa,IF(Calculator_v2!$E$6&lt;=$AI$1,AI176,IF(Calculator_v2!$E$6&lt;=$AK$1,AJ176,IF(Calculator_v2!$E$6&lt;=$AL$1,AK176,IF(Calculator_v2!$E$6&lt;=$AM$1,AL176,IF(Calculator_v2!$E$6&lt;=$AN$1,AM176,IF(Calculator_v2!$E$6&lt;=$AO$1,AN176,IF(Calculator_v2!$E$6&lt;=$AP$1,AO176,AP176))))))),_xlpm.resultado,_xlpm.tarifa*Calculator_v2!$E$6,IF(_xlpm.resultado&lt;AH176,AH176,_xlpm.resultado)),0)+IF(Calculator_v2!$E$6*AV176&lt;AU176,AU176,IF(Calculator_v2!$E$6*AV176&gt;AW176,AW176,Calculator_v2!$E$6*AV176))+IF(Calculator_v2!$E$6*AZ176&lt;=AY176,AY176,Calculator_v2!$E$6*AZ176)),0)</f>
        <v>2384.36</v>
      </c>
      <c r="BC176" s="47">
        <f>IFERROR(+BB176/Calculator_v2!$E$6,0)+IFERROR(VLOOKUP(A176,DHL_ADDER!$B$4:$E$26,4,0),0)</f>
        <v>5.6076351351351352</v>
      </c>
      <c r="BD176" s="48">
        <f t="shared" si="5"/>
        <v>5</v>
      </c>
      <c r="BE176" s="48">
        <f>+T[[#This Row],[Airport to Destination Transit Time Days]]+T[[#This Row],[Airport to Airport Transit Time Days]]+T[[#This Row],[Origin to Airport Transit Time in days]]</f>
        <v>9</v>
      </c>
    </row>
    <row r="177" spans="1:57" customFormat="1" x14ac:dyDescent="0.35">
      <c r="A177" t="str">
        <f>+T[[#This Row],[Provider_Name]]&amp;"_"&amp;T[[#This Row],[AXIS]]</f>
        <v>DHL_B_RO&gt;BR</v>
      </c>
      <c r="B177" t="s">
        <v>71</v>
      </c>
      <c r="C177" t="s">
        <v>227</v>
      </c>
      <c r="D177" t="s">
        <v>228</v>
      </c>
      <c r="E177" t="s">
        <v>229</v>
      </c>
      <c r="F177" t="s">
        <v>75</v>
      </c>
      <c r="G177" t="s">
        <v>119</v>
      </c>
      <c r="H177" t="s">
        <v>120</v>
      </c>
      <c r="I177" t="s">
        <v>121</v>
      </c>
      <c r="J177">
        <v>115400</v>
      </c>
      <c r="K177" t="s">
        <v>122</v>
      </c>
      <c r="L177" t="s">
        <v>79</v>
      </c>
      <c r="M177" t="s">
        <v>80</v>
      </c>
      <c r="N177" t="s">
        <v>81</v>
      </c>
      <c r="O177" t="s">
        <v>82</v>
      </c>
      <c r="P177" t="s">
        <v>83</v>
      </c>
      <c r="Q177" t="s">
        <v>84</v>
      </c>
      <c r="R177">
        <v>34</v>
      </c>
      <c r="S177">
        <v>9562</v>
      </c>
      <c r="T177">
        <v>11347.66</v>
      </c>
      <c r="U177" s="1">
        <v>333.75470588235294</v>
      </c>
      <c r="V177" t="s">
        <v>91</v>
      </c>
      <c r="W177" s="43">
        <v>12</v>
      </c>
      <c r="X177">
        <v>110</v>
      </c>
      <c r="Y177">
        <v>0.18</v>
      </c>
      <c r="Z177">
        <v>300</v>
      </c>
      <c r="AA177">
        <v>1</v>
      </c>
      <c r="AB177">
        <v>7</v>
      </c>
      <c r="AC177">
        <v>7.0000000000000007E-2</v>
      </c>
      <c r="AD177">
        <v>35</v>
      </c>
      <c r="AE177">
        <v>10</v>
      </c>
      <c r="AF177">
        <v>0.1</v>
      </c>
      <c r="AG177" t="s">
        <v>86</v>
      </c>
      <c r="AH177">
        <v>81</v>
      </c>
      <c r="AI177" s="1">
        <v>3.68</v>
      </c>
      <c r="AJ177" s="1">
        <v>3.4</v>
      </c>
      <c r="AK177" s="1">
        <v>2.8000000000000003</v>
      </c>
      <c r="AL177" s="1">
        <v>2.63</v>
      </c>
      <c r="AM177" s="1">
        <v>2.6</v>
      </c>
      <c r="AN177" s="1">
        <v>2.5500000000000003</v>
      </c>
      <c r="AO177" s="1">
        <v>2.5500000000000003</v>
      </c>
      <c r="AP177" s="1">
        <v>2.5500000000000003</v>
      </c>
      <c r="AQ177">
        <v>9</v>
      </c>
      <c r="AR177" t="s">
        <v>230</v>
      </c>
      <c r="AS177">
        <v>2</v>
      </c>
      <c r="AT177">
        <v>3</v>
      </c>
      <c r="AX177">
        <v>1</v>
      </c>
      <c r="AY177">
        <v>120</v>
      </c>
      <c r="AZ177">
        <v>0.06</v>
      </c>
      <c r="BA177" s="43" t="str">
        <f t="shared" si="4"/>
        <v>Normal</v>
      </c>
      <c r="BB177" s="46">
        <f>IFERROR((AD177+IF(Calculator_v2!$E$6*Y177&lt;X177,X177,IF(Calculator_v2!$E$6*Y177&gt;Z177,Z177,Calculator_v2!$E$6*Y177))+IF(Calculator_v2!$E$6*AC177&lt;AB177,AB177,Calculator_v2!$E$6*AC177)+IFERROR(_xlfn.LET(_xlpm.tarifa,IF(Calculator_v2!$E$6&lt;=$AI$1,AI177,IF(Calculator_v2!$E$6&lt;=$AK$1,AJ177,IF(Calculator_v2!$E$6&lt;=$AL$1,AK177,IF(Calculator_v2!$E$6&lt;=$AM$1,AL177,IF(Calculator_v2!$E$6&lt;=$AN$1,AM177,IF(Calculator_v2!$E$6&lt;=$AO$1,AN177,IF(Calculator_v2!$E$6&lt;=$AP$1,AO177,AP177))))))),_xlpm.resultado,_xlpm.tarifa*Calculator_v2!$E$6,IF(_xlpm.resultado&lt;AH177,AH177,_xlpm.resultado)),0)+IF(Calculator_v2!$E$6*AV177&lt;AU177,AU177,IF(Calculator_v2!$E$6*AV177&gt;AW177,AW177,Calculator_v2!$E$6*AV177))+IF(Calculator_v2!$E$6*AZ177&lt;=AY177,AY177,Calculator_v2!$E$6*AZ177)),0)</f>
        <v>1845.64</v>
      </c>
      <c r="BC177" s="47">
        <f>IFERROR(+BB177/Calculator_v2!$E$6,0)+IFERROR(VLOOKUP(A177,DHL_ADDER!$B$4:$E$26,4,0),0)</f>
        <v>4.6976351351351351</v>
      </c>
      <c r="BD177" s="48">
        <f t="shared" si="5"/>
        <v>3</v>
      </c>
      <c r="BE177" s="48">
        <f>+T[[#This Row],[Airport to Destination Transit Time Days]]+T[[#This Row],[Airport to Airport Transit Time Days]]+T[[#This Row],[Origin to Airport Transit Time in days]]</f>
        <v>11</v>
      </c>
    </row>
    <row r="178" spans="1:57" customFormat="1" x14ac:dyDescent="0.35">
      <c r="A178" t="str">
        <f>+T[[#This Row],[Provider_Name]]&amp;"_"&amp;T[[#This Row],[AXIS]]</f>
        <v>DHL_B_RO&gt;BR</v>
      </c>
      <c r="B178" t="s">
        <v>71</v>
      </c>
      <c r="C178" t="s">
        <v>227</v>
      </c>
      <c r="D178" t="s">
        <v>228</v>
      </c>
      <c r="E178" t="s">
        <v>229</v>
      </c>
      <c r="F178" t="s">
        <v>75</v>
      </c>
      <c r="G178" t="s">
        <v>119</v>
      </c>
      <c r="H178" t="s">
        <v>120</v>
      </c>
      <c r="I178" t="s">
        <v>121</v>
      </c>
      <c r="J178">
        <v>115400</v>
      </c>
      <c r="K178" t="s">
        <v>122</v>
      </c>
      <c r="L178" t="s">
        <v>79</v>
      </c>
      <c r="M178" t="s">
        <v>80</v>
      </c>
      <c r="N178" t="s">
        <v>81</v>
      </c>
      <c r="O178" t="s">
        <v>82</v>
      </c>
      <c r="P178" t="s">
        <v>89</v>
      </c>
      <c r="Q178" t="s">
        <v>84</v>
      </c>
      <c r="R178">
        <v>34</v>
      </c>
      <c r="S178">
        <v>9562</v>
      </c>
      <c r="T178">
        <v>11347.66</v>
      </c>
      <c r="U178" s="1">
        <v>333.75470588235294</v>
      </c>
      <c r="V178" t="s">
        <v>91</v>
      </c>
      <c r="W178" s="43">
        <v>11</v>
      </c>
      <c r="X178">
        <v>110</v>
      </c>
      <c r="Y178">
        <v>0.18</v>
      </c>
      <c r="Z178">
        <v>300</v>
      </c>
      <c r="AA178">
        <v>1</v>
      </c>
      <c r="AB178">
        <v>7</v>
      </c>
      <c r="AC178">
        <v>7.0000000000000007E-2</v>
      </c>
      <c r="AD178">
        <v>35</v>
      </c>
      <c r="AE178">
        <v>10</v>
      </c>
      <c r="AF178">
        <v>0.1</v>
      </c>
      <c r="AG178" t="s">
        <v>86</v>
      </c>
      <c r="AH178">
        <v>110</v>
      </c>
      <c r="AI178" s="1">
        <v>4.05</v>
      </c>
      <c r="AJ178" s="1">
        <v>3.75</v>
      </c>
      <c r="AK178" s="1">
        <v>3.06</v>
      </c>
      <c r="AL178" s="1">
        <v>2.88</v>
      </c>
      <c r="AM178" s="1">
        <v>2.85</v>
      </c>
      <c r="AN178" s="1">
        <v>2.79</v>
      </c>
      <c r="AO178" s="1">
        <v>2.79</v>
      </c>
      <c r="AP178" s="1">
        <v>2.79</v>
      </c>
      <c r="AQ178">
        <v>9</v>
      </c>
      <c r="AR178" t="s">
        <v>230</v>
      </c>
      <c r="AS178">
        <v>2</v>
      </c>
      <c r="AT178">
        <v>3</v>
      </c>
      <c r="AX178">
        <v>1</v>
      </c>
      <c r="AY178">
        <v>120</v>
      </c>
      <c r="AZ178">
        <v>0.06</v>
      </c>
      <c r="BA178" s="43" t="str">
        <f t="shared" si="4"/>
        <v>Normal</v>
      </c>
      <c r="BB178" s="46">
        <f>IFERROR((AD178+IF(Calculator_v2!$E$6*Y178&lt;X178,X178,IF(Calculator_v2!$E$6*Y178&gt;Z178,Z178,Calculator_v2!$E$6*Y178))+IF(Calculator_v2!$E$6*AC178&lt;AB178,AB178,Calculator_v2!$E$6*AC178)+IFERROR(_xlfn.LET(_xlpm.tarifa,IF(Calculator_v2!$E$6&lt;=$AI$1,AI178,IF(Calculator_v2!$E$6&lt;=$AK$1,AJ178,IF(Calculator_v2!$E$6&lt;=$AL$1,AK178,IF(Calculator_v2!$E$6&lt;=$AM$1,AL178,IF(Calculator_v2!$E$6&lt;=$AN$1,AM178,IF(Calculator_v2!$E$6&lt;=$AO$1,AN178,IF(Calculator_v2!$E$6&lt;=$AP$1,AO178,AP178))))))),_xlpm.resultado,_xlpm.tarifa*Calculator_v2!$E$6,IF(_xlpm.resultado&lt;AH178,AH178,_xlpm.resultado)),0)+IF(Calculator_v2!$E$6*AV178&lt;AU178,AU178,IF(Calculator_v2!$E$6*AV178&gt;AW178,AW178,Calculator_v2!$E$6*AV178))+IF(Calculator_v2!$E$6*AZ178&lt;=AY178,AY178,Calculator_v2!$E$6*AZ178)),0)</f>
        <v>1993.64</v>
      </c>
      <c r="BC178" s="47">
        <f>IFERROR(+BB178/Calculator_v2!$E$6,0)+IFERROR(VLOOKUP(A178,DHL_ADDER!$B$4:$E$26,4,0),0)</f>
        <v>4.9476351351351351</v>
      </c>
      <c r="BD178" s="48">
        <f t="shared" si="5"/>
        <v>3</v>
      </c>
      <c r="BE178" s="48">
        <f>+T[[#This Row],[Airport to Destination Transit Time Days]]+T[[#This Row],[Airport to Airport Transit Time Days]]+T[[#This Row],[Origin to Airport Transit Time in days]]</f>
        <v>11</v>
      </c>
    </row>
    <row r="179" spans="1:57" customFormat="1" x14ac:dyDescent="0.35">
      <c r="A179" t="str">
        <f>+T[[#This Row],[Provider_Name]]&amp;"_"&amp;T[[#This Row],[AXIS]]</f>
        <v>DHL_B_RO&gt;BR</v>
      </c>
      <c r="B179" t="s">
        <v>71</v>
      </c>
      <c r="C179" t="s">
        <v>227</v>
      </c>
      <c r="D179" t="s">
        <v>228</v>
      </c>
      <c r="E179" t="s">
        <v>229</v>
      </c>
      <c r="F179" t="s">
        <v>92</v>
      </c>
      <c r="G179" t="s">
        <v>119</v>
      </c>
      <c r="H179" t="s">
        <v>120</v>
      </c>
      <c r="I179" t="s">
        <v>121</v>
      </c>
      <c r="J179">
        <v>115400</v>
      </c>
      <c r="K179" t="s">
        <v>122</v>
      </c>
      <c r="L179" t="s">
        <v>79</v>
      </c>
      <c r="M179" t="s">
        <v>80</v>
      </c>
      <c r="N179" t="s">
        <v>81</v>
      </c>
      <c r="O179" t="s">
        <v>82</v>
      </c>
      <c r="P179" t="s">
        <v>93</v>
      </c>
      <c r="Q179" t="s">
        <v>84</v>
      </c>
      <c r="R179">
        <v>34</v>
      </c>
      <c r="S179">
        <v>9562</v>
      </c>
      <c r="T179">
        <v>11347.66</v>
      </c>
      <c r="U179" s="1">
        <v>333.75470588235294</v>
      </c>
      <c r="V179" t="s">
        <v>85</v>
      </c>
      <c r="W179" s="43">
        <v>12</v>
      </c>
      <c r="X179">
        <v>110</v>
      </c>
      <c r="Y179">
        <v>0.18</v>
      </c>
      <c r="Z179">
        <v>300</v>
      </c>
      <c r="AA179">
        <v>1</v>
      </c>
      <c r="AB179">
        <v>7</v>
      </c>
      <c r="AC179">
        <v>7.0000000000000007E-2</v>
      </c>
      <c r="AD179">
        <v>35</v>
      </c>
      <c r="AE179">
        <v>10</v>
      </c>
      <c r="AF179">
        <v>0.1</v>
      </c>
      <c r="AG179" t="s">
        <v>86</v>
      </c>
      <c r="AH179">
        <v>92</v>
      </c>
      <c r="AI179" s="1">
        <v>3.21</v>
      </c>
      <c r="AJ179" s="1">
        <v>2.5300000000000002</v>
      </c>
      <c r="AK179" s="1">
        <v>2.33</v>
      </c>
      <c r="AL179" s="1">
        <v>2.2400000000000002</v>
      </c>
      <c r="AM179" s="1">
        <v>2.12</v>
      </c>
      <c r="AN179" s="1">
        <v>1.9500000000000002</v>
      </c>
      <c r="AO179" s="1">
        <v>1.9500000000000002</v>
      </c>
      <c r="AP179" s="1">
        <v>1.9500000000000002</v>
      </c>
      <c r="AQ179">
        <v>9</v>
      </c>
      <c r="AR179" t="s">
        <v>230</v>
      </c>
      <c r="AS179">
        <v>3</v>
      </c>
      <c r="AT179">
        <v>3</v>
      </c>
      <c r="AX179">
        <v>1</v>
      </c>
      <c r="AY179">
        <v>120</v>
      </c>
      <c r="AZ179">
        <v>0.06</v>
      </c>
      <c r="BA179" s="43" t="str">
        <f t="shared" si="4"/>
        <v>Economy</v>
      </c>
      <c r="BB179" s="46">
        <f>IFERROR((AD179+IF(Calculator_v2!$E$6*Y179&lt;X179,X179,IF(Calculator_v2!$E$6*Y179&gt;Z179,Z179,Calculator_v2!$E$6*Y179))+IF(Calculator_v2!$E$6*AC179&lt;AB179,AB179,Calculator_v2!$E$6*AC179)+IFERROR(_xlfn.LET(_xlpm.tarifa,IF(Calculator_v2!$E$6&lt;=$AI$1,AI179,IF(Calculator_v2!$E$6&lt;=$AK$1,AJ179,IF(Calculator_v2!$E$6&lt;=$AL$1,AK179,IF(Calculator_v2!$E$6&lt;=$AM$1,AL179,IF(Calculator_v2!$E$6&lt;=$AN$1,AM179,IF(Calculator_v2!$E$6&lt;=$AO$1,AN179,IF(Calculator_v2!$E$6&lt;=$AP$1,AO179,AP179))))))),_xlpm.resultado,_xlpm.tarifa*Calculator_v2!$E$6,IF(_xlpm.resultado&lt;AH179,AH179,_xlpm.resultado)),0)+IF(Calculator_v2!$E$6*AV179&lt;AU179,AU179,IF(Calculator_v2!$E$6*AV179&gt;AW179,AW179,Calculator_v2!$E$6*AV179))+IF(Calculator_v2!$E$6*AZ179&lt;=AY179,AY179,Calculator_v2!$E$6*AZ179)),0)</f>
        <v>1561.48</v>
      </c>
      <c r="BC179" s="47">
        <f>IFERROR(+BB179/Calculator_v2!$E$6,0)+IFERROR(VLOOKUP(A179,DHL_ADDER!$B$4:$E$26,4,0),0)</f>
        <v>4.2176351351351347</v>
      </c>
      <c r="BD179" s="48">
        <f t="shared" si="5"/>
        <v>3</v>
      </c>
      <c r="BE179" s="48">
        <f>+T[[#This Row],[Airport to Destination Transit Time Days]]+T[[#This Row],[Airport to Airport Transit Time Days]]+T[[#This Row],[Origin to Airport Transit Time in days]]</f>
        <v>11</v>
      </c>
    </row>
    <row r="180" spans="1:57" customFormat="1" x14ac:dyDescent="0.35">
      <c r="A180" t="str">
        <f>+T[[#This Row],[Provider_Name]]&amp;"_"&amp;T[[#This Row],[AXIS]]</f>
        <v>DHL_B_RO&gt;BR</v>
      </c>
      <c r="B180" t="s">
        <v>71</v>
      </c>
      <c r="C180" t="s">
        <v>227</v>
      </c>
      <c r="D180" t="s">
        <v>228</v>
      </c>
      <c r="E180" t="s">
        <v>229</v>
      </c>
      <c r="F180" t="s">
        <v>92</v>
      </c>
      <c r="G180" t="s">
        <v>119</v>
      </c>
      <c r="H180" t="s">
        <v>120</v>
      </c>
      <c r="I180" t="s">
        <v>121</v>
      </c>
      <c r="J180">
        <v>115400</v>
      </c>
      <c r="K180" t="s">
        <v>122</v>
      </c>
      <c r="L180" t="s">
        <v>79</v>
      </c>
      <c r="M180" t="s">
        <v>80</v>
      </c>
      <c r="N180" t="s">
        <v>81</v>
      </c>
      <c r="O180" t="s">
        <v>82</v>
      </c>
      <c r="P180" t="s">
        <v>93</v>
      </c>
      <c r="Q180" t="s">
        <v>84</v>
      </c>
      <c r="R180">
        <v>34</v>
      </c>
      <c r="S180">
        <v>9562</v>
      </c>
      <c r="T180">
        <v>11347.66</v>
      </c>
      <c r="U180" s="1">
        <v>333.75470588235294</v>
      </c>
      <c r="V180" t="s">
        <v>90</v>
      </c>
      <c r="W180" s="43">
        <v>11</v>
      </c>
      <c r="X180">
        <v>110</v>
      </c>
      <c r="Y180">
        <v>0.18</v>
      </c>
      <c r="Z180">
        <v>300</v>
      </c>
      <c r="AA180">
        <v>1</v>
      </c>
      <c r="AB180">
        <v>7</v>
      </c>
      <c r="AC180">
        <v>7.0000000000000007E-2</v>
      </c>
      <c r="AD180">
        <v>35</v>
      </c>
      <c r="AE180">
        <v>10</v>
      </c>
      <c r="AF180">
        <v>0.1</v>
      </c>
      <c r="AG180" t="s">
        <v>86</v>
      </c>
      <c r="AH180">
        <v>156</v>
      </c>
      <c r="AI180" s="1">
        <v>3.81</v>
      </c>
      <c r="AJ180" s="1">
        <v>3.0500000000000003</v>
      </c>
      <c r="AK180" s="1">
        <v>2.83</v>
      </c>
      <c r="AL180" s="1">
        <v>2.71</v>
      </c>
      <c r="AM180" s="1">
        <v>2.62</v>
      </c>
      <c r="AN180" s="1">
        <v>2.5300000000000002</v>
      </c>
      <c r="AO180" s="1">
        <v>2.5300000000000002</v>
      </c>
      <c r="AP180" s="1">
        <v>2.5300000000000002</v>
      </c>
      <c r="AQ180">
        <v>7</v>
      </c>
      <c r="AR180" t="s">
        <v>230</v>
      </c>
      <c r="AS180">
        <v>2</v>
      </c>
      <c r="AT180">
        <v>5</v>
      </c>
      <c r="AX180">
        <v>1</v>
      </c>
      <c r="AY180">
        <v>120</v>
      </c>
      <c r="AZ180">
        <v>0.06</v>
      </c>
      <c r="BA180" s="43" t="str">
        <f t="shared" si="4"/>
        <v>Express</v>
      </c>
      <c r="BB180" s="46">
        <f>IFERROR((AD180+IF(Calculator_v2!$E$6*Y180&lt;X180,X180,IF(Calculator_v2!$E$6*Y180&gt;Z180,Z180,Calculator_v2!$E$6*Y180))+IF(Calculator_v2!$E$6*AC180&lt;AB180,AB180,Calculator_v2!$E$6*AC180)+IFERROR(_xlfn.LET(_xlpm.tarifa,IF(Calculator_v2!$E$6&lt;=$AI$1,AI180,IF(Calculator_v2!$E$6&lt;=$AK$1,AJ180,IF(Calculator_v2!$E$6&lt;=$AL$1,AK180,IF(Calculator_v2!$E$6&lt;=$AM$1,AL180,IF(Calculator_v2!$E$6&lt;=$AN$1,AM180,IF(Calculator_v2!$E$6&lt;=$AO$1,AN180,IF(Calculator_v2!$E$6&lt;=$AP$1,AO180,AP180))))))),_xlpm.resultado,_xlpm.tarifa*Calculator_v2!$E$6,IF(_xlpm.resultado&lt;AH180,AH180,_xlpm.resultado)),0)+IF(Calculator_v2!$E$6*AV180&lt;AU180,AU180,IF(Calculator_v2!$E$6*AV180&gt;AW180,AW180,Calculator_v2!$E$6*AV180))+IF(Calculator_v2!$E$6*AZ180&lt;=AY180,AY180,Calculator_v2!$E$6*AZ180)),0)</f>
        <v>1857.48</v>
      </c>
      <c r="BC180" s="47">
        <f>IFERROR(+BB180/Calculator_v2!$E$6,0)+IFERROR(VLOOKUP(A180,DHL_ADDER!$B$4:$E$26,4,0),0)</f>
        <v>4.7176351351351347</v>
      </c>
      <c r="BD180" s="48">
        <f t="shared" si="5"/>
        <v>5</v>
      </c>
      <c r="BE180" s="48">
        <f>+T[[#This Row],[Airport to Destination Transit Time Days]]+T[[#This Row],[Airport to Airport Transit Time Days]]+T[[#This Row],[Origin to Airport Transit Time in days]]</f>
        <v>9</v>
      </c>
    </row>
    <row r="181" spans="1:57" customFormat="1" x14ac:dyDescent="0.35">
      <c r="A181" t="str">
        <f>+T[[#This Row],[Provider_Name]]&amp;"_"&amp;T[[#This Row],[AXIS]]</f>
        <v>DHL_B_RO&gt;BR</v>
      </c>
      <c r="B181" t="s">
        <v>71</v>
      </c>
      <c r="C181" t="s">
        <v>227</v>
      </c>
      <c r="D181" t="s">
        <v>228</v>
      </c>
      <c r="E181" t="s">
        <v>229</v>
      </c>
      <c r="F181" t="s">
        <v>92</v>
      </c>
      <c r="G181" t="s">
        <v>119</v>
      </c>
      <c r="H181" t="s">
        <v>120</v>
      </c>
      <c r="I181" t="s">
        <v>121</v>
      </c>
      <c r="J181">
        <v>115400</v>
      </c>
      <c r="K181" t="s">
        <v>122</v>
      </c>
      <c r="L181" t="s">
        <v>79</v>
      </c>
      <c r="M181" t="s">
        <v>80</v>
      </c>
      <c r="N181" t="s">
        <v>81</v>
      </c>
      <c r="O181" t="s">
        <v>82</v>
      </c>
      <c r="P181" t="s">
        <v>93</v>
      </c>
      <c r="Q181" t="s">
        <v>84</v>
      </c>
      <c r="R181">
        <v>34</v>
      </c>
      <c r="S181">
        <v>9562</v>
      </c>
      <c r="T181">
        <v>11347.66</v>
      </c>
      <c r="U181" s="1">
        <v>333.75470588235294</v>
      </c>
      <c r="V181" t="s">
        <v>91</v>
      </c>
      <c r="W181" s="43">
        <v>12</v>
      </c>
      <c r="X181">
        <v>110</v>
      </c>
      <c r="Y181">
        <v>0.18</v>
      </c>
      <c r="Z181">
        <v>300</v>
      </c>
      <c r="AA181">
        <v>1</v>
      </c>
      <c r="AB181">
        <v>7</v>
      </c>
      <c r="AC181">
        <v>7.0000000000000007E-2</v>
      </c>
      <c r="AD181">
        <v>35</v>
      </c>
      <c r="AE181">
        <v>10</v>
      </c>
      <c r="AF181">
        <v>0.1</v>
      </c>
      <c r="AG181" t="s">
        <v>86</v>
      </c>
      <c r="AH181">
        <v>97</v>
      </c>
      <c r="AI181" s="1">
        <v>3.22</v>
      </c>
      <c r="AJ181" s="1">
        <v>2.96</v>
      </c>
      <c r="AK181" s="1">
        <v>2.66</v>
      </c>
      <c r="AL181" s="1">
        <v>2.29</v>
      </c>
      <c r="AM181" s="1">
        <v>2.15</v>
      </c>
      <c r="AN181" s="1">
        <v>2.0699999999999998</v>
      </c>
      <c r="AO181" s="1">
        <v>2.0699999999999998</v>
      </c>
      <c r="AP181" s="1">
        <v>2.0699999999999998</v>
      </c>
      <c r="AQ181">
        <v>9</v>
      </c>
      <c r="AR181" t="s">
        <v>230</v>
      </c>
      <c r="AS181">
        <v>2</v>
      </c>
      <c r="AT181">
        <v>3</v>
      </c>
      <c r="AX181">
        <v>1</v>
      </c>
      <c r="AY181">
        <v>120</v>
      </c>
      <c r="AZ181">
        <v>0.06</v>
      </c>
      <c r="BA181" s="43" t="str">
        <f t="shared" si="4"/>
        <v>Normal</v>
      </c>
      <c r="BB181" s="46">
        <f>IFERROR((AD181+IF(Calculator_v2!$E$6*Y181&lt;X181,X181,IF(Calculator_v2!$E$6*Y181&gt;Z181,Z181,Calculator_v2!$E$6*Y181))+IF(Calculator_v2!$E$6*AC181&lt;AB181,AB181,Calculator_v2!$E$6*AC181)+IFERROR(_xlfn.LET(_xlpm.tarifa,IF(Calculator_v2!$E$6&lt;=$AI$1,AI181,IF(Calculator_v2!$E$6&lt;=$AK$1,AJ181,IF(Calculator_v2!$E$6&lt;=$AL$1,AK181,IF(Calculator_v2!$E$6&lt;=$AM$1,AL181,IF(Calculator_v2!$E$6&lt;=$AN$1,AM181,IF(Calculator_v2!$E$6&lt;=$AO$1,AN181,IF(Calculator_v2!$E$6&lt;=$AP$1,AO181,AP181))))))),_xlpm.resultado,_xlpm.tarifa*Calculator_v2!$E$6,IF(_xlpm.resultado&lt;AH181,AH181,_xlpm.resultado)),0)+IF(Calculator_v2!$E$6*AV181&lt;AU181,AU181,IF(Calculator_v2!$E$6*AV181&gt;AW181,AW181,Calculator_v2!$E$6*AV181))+IF(Calculator_v2!$E$6*AZ181&lt;=AY181,AY181,Calculator_v2!$E$6*AZ181)),0)</f>
        <v>1579.24</v>
      </c>
      <c r="BC181" s="47">
        <f>IFERROR(+BB181/Calculator_v2!$E$6,0)+IFERROR(VLOOKUP(A181,DHL_ADDER!$B$4:$E$26,4,0),0)</f>
        <v>4.2476351351351358</v>
      </c>
      <c r="BD181" s="48">
        <f t="shared" si="5"/>
        <v>3</v>
      </c>
      <c r="BE181" s="48">
        <f>+T[[#This Row],[Airport to Destination Transit Time Days]]+T[[#This Row],[Airport to Airport Transit Time Days]]+T[[#This Row],[Origin to Airport Transit Time in days]]</f>
        <v>11</v>
      </c>
    </row>
    <row r="182" spans="1:57" customFormat="1" x14ac:dyDescent="0.35">
      <c r="A182" t="str">
        <f>+T[[#This Row],[Provider_Name]]&amp;"_"&amp;T[[#This Row],[AXIS]]</f>
        <v>DHL_B_TR&gt;BR</v>
      </c>
      <c r="B182" t="s">
        <v>71</v>
      </c>
      <c r="C182" t="s">
        <v>231</v>
      </c>
      <c r="D182" t="s">
        <v>232</v>
      </c>
      <c r="E182" t="s">
        <v>233</v>
      </c>
      <c r="F182" t="s">
        <v>75</v>
      </c>
      <c r="G182" t="s">
        <v>126</v>
      </c>
      <c r="H182" t="s">
        <v>127</v>
      </c>
      <c r="I182" t="s">
        <v>128</v>
      </c>
      <c r="J182">
        <v>34771</v>
      </c>
      <c r="K182" t="s">
        <v>129</v>
      </c>
      <c r="L182" t="s">
        <v>79</v>
      </c>
      <c r="M182" t="s">
        <v>80</v>
      </c>
      <c r="N182" t="s">
        <v>81</v>
      </c>
      <c r="O182" t="s">
        <v>82</v>
      </c>
      <c r="P182" t="s">
        <v>83</v>
      </c>
      <c r="Q182" t="s">
        <v>84</v>
      </c>
      <c r="R182">
        <v>5</v>
      </c>
      <c r="S182">
        <v>3566</v>
      </c>
      <c r="T182">
        <v>3882.67</v>
      </c>
      <c r="U182" s="1">
        <v>776.53399999999999</v>
      </c>
      <c r="V182" t="s">
        <v>85</v>
      </c>
      <c r="W182" s="43">
        <v>12</v>
      </c>
      <c r="X182">
        <v>140</v>
      </c>
      <c r="Y182">
        <v>0.14000000000000001</v>
      </c>
      <c r="Z182">
        <v>370</v>
      </c>
      <c r="AA182">
        <v>1</v>
      </c>
      <c r="AB182">
        <v>80</v>
      </c>
      <c r="AC182">
        <v>0.03</v>
      </c>
      <c r="AD182">
        <v>0</v>
      </c>
      <c r="AE182">
        <v>0</v>
      </c>
      <c r="AF182">
        <v>0</v>
      </c>
      <c r="AG182" t="s">
        <v>86</v>
      </c>
      <c r="AH182">
        <v>430</v>
      </c>
      <c r="AI182" s="1">
        <v>10.6</v>
      </c>
      <c r="AJ182" s="1">
        <v>9.0499999999999989</v>
      </c>
      <c r="AK182" s="1">
        <v>7.3</v>
      </c>
      <c r="AL182" s="1">
        <v>6.8999999999999995</v>
      </c>
      <c r="AM182" s="1">
        <v>6.6</v>
      </c>
      <c r="AN182" s="1">
        <v>6.1999999999999993</v>
      </c>
      <c r="AO182" s="1">
        <v>6.1999999999999993</v>
      </c>
      <c r="AP182" s="1">
        <v>6.1999999999999993</v>
      </c>
      <c r="AQ182">
        <v>8</v>
      </c>
      <c r="AR182" t="s">
        <v>234</v>
      </c>
      <c r="AS182">
        <v>3</v>
      </c>
      <c r="AT182">
        <v>7</v>
      </c>
      <c r="AX182">
        <v>1</v>
      </c>
      <c r="AY182">
        <v>120</v>
      </c>
      <c r="AZ182">
        <v>0.06</v>
      </c>
      <c r="BA182" s="43" t="str">
        <f t="shared" si="4"/>
        <v>Economy</v>
      </c>
      <c r="BB182" s="46">
        <f>IFERROR((AD182+IF(Calculator_v2!$E$6*Y182&lt;X182,X182,IF(Calculator_v2!$E$6*Y182&gt;Z182,Z182,Calculator_v2!$E$6*Y182))+IF(Calculator_v2!$E$6*AC182&lt;AB182,AB182,Calculator_v2!$E$6*AC182)+IFERROR(_xlfn.LET(_xlpm.tarifa,IF(Calculator_v2!$E$6&lt;=$AI$1,AI182,IF(Calculator_v2!$E$6&lt;=$AK$1,AJ182,IF(Calculator_v2!$E$6&lt;=$AL$1,AK182,IF(Calculator_v2!$E$6&lt;=$AM$1,AL182,IF(Calculator_v2!$E$6&lt;=$AN$1,AM182,IF(Calculator_v2!$E$6&lt;=$AO$1,AN182,IF(Calculator_v2!$E$6&lt;=$AP$1,AO182,AP182))))))),_xlpm.resultado,_xlpm.tarifa*Calculator_v2!$E$6,IF(_xlpm.resultado&lt;AH182,AH182,_xlpm.resultado)),0)+IF(Calculator_v2!$E$6*AV182&lt;AU182,AU182,IF(Calculator_v2!$E$6*AV182&gt;AW182,AW182,Calculator_v2!$E$6*AV182))+IF(Calculator_v2!$E$6*AZ182&lt;=AY182,AY182,Calculator_v2!$E$6*AZ182)),0)</f>
        <v>4247.2</v>
      </c>
      <c r="BC182" s="47">
        <f>IFERROR(+BB182/Calculator_v2!$E$6,0)+IFERROR(VLOOKUP(A182,DHL_ADDER!$B$4:$E$26,4,0),0)</f>
        <v>8.2243243243243249</v>
      </c>
      <c r="BD182" s="48">
        <f t="shared" si="5"/>
        <v>7</v>
      </c>
      <c r="BE182" s="48">
        <f>+T[[#This Row],[Airport to Destination Transit Time Days]]+T[[#This Row],[Airport to Airport Transit Time Days]]+T[[#This Row],[Origin to Airport Transit Time in days]]</f>
        <v>10</v>
      </c>
    </row>
    <row r="183" spans="1:57" customFormat="1" x14ac:dyDescent="0.35">
      <c r="A183" t="str">
        <f>+T[[#This Row],[Provider_Name]]&amp;"_"&amp;T[[#This Row],[AXIS]]</f>
        <v>DHL_B_TR&gt;BR</v>
      </c>
      <c r="B183" t="s">
        <v>71</v>
      </c>
      <c r="C183" t="s">
        <v>231</v>
      </c>
      <c r="D183" t="s">
        <v>232</v>
      </c>
      <c r="E183" t="s">
        <v>233</v>
      </c>
      <c r="F183" t="s">
        <v>75</v>
      </c>
      <c r="G183" t="s">
        <v>126</v>
      </c>
      <c r="H183" t="s">
        <v>127</v>
      </c>
      <c r="I183" t="s">
        <v>128</v>
      </c>
      <c r="J183">
        <v>34771</v>
      </c>
      <c r="K183" t="s">
        <v>129</v>
      </c>
      <c r="L183" t="s">
        <v>79</v>
      </c>
      <c r="M183" t="s">
        <v>80</v>
      </c>
      <c r="N183" t="s">
        <v>81</v>
      </c>
      <c r="O183" t="s">
        <v>82</v>
      </c>
      <c r="P183" t="s">
        <v>89</v>
      </c>
      <c r="Q183" t="s">
        <v>84</v>
      </c>
      <c r="R183">
        <v>5</v>
      </c>
      <c r="S183">
        <v>3566</v>
      </c>
      <c r="T183">
        <v>3882.67</v>
      </c>
      <c r="U183" s="1">
        <v>776.53399999999999</v>
      </c>
      <c r="V183" t="s">
        <v>85</v>
      </c>
      <c r="W183" s="43">
        <v>10</v>
      </c>
      <c r="X183">
        <v>140</v>
      </c>
      <c r="Y183">
        <v>0.14000000000000001</v>
      </c>
      <c r="Z183">
        <v>370</v>
      </c>
      <c r="AA183">
        <v>1</v>
      </c>
      <c r="AB183">
        <v>80</v>
      </c>
      <c r="AC183">
        <v>0.03</v>
      </c>
      <c r="AD183">
        <v>0</v>
      </c>
      <c r="AE183">
        <v>0</v>
      </c>
      <c r="AF183">
        <v>0</v>
      </c>
      <c r="AG183" t="s">
        <v>86</v>
      </c>
      <c r="AH183">
        <v>430</v>
      </c>
      <c r="AI183" s="1">
        <v>12.9</v>
      </c>
      <c r="AJ183" s="1">
        <v>11.65</v>
      </c>
      <c r="AK183" s="1">
        <v>9.2999999999999989</v>
      </c>
      <c r="AL183" s="1">
        <v>8.75</v>
      </c>
      <c r="AM183" s="1">
        <v>8.35</v>
      </c>
      <c r="AN183" s="1">
        <v>7.9499999999999993</v>
      </c>
      <c r="AO183" s="1">
        <v>7.9499999999999993</v>
      </c>
      <c r="AP183" s="1">
        <v>7.9499999999999993</v>
      </c>
      <c r="AQ183">
        <v>8</v>
      </c>
      <c r="AR183" t="s">
        <v>234</v>
      </c>
      <c r="AS183">
        <v>3</v>
      </c>
      <c r="AT183">
        <v>7</v>
      </c>
      <c r="AX183">
        <v>1</v>
      </c>
      <c r="AY183">
        <v>120</v>
      </c>
      <c r="AZ183">
        <v>0.06</v>
      </c>
      <c r="BA183" s="43" t="str">
        <f t="shared" si="4"/>
        <v>Economy</v>
      </c>
      <c r="BB183" s="46">
        <f>IFERROR((AD183+IF(Calculator_v2!$E$6*Y183&lt;X183,X183,IF(Calculator_v2!$E$6*Y183&gt;Z183,Z183,Calculator_v2!$E$6*Y183))+IF(Calculator_v2!$E$6*AC183&lt;AB183,AB183,Calculator_v2!$E$6*AC183)+IFERROR(_xlfn.LET(_xlpm.tarifa,IF(Calculator_v2!$E$6&lt;=$AI$1,AI183,IF(Calculator_v2!$E$6&lt;=$AK$1,AJ183,IF(Calculator_v2!$E$6&lt;=$AL$1,AK183,IF(Calculator_v2!$E$6&lt;=$AM$1,AL183,IF(Calculator_v2!$E$6&lt;=$AN$1,AM183,IF(Calculator_v2!$E$6&lt;=$AO$1,AN183,IF(Calculator_v2!$E$6&lt;=$AP$1,AO183,AP183))))))),_xlpm.resultado,_xlpm.tarifa*Calculator_v2!$E$6,IF(_xlpm.resultado&lt;AH183,AH183,_xlpm.resultado)),0)+IF(Calculator_v2!$E$6*AV183&lt;AU183,AU183,IF(Calculator_v2!$E$6*AV183&gt;AW183,AW183,Calculator_v2!$E$6*AV183))+IF(Calculator_v2!$E$6*AZ183&lt;=AY183,AY183,Calculator_v2!$E$6*AZ183)),0)</f>
        <v>5283.2</v>
      </c>
      <c r="BC183" s="47">
        <f>IFERROR(+BB183/Calculator_v2!$E$6,0)+IFERROR(VLOOKUP(A183,DHL_ADDER!$B$4:$E$26,4,0),0)</f>
        <v>9.9743243243243249</v>
      </c>
      <c r="BD183" s="48">
        <f t="shared" si="5"/>
        <v>7</v>
      </c>
      <c r="BE183" s="48">
        <f>+T[[#This Row],[Airport to Destination Transit Time Days]]+T[[#This Row],[Airport to Airport Transit Time Days]]+T[[#This Row],[Origin to Airport Transit Time in days]]</f>
        <v>10</v>
      </c>
    </row>
    <row r="184" spans="1:57" customFormat="1" x14ac:dyDescent="0.35">
      <c r="A184" t="str">
        <f>+T[[#This Row],[Provider_Name]]&amp;"_"&amp;T[[#This Row],[AXIS]]</f>
        <v>DHL_B_TR&gt;BR</v>
      </c>
      <c r="B184" t="s">
        <v>71</v>
      </c>
      <c r="C184" t="s">
        <v>231</v>
      </c>
      <c r="D184" t="s">
        <v>232</v>
      </c>
      <c r="E184" t="s">
        <v>233</v>
      </c>
      <c r="F184" t="s">
        <v>75</v>
      </c>
      <c r="G184" t="s">
        <v>126</v>
      </c>
      <c r="H184" t="s">
        <v>127</v>
      </c>
      <c r="I184" t="s">
        <v>128</v>
      </c>
      <c r="J184">
        <v>34771</v>
      </c>
      <c r="K184" t="s">
        <v>129</v>
      </c>
      <c r="L184" t="s">
        <v>79</v>
      </c>
      <c r="M184" t="s">
        <v>80</v>
      </c>
      <c r="N184" t="s">
        <v>81</v>
      </c>
      <c r="O184" t="s">
        <v>82</v>
      </c>
      <c r="P184" t="s">
        <v>83</v>
      </c>
      <c r="Q184" t="s">
        <v>84</v>
      </c>
      <c r="R184">
        <v>5</v>
      </c>
      <c r="S184">
        <v>3566</v>
      </c>
      <c r="T184">
        <v>3882.67</v>
      </c>
      <c r="U184" s="1">
        <v>776.53399999999999</v>
      </c>
      <c r="V184" t="s">
        <v>90</v>
      </c>
      <c r="W184" s="43">
        <v>5.5</v>
      </c>
      <c r="X184">
        <v>315</v>
      </c>
      <c r="Y184">
        <v>0.31</v>
      </c>
      <c r="Z184">
        <v>590</v>
      </c>
      <c r="AA184">
        <v>0.5</v>
      </c>
      <c r="AB184">
        <v>80</v>
      </c>
      <c r="AC184">
        <v>0.03</v>
      </c>
      <c r="AD184">
        <v>0</v>
      </c>
      <c r="AE184">
        <v>0</v>
      </c>
      <c r="AF184">
        <v>0</v>
      </c>
      <c r="AG184" t="s">
        <v>86</v>
      </c>
      <c r="AH184">
        <v>620</v>
      </c>
      <c r="AI184" s="1">
        <v>14.299999999999999</v>
      </c>
      <c r="AJ184" s="1">
        <v>13</v>
      </c>
      <c r="AK184" s="1">
        <v>10.9</v>
      </c>
      <c r="AL184" s="1">
        <v>10.5</v>
      </c>
      <c r="AM184" s="1">
        <v>10.199999999999999</v>
      </c>
      <c r="AN184" s="1">
        <v>9.85</v>
      </c>
      <c r="AO184" s="1">
        <v>9.85</v>
      </c>
      <c r="AP184" s="1">
        <v>9.85</v>
      </c>
      <c r="AQ184">
        <v>2</v>
      </c>
      <c r="AR184" t="s">
        <v>234</v>
      </c>
      <c r="AS184">
        <v>1</v>
      </c>
      <c r="AT184">
        <v>7</v>
      </c>
      <c r="AX184">
        <v>1</v>
      </c>
      <c r="AY184">
        <v>120</v>
      </c>
      <c r="AZ184">
        <v>0.06</v>
      </c>
      <c r="BA184" s="43" t="str">
        <f t="shared" si="4"/>
        <v>Express</v>
      </c>
      <c r="BB184" s="46">
        <f>IFERROR((AD184+IF(Calculator_v2!$E$6*Y184&lt;X184,X184,IF(Calculator_v2!$E$6*Y184&gt;Z184,Z184,Calculator_v2!$E$6*Y184))+IF(Calculator_v2!$E$6*AC184&lt;AB184,AB184,Calculator_v2!$E$6*AC184)+IFERROR(_xlfn.LET(_xlpm.tarifa,IF(Calculator_v2!$E$6&lt;=$AI$1,AI184,IF(Calculator_v2!$E$6&lt;=$AK$1,AJ184,IF(Calculator_v2!$E$6&lt;=$AL$1,AK184,IF(Calculator_v2!$E$6&lt;=$AM$1,AL184,IF(Calculator_v2!$E$6&lt;=$AN$1,AM184,IF(Calculator_v2!$E$6&lt;=$AO$1,AN184,IF(Calculator_v2!$E$6&lt;=$AP$1,AO184,AP184))))))),_xlpm.resultado,_xlpm.tarifa*Calculator_v2!$E$6,IF(_xlpm.resultado&lt;AH184,AH184,_xlpm.resultado)),0)+IF(Calculator_v2!$E$6*AV184&lt;AU184,AU184,IF(Calculator_v2!$E$6*AV184&gt;AW184,AW184,Calculator_v2!$E$6*AV184))+IF(Calculator_v2!$E$6*AZ184&lt;=AY184,AY184,Calculator_v2!$E$6*AZ184)),0)</f>
        <v>6553.4</v>
      </c>
      <c r="BC184" s="47">
        <f>IFERROR(+BB184/Calculator_v2!$E$6,0)+IFERROR(VLOOKUP(A184,DHL_ADDER!$B$4:$E$26,4,0),0)</f>
        <v>12.119932432432433</v>
      </c>
      <c r="BD184" s="48">
        <f t="shared" si="5"/>
        <v>7</v>
      </c>
      <c r="BE184" s="48">
        <f>+T[[#This Row],[Airport to Destination Transit Time Days]]+T[[#This Row],[Airport to Airport Transit Time Days]]+T[[#This Row],[Origin to Airport Transit Time in days]]</f>
        <v>3.5</v>
      </c>
    </row>
    <row r="185" spans="1:57" customFormat="1" x14ac:dyDescent="0.35">
      <c r="A185" t="str">
        <f>+T[[#This Row],[Provider_Name]]&amp;"_"&amp;T[[#This Row],[AXIS]]</f>
        <v>DHL_B_TR&gt;BR</v>
      </c>
      <c r="B185" t="s">
        <v>71</v>
      </c>
      <c r="C185" t="s">
        <v>231</v>
      </c>
      <c r="D185" t="s">
        <v>232</v>
      </c>
      <c r="E185" t="s">
        <v>233</v>
      </c>
      <c r="F185" t="s">
        <v>75</v>
      </c>
      <c r="G185" t="s">
        <v>126</v>
      </c>
      <c r="H185" t="s">
        <v>127</v>
      </c>
      <c r="I185" t="s">
        <v>128</v>
      </c>
      <c r="J185">
        <v>34771</v>
      </c>
      <c r="K185" t="s">
        <v>129</v>
      </c>
      <c r="L185" t="s">
        <v>79</v>
      </c>
      <c r="M185" t="s">
        <v>80</v>
      </c>
      <c r="N185" t="s">
        <v>81</v>
      </c>
      <c r="O185" t="s">
        <v>82</v>
      </c>
      <c r="P185" t="s">
        <v>89</v>
      </c>
      <c r="Q185" t="s">
        <v>84</v>
      </c>
      <c r="R185">
        <v>5</v>
      </c>
      <c r="S185">
        <v>3566</v>
      </c>
      <c r="T185">
        <v>3882.67</v>
      </c>
      <c r="U185" s="1">
        <v>776.53399999999999</v>
      </c>
      <c r="V185" t="s">
        <v>90</v>
      </c>
      <c r="W185" s="43">
        <v>3.5</v>
      </c>
      <c r="X185">
        <v>315</v>
      </c>
      <c r="Y185">
        <v>0.31</v>
      </c>
      <c r="Z185">
        <v>590</v>
      </c>
      <c r="AA185">
        <v>0.5</v>
      </c>
      <c r="AB185">
        <v>80</v>
      </c>
      <c r="AC185">
        <v>0.03</v>
      </c>
      <c r="AD185">
        <v>0</v>
      </c>
      <c r="AE185">
        <v>0</v>
      </c>
      <c r="AF185">
        <v>0</v>
      </c>
      <c r="AG185" t="s">
        <v>86</v>
      </c>
      <c r="AH185">
        <v>620</v>
      </c>
      <c r="AI185" s="1">
        <v>16.3</v>
      </c>
      <c r="AJ185" s="1">
        <v>15.6</v>
      </c>
      <c r="AK185" s="1">
        <v>12.799999999999999</v>
      </c>
      <c r="AL185" s="1">
        <v>12.4</v>
      </c>
      <c r="AM185" s="1">
        <v>11.95</v>
      </c>
      <c r="AN185" s="1">
        <v>11.549999999999999</v>
      </c>
      <c r="AO185" s="1">
        <v>11.549999999999999</v>
      </c>
      <c r="AP185" s="1">
        <v>11.549999999999999</v>
      </c>
      <c r="AQ185">
        <v>2</v>
      </c>
      <c r="AR185" t="s">
        <v>234</v>
      </c>
      <c r="AS185">
        <v>1</v>
      </c>
      <c r="AT185">
        <v>7</v>
      </c>
      <c r="AX185">
        <v>1</v>
      </c>
      <c r="AY185">
        <v>120</v>
      </c>
      <c r="AZ185">
        <v>0.06</v>
      </c>
      <c r="BA185" s="43" t="str">
        <f t="shared" si="4"/>
        <v>Express</v>
      </c>
      <c r="BB185" s="46">
        <f>IFERROR((AD185+IF(Calculator_v2!$E$6*Y185&lt;X185,X185,IF(Calculator_v2!$E$6*Y185&gt;Z185,Z185,Calculator_v2!$E$6*Y185))+IF(Calculator_v2!$E$6*AC185&lt;AB185,AB185,Calculator_v2!$E$6*AC185)+IFERROR(_xlfn.LET(_xlpm.tarifa,IF(Calculator_v2!$E$6&lt;=$AI$1,AI185,IF(Calculator_v2!$E$6&lt;=$AK$1,AJ185,IF(Calculator_v2!$E$6&lt;=$AL$1,AK185,IF(Calculator_v2!$E$6&lt;=$AM$1,AL185,IF(Calculator_v2!$E$6&lt;=$AN$1,AM185,IF(Calculator_v2!$E$6&lt;=$AO$1,AN185,IF(Calculator_v2!$E$6&lt;=$AP$1,AO185,AP185))))))),_xlpm.resultado,_xlpm.tarifa*Calculator_v2!$E$6,IF(_xlpm.resultado&lt;AH185,AH185,_xlpm.resultado)),0)+IF(Calculator_v2!$E$6*AV185&lt;AU185,AU185,IF(Calculator_v2!$E$6*AV185&gt;AW185,AW185,Calculator_v2!$E$6*AV185))+IF(Calculator_v2!$E$6*AZ185&lt;=AY185,AY185,Calculator_v2!$E$6*AZ185)),0)</f>
        <v>7589.4</v>
      </c>
      <c r="BC185" s="47">
        <f>IFERROR(+BB185/Calculator_v2!$E$6,0)+IFERROR(VLOOKUP(A185,DHL_ADDER!$B$4:$E$26,4,0),0)</f>
        <v>13.869932432432433</v>
      </c>
      <c r="BD185" s="48">
        <f t="shared" si="5"/>
        <v>7</v>
      </c>
      <c r="BE185" s="48">
        <f>+T[[#This Row],[Airport to Destination Transit Time Days]]+T[[#This Row],[Airport to Airport Transit Time Days]]+T[[#This Row],[Origin to Airport Transit Time in days]]</f>
        <v>3.5</v>
      </c>
    </row>
    <row r="186" spans="1:57" customFormat="1" x14ac:dyDescent="0.35">
      <c r="A186" t="str">
        <f>+T[[#This Row],[Provider_Name]]&amp;"_"&amp;T[[#This Row],[AXIS]]</f>
        <v>DHL_B_TR&gt;BR</v>
      </c>
      <c r="B186" t="s">
        <v>71</v>
      </c>
      <c r="C186" t="s">
        <v>231</v>
      </c>
      <c r="D186" t="s">
        <v>232</v>
      </c>
      <c r="E186" t="s">
        <v>233</v>
      </c>
      <c r="F186" t="s">
        <v>75</v>
      </c>
      <c r="G186" t="s">
        <v>126</v>
      </c>
      <c r="H186" t="s">
        <v>127</v>
      </c>
      <c r="I186" t="s">
        <v>128</v>
      </c>
      <c r="J186">
        <v>34771</v>
      </c>
      <c r="K186" t="s">
        <v>129</v>
      </c>
      <c r="L186" t="s">
        <v>79</v>
      </c>
      <c r="M186" t="s">
        <v>80</v>
      </c>
      <c r="N186" t="s">
        <v>81</v>
      </c>
      <c r="O186" t="s">
        <v>82</v>
      </c>
      <c r="P186" t="s">
        <v>83</v>
      </c>
      <c r="Q186" t="s">
        <v>84</v>
      </c>
      <c r="R186">
        <v>5</v>
      </c>
      <c r="S186">
        <v>3566</v>
      </c>
      <c r="T186">
        <v>3882.67</v>
      </c>
      <c r="U186" s="1">
        <v>776.53399999999999</v>
      </c>
      <c r="V186" t="s">
        <v>91</v>
      </c>
      <c r="W186" s="43">
        <v>10</v>
      </c>
      <c r="X186">
        <v>140</v>
      </c>
      <c r="Y186">
        <v>0.14000000000000001</v>
      </c>
      <c r="Z186">
        <v>370</v>
      </c>
      <c r="AA186">
        <v>1</v>
      </c>
      <c r="AB186">
        <v>80</v>
      </c>
      <c r="AC186">
        <v>0.03</v>
      </c>
      <c r="AD186">
        <v>0</v>
      </c>
      <c r="AE186">
        <v>0</v>
      </c>
      <c r="AF186">
        <v>0</v>
      </c>
      <c r="AG186" t="s">
        <v>86</v>
      </c>
      <c r="AH186">
        <v>540</v>
      </c>
      <c r="AI186" s="1">
        <v>13.7</v>
      </c>
      <c r="AJ186" s="1">
        <v>11.049999999999999</v>
      </c>
      <c r="AK186" s="1">
        <v>9.2999999999999989</v>
      </c>
      <c r="AL186" s="1">
        <v>8.9</v>
      </c>
      <c r="AM186" s="1">
        <v>8.6</v>
      </c>
      <c r="AN186" s="1">
        <v>8.1999999999999993</v>
      </c>
      <c r="AO186" s="1">
        <v>8.1999999999999993</v>
      </c>
      <c r="AP186" s="1">
        <v>8.1999999999999993</v>
      </c>
      <c r="AQ186">
        <v>6</v>
      </c>
      <c r="AR186" t="s">
        <v>234</v>
      </c>
      <c r="AS186">
        <v>1</v>
      </c>
      <c r="AT186">
        <v>7</v>
      </c>
      <c r="AX186">
        <v>1</v>
      </c>
      <c r="AY186">
        <v>120</v>
      </c>
      <c r="AZ186">
        <v>0.06</v>
      </c>
      <c r="BA186" s="43" t="str">
        <f t="shared" si="4"/>
        <v>Normal</v>
      </c>
      <c r="BB186" s="46">
        <f>IFERROR((AD186+IF(Calculator_v2!$E$6*Y186&lt;X186,X186,IF(Calculator_v2!$E$6*Y186&gt;Z186,Z186,Calculator_v2!$E$6*Y186))+IF(Calculator_v2!$E$6*AC186&lt;AB186,AB186,Calculator_v2!$E$6*AC186)+IFERROR(_xlfn.LET(_xlpm.tarifa,IF(Calculator_v2!$E$6&lt;=$AI$1,AI186,IF(Calculator_v2!$E$6&lt;=$AK$1,AJ186,IF(Calculator_v2!$E$6&lt;=$AL$1,AK186,IF(Calculator_v2!$E$6&lt;=$AM$1,AL186,IF(Calculator_v2!$E$6&lt;=$AN$1,AM186,IF(Calculator_v2!$E$6&lt;=$AO$1,AN186,IF(Calculator_v2!$E$6&lt;=$AP$1,AO186,AP186))))))),_xlpm.resultado,_xlpm.tarifa*Calculator_v2!$E$6,IF(_xlpm.resultado&lt;AH186,AH186,_xlpm.resultado)),0)+IF(Calculator_v2!$E$6*AV186&lt;AU186,AU186,IF(Calculator_v2!$E$6*AV186&gt;AW186,AW186,Calculator_v2!$E$6*AV186))+IF(Calculator_v2!$E$6*AZ186&lt;=AY186,AY186,Calculator_v2!$E$6*AZ186)),0)</f>
        <v>5431.2</v>
      </c>
      <c r="BC186" s="47">
        <f>IFERROR(+BB186/Calculator_v2!$E$6,0)+IFERROR(VLOOKUP(A186,DHL_ADDER!$B$4:$E$26,4,0),0)</f>
        <v>10.224324324324325</v>
      </c>
      <c r="BD186" s="48">
        <f t="shared" si="5"/>
        <v>7</v>
      </c>
      <c r="BE186" s="48">
        <f>+T[[#This Row],[Airport to Destination Transit Time Days]]+T[[#This Row],[Airport to Airport Transit Time Days]]+T[[#This Row],[Origin to Airport Transit Time in days]]</f>
        <v>8</v>
      </c>
    </row>
    <row r="187" spans="1:57" customFormat="1" x14ac:dyDescent="0.35">
      <c r="A187" t="str">
        <f>+T[[#This Row],[Provider_Name]]&amp;"_"&amp;T[[#This Row],[AXIS]]</f>
        <v>DHL_B_TR&gt;BR</v>
      </c>
      <c r="B187" t="s">
        <v>71</v>
      </c>
      <c r="C187" t="s">
        <v>231</v>
      </c>
      <c r="D187" t="s">
        <v>232</v>
      </c>
      <c r="E187" t="s">
        <v>233</v>
      </c>
      <c r="F187" t="s">
        <v>75</v>
      </c>
      <c r="G187" t="s">
        <v>126</v>
      </c>
      <c r="H187" t="s">
        <v>127</v>
      </c>
      <c r="I187" t="s">
        <v>128</v>
      </c>
      <c r="J187">
        <v>34771</v>
      </c>
      <c r="K187" t="s">
        <v>129</v>
      </c>
      <c r="L187" t="s">
        <v>79</v>
      </c>
      <c r="M187" t="s">
        <v>80</v>
      </c>
      <c r="N187" t="s">
        <v>81</v>
      </c>
      <c r="O187" t="s">
        <v>82</v>
      </c>
      <c r="P187" t="s">
        <v>89</v>
      </c>
      <c r="Q187" t="s">
        <v>84</v>
      </c>
      <c r="R187">
        <v>5</v>
      </c>
      <c r="S187">
        <v>3566</v>
      </c>
      <c r="T187">
        <v>3882.67</v>
      </c>
      <c r="U187" s="1">
        <v>776.53399999999999</v>
      </c>
      <c r="V187" t="s">
        <v>91</v>
      </c>
      <c r="W187" s="43">
        <v>8</v>
      </c>
      <c r="X187">
        <v>140</v>
      </c>
      <c r="Y187">
        <v>0.14000000000000001</v>
      </c>
      <c r="Z187">
        <v>370</v>
      </c>
      <c r="AA187">
        <v>1</v>
      </c>
      <c r="AB187">
        <v>80</v>
      </c>
      <c r="AC187">
        <v>0.03</v>
      </c>
      <c r="AD187">
        <v>0</v>
      </c>
      <c r="AE187">
        <v>0</v>
      </c>
      <c r="AF187">
        <v>0</v>
      </c>
      <c r="AG187" t="s">
        <v>86</v>
      </c>
      <c r="AH187">
        <v>540</v>
      </c>
      <c r="AI187" s="1">
        <v>14.5</v>
      </c>
      <c r="AJ187" s="1">
        <v>13.549999999999999</v>
      </c>
      <c r="AK187" s="1">
        <v>11.15</v>
      </c>
      <c r="AL187" s="1">
        <v>10.75</v>
      </c>
      <c r="AM187" s="1">
        <v>10.33</v>
      </c>
      <c r="AN187" s="1">
        <v>9.9499999999999993</v>
      </c>
      <c r="AO187" s="1">
        <v>9.9499999999999993</v>
      </c>
      <c r="AP187" s="1">
        <v>9.9499999999999993</v>
      </c>
      <c r="AQ187">
        <v>6</v>
      </c>
      <c r="AR187" t="s">
        <v>234</v>
      </c>
      <c r="AS187">
        <v>1</v>
      </c>
      <c r="AT187">
        <v>7</v>
      </c>
      <c r="AX187">
        <v>1</v>
      </c>
      <c r="AY187">
        <v>120</v>
      </c>
      <c r="AZ187">
        <v>0.06</v>
      </c>
      <c r="BA187" s="43" t="str">
        <f t="shared" si="4"/>
        <v>Normal</v>
      </c>
      <c r="BB187" s="46">
        <f>IFERROR((AD187+IF(Calculator_v2!$E$6*Y187&lt;X187,X187,IF(Calculator_v2!$E$6*Y187&gt;Z187,Z187,Calculator_v2!$E$6*Y187))+IF(Calculator_v2!$E$6*AC187&lt;AB187,AB187,Calculator_v2!$E$6*AC187)+IFERROR(_xlfn.LET(_xlpm.tarifa,IF(Calculator_v2!$E$6&lt;=$AI$1,AI187,IF(Calculator_v2!$E$6&lt;=$AK$1,AJ187,IF(Calculator_v2!$E$6&lt;=$AL$1,AK187,IF(Calculator_v2!$E$6&lt;=$AM$1,AL187,IF(Calculator_v2!$E$6&lt;=$AN$1,AM187,IF(Calculator_v2!$E$6&lt;=$AO$1,AN187,IF(Calculator_v2!$E$6&lt;=$AP$1,AO187,AP187))))))),_xlpm.resultado,_xlpm.tarifa*Calculator_v2!$E$6,IF(_xlpm.resultado&lt;AH187,AH187,_xlpm.resultado)),0)+IF(Calculator_v2!$E$6*AV187&lt;AU187,AU187,IF(Calculator_v2!$E$6*AV187&gt;AW187,AW187,Calculator_v2!$E$6*AV187))+IF(Calculator_v2!$E$6*AZ187&lt;=AY187,AY187,Calculator_v2!$E$6*AZ187)),0)</f>
        <v>6455.36</v>
      </c>
      <c r="BC187" s="47">
        <f>IFERROR(+BB187/Calculator_v2!$E$6,0)+IFERROR(VLOOKUP(A187,DHL_ADDER!$B$4:$E$26,4,0),0)</f>
        <v>11.954324324324325</v>
      </c>
      <c r="BD187" s="48">
        <f t="shared" si="5"/>
        <v>7</v>
      </c>
      <c r="BE187" s="48">
        <f>+T[[#This Row],[Airport to Destination Transit Time Days]]+T[[#This Row],[Airport to Airport Transit Time Days]]+T[[#This Row],[Origin to Airport Transit Time in days]]</f>
        <v>8</v>
      </c>
    </row>
    <row r="188" spans="1:57" customFormat="1" x14ac:dyDescent="0.35">
      <c r="A188" t="str">
        <f>+T[[#This Row],[Provider_Name]]&amp;"_"&amp;T[[#This Row],[AXIS]]</f>
        <v>DHL_B_TR&gt;BR</v>
      </c>
      <c r="B188" t="s">
        <v>71</v>
      </c>
      <c r="C188" t="s">
        <v>231</v>
      </c>
      <c r="D188" t="s">
        <v>232</v>
      </c>
      <c r="E188" t="s">
        <v>233</v>
      </c>
      <c r="F188" t="s">
        <v>92</v>
      </c>
      <c r="G188" t="s">
        <v>126</v>
      </c>
      <c r="H188" t="s">
        <v>127</v>
      </c>
      <c r="I188" t="s">
        <v>128</v>
      </c>
      <c r="J188">
        <v>34771</v>
      </c>
      <c r="K188" t="s">
        <v>129</v>
      </c>
      <c r="L188" t="s">
        <v>79</v>
      </c>
      <c r="M188" t="s">
        <v>80</v>
      </c>
      <c r="N188" t="s">
        <v>81</v>
      </c>
      <c r="O188" t="s">
        <v>82</v>
      </c>
      <c r="P188" t="s">
        <v>93</v>
      </c>
      <c r="Q188" t="s">
        <v>84</v>
      </c>
      <c r="R188">
        <v>5</v>
      </c>
      <c r="S188">
        <v>3566</v>
      </c>
      <c r="T188">
        <v>3882.67</v>
      </c>
      <c r="U188" s="1">
        <v>776.53399999999999</v>
      </c>
      <c r="V188" t="s">
        <v>85</v>
      </c>
      <c r="W188" s="43">
        <v>12</v>
      </c>
      <c r="X188" s="44">
        <v>140</v>
      </c>
      <c r="Y188" s="44">
        <v>0.14000000000000001</v>
      </c>
      <c r="Z188" s="44">
        <v>370</v>
      </c>
      <c r="AA188">
        <v>1</v>
      </c>
      <c r="AB188" s="45">
        <v>80</v>
      </c>
      <c r="AC188" s="45">
        <v>0.03</v>
      </c>
      <c r="AD188" s="45">
        <v>0</v>
      </c>
      <c r="AE188">
        <v>0</v>
      </c>
      <c r="AF188">
        <v>0</v>
      </c>
      <c r="AG188" t="s">
        <v>86</v>
      </c>
      <c r="AH188" s="44">
        <v>340</v>
      </c>
      <c r="AI188" s="44">
        <v>9.9</v>
      </c>
      <c r="AJ188" s="44">
        <v>8.6</v>
      </c>
      <c r="AK188" s="44">
        <v>5.5</v>
      </c>
      <c r="AL188" s="44">
        <v>5.1999999999999993</v>
      </c>
      <c r="AM188" s="44">
        <v>4.5999999999999996</v>
      </c>
      <c r="AN188" s="44">
        <v>4.3</v>
      </c>
      <c r="AO188" s="44">
        <v>4.3</v>
      </c>
      <c r="AP188" s="44">
        <v>4.3</v>
      </c>
      <c r="AQ188">
        <v>8</v>
      </c>
      <c r="AR188" t="s">
        <v>234</v>
      </c>
      <c r="AS188">
        <v>3</v>
      </c>
      <c r="AT188">
        <v>7</v>
      </c>
      <c r="AU188" s="45"/>
      <c r="AV188" s="45"/>
      <c r="AW188" s="45"/>
      <c r="AX188">
        <v>1</v>
      </c>
      <c r="AY188">
        <v>120</v>
      </c>
      <c r="AZ188">
        <v>0.06</v>
      </c>
      <c r="BA188" s="43" t="str">
        <f t="shared" si="4"/>
        <v>Economy</v>
      </c>
      <c r="BB188" s="46">
        <f>IFERROR((AD188+IF(Calculator_v2!$E$6*Y188&lt;X188,X188,IF(Calculator_v2!$E$6*Y188&gt;Z188,Z188,Calculator_v2!$E$6*Y188))+IF(Calculator_v2!$E$6*AC188&lt;AB188,AB188,Calculator_v2!$E$6*AC188)+IFERROR(_xlfn.LET(_xlpm.tarifa,IF(Calculator_v2!$E$6&lt;=$AI$1,AI188,IF(Calculator_v2!$E$6&lt;=$AK$1,AJ188,IF(Calculator_v2!$E$6&lt;=$AL$1,AK188,IF(Calculator_v2!$E$6&lt;=$AM$1,AL188,IF(Calculator_v2!$E$6&lt;=$AN$1,AM188,IF(Calculator_v2!$E$6&lt;=$AO$1,AN188,IF(Calculator_v2!$E$6&lt;=$AP$1,AO188,AP188))))))),_xlpm.resultado,_xlpm.tarifa*Calculator_v2!$E$6,IF(_xlpm.resultado&lt;AH188,AH188,_xlpm.resultado)),0)+IF(Calculator_v2!$E$6*AV188&lt;AU188,AU188,IF(Calculator_v2!$E$6*AV188&gt;AW188,AW188,Calculator_v2!$E$6*AV188))+IF(Calculator_v2!$E$6*AZ188&lt;=AY188,AY188,Calculator_v2!$E$6*AZ188)),0)</f>
        <v>3063.2</v>
      </c>
      <c r="BC188" s="47">
        <f>IFERROR(+BB188/Calculator_v2!$E$6,0)+IFERROR(VLOOKUP(A188,DHL_ADDER!$B$4:$E$26,4,0),0)</f>
        <v>6.224324324324324</v>
      </c>
      <c r="BD188" s="48">
        <f t="shared" si="5"/>
        <v>7</v>
      </c>
      <c r="BE188" s="48">
        <f>+T[[#This Row],[Airport to Destination Transit Time Days]]+T[[#This Row],[Airport to Airport Transit Time Days]]+T[[#This Row],[Origin to Airport Transit Time in days]]</f>
        <v>10</v>
      </c>
    </row>
    <row r="189" spans="1:57" customFormat="1" x14ac:dyDescent="0.35">
      <c r="A189" t="str">
        <f>+T[[#This Row],[Provider_Name]]&amp;"_"&amp;T[[#This Row],[AXIS]]</f>
        <v>DHL_B_TR&gt;BR</v>
      </c>
      <c r="B189" t="s">
        <v>71</v>
      </c>
      <c r="C189" t="s">
        <v>231</v>
      </c>
      <c r="D189" t="s">
        <v>232</v>
      </c>
      <c r="E189" t="s">
        <v>233</v>
      </c>
      <c r="F189" t="s">
        <v>92</v>
      </c>
      <c r="G189" t="s">
        <v>126</v>
      </c>
      <c r="H189" t="s">
        <v>127</v>
      </c>
      <c r="I189" t="s">
        <v>128</v>
      </c>
      <c r="J189">
        <v>34771</v>
      </c>
      <c r="K189" t="s">
        <v>129</v>
      </c>
      <c r="L189" t="s">
        <v>79</v>
      </c>
      <c r="M189" t="s">
        <v>80</v>
      </c>
      <c r="N189" t="s">
        <v>81</v>
      </c>
      <c r="O189" t="s">
        <v>82</v>
      </c>
      <c r="P189" t="s">
        <v>93</v>
      </c>
      <c r="Q189" t="s">
        <v>84</v>
      </c>
      <c r="R189">
        <v>5</v>
      </c>
      <c r="S189">
        <v>3566</v>
      </c>
      <c r="T189">
        <v>3882.67</v>
      </c>
      <c r="U189" s="1">
        <v>776.53399999999999</v>
      </c>
      <c r="V189" t="s">
        <v>90</v>
      </c>
      <c r="W189" s="43">
        <v>5.5</v>
      </c>
      <c r="X189" s="44">
        <v>315</v>
      </c>
      <c r="Y189" s="44">
        <v>0.31</v>
      </c>
      <c r="Z189" s="44">
        <v>590</v>
      </c>
      <c r="AA189">
        <v>0.5</v>
      </c>
      <c r="AB189" s="45">
        <v>80</v>
      </c>
      <c r="AC189" s="45">
        <v>0.03</v>
      </c>
      <c r="AD189" s="45">
        <v>0</v>
      </c>
      <c r="AE189">
        <v>0</v>
      </c>
      <c r="AF189">
        <v>0</v>
      </c>
      <c r="AG189" t="s">
        <v>86</v>
      </c>
      <c r="AH189" s="44">
        <v>480</v>
      </c>
      <c r="AI189" s="44">
        <v>13.5</v>
      </c>
      <c r="AJ189" s="44">
        <v>12.7</v>
      </c>
      <c r="AK189" s="44">
        <v>9.65</v>
      </c>
      <c r="AL189" s="44">
        <v>8.2999999999999989</v>
      </c>
      <c r="AM189" s="44">
        <v>7.6</v>
      </c>
      <c r="AN189" s="44">
        <v>6.9499999999999993</v>
      </c>
      <c r="AO189" s="44">
        <v>6.9499999999999993</v>
      </c>
      <c r="AP189" s="44">
        <v>6.9499999999999993</v>
      </c>
      <c r="AQ189">
        <v>2</v>
      </c>
      <c r="AR189" t="s">
        <v>234</v>
      </c>
      <c r="AS189">
        <v>1</v>
      </c>
      <c r="AT189">
        <v>7</v>
      </c>
      <c r="AX189">
        <v>1</v>
      </c>
      <c r="AY189">
        <v>120</v>
      </c>
      <c r="AZ189">
        <v>0.06</v>
      </c>
      <c r="BA189" s="43" t="str">
        <f t="shared" si="4"/>
        <v>Express</v>
      </c>
      <c r="BB189" s="46">
        <f>IFERROR((AD189+IF(Calculator_v2!$E$6*Y189&lt;X189,X189,IF(Calculator_v2!$E$6*Y189&gt;Z189,Z189,Calculator_v2!$E$6*Y189))+IF(Calculator_v2!$E$6*AC189&lt;AB189,AB189,Calculator_v2!$E$6*AC189)+IFERROR(_xlfn.LET(_xlpm.tarifa,IF(Calculator_v2!$E$6&lt;=$AI$1,AI189,IF(Calculator_v2!$E$6&lt;=$AK$1,AJ189,IF(Calculator_v2!$E$6&lt;=$AL$1,AK189,IF(Calculator_v2!$E$6&lt;=$AM$1,AL189,IF(Calculator_v2!$E$6&lt;=$AN$1,AM189,IF(Calculator_v2!$E$6&lt;=$AO$1,AN189,IF(Calculator_v2!$E$6&lt;=$AP$1,AO189,AP189))))))),_xlpm.resultado,_xlpm.tarifa*Calculator_v2!$E$6,IF(_xlpm.resultado&lt;AH189,AH189,_xlpm.resultado)),0)+IF(Calculator_v2!$E$6*AV189&lt;AU189,AU189,IF(Calculator_v2!$E$6*AV189&gt;AW189,AW189,Calculator_v2!$E$6*AV189))+IF(Calculator_v2!$E$6*AZ189&lt;=AY189,AY189,Calculator_v2!$E$6*AZ189)),0)</f>
        <v>5014.2</v>
      </c>
      <c r="BC189" s="47">
        <f>IFERROR(+BB189/Calculator_v2!$E$6,0)+IFERROR(VLOOKUP(A189,DHL_ADDER!$B$4:$E$26,4,0),0)</f>
        <v>9.5199324324324337</v>
      </c>
      <c r="BD189" s="48">
        <f t="shared" si="5"/>
        <v>7</v>
      </c>
      <c r="BE189" s="48">
        <f>+T[[#This Row],[Airport to Destination Transit Time Days]]+T[[#This Row],[Airport to Airport Transit Time Days]]+T[[#This Row],[Origin to Airport Transit Time in days]]</f>
        <v>3.5</v>
      </c>
    </row>
    <row r="190" spans="1:57" customFormat="1" x14ac:dyDescent="0.35">
      <c r="A190" t="str">
        <f>+T[[#This Row],[Provider_Name]]&amp;"_"&amp;T[[#This Row],[AXIS]]</f>
        <v>DHL_B_TR&gt;BR</v>
      </c>
      <c r="B190" t="s">
        <v>71</v>
      </c>
      <c r="C190" t="s">
        <v>231</v>
      </c>
      <c r="D190" t="s">
        <v>232</v>
      </c>
      <c r="E190" t="s">
        <v>233</v>
      </c>
      <c r="F190" t="s">
        <v>92</v>
      </c>
      <c r="G190" t="s">
        <v>126</v>
      </c>
      <c r="H190" t="s">
        <v>127</v>
      </c>
      <c r="I190" t="s">
        <v>128</v>
      </c>
      <c r="J190">
        <v>34771</v>
      </c>
      <c r="K190" t="s">
        <v>129</v>
      </c>
      <c r="L190" t="s">
        <v>79</v>
      </c>
      <c r="M190" t="s">
        <v>80</v>
      </c>
      <c r="N190" t="s">
        <v>81</v>
      </c>
      <c r="O190" t="s">
        <v>82</v>
      </c>
      <c r="P190" t="s">
        <v>93</v>
      </c>
      <c r="Q190" t="s">
        <v>84</v>
      </c>
      <c r="R190">
        <v>5</v>
      </c>
      <c r="S190">
        <v>3566</v>
      </c>
      <c r="T190">
        <v>3882.67</v>
      </c>
      <c r="U190" s="1">
        <v>776.53399999999999</v>
      </c>
      <c r="V190" t="s">
        <v>91</v>
      </c>
      <c r="W190" s="43">
        <v>10</v>
      </c>
      <c r="X190" s="44">
        <v>140</v>
      </c>
      <c r="Y190" s="44">
        <v>0.14000000000000001</v>
      </c>
      <c r="Z190" s="44">
        <v>370</v>
      </c>
      <c r="AA190">
        <v>1</v>
      </c>
      <c r="AB190" s="45">
        <v>80</v>
      </c>
      <c r="AC190" s="45">
        <v>0.03</v>
      </c>
      <c r="AD190" s="45">
        <v>0</v>
      </c>
      <c r="AE190">
        <v>0</v>
      </c>
      <c r="AF190">
        <v>0</v>
      </c>
      <c r="AG190" t="s">
        <v>86</v>
      </c>
      <c r="AH190" s="44">
        <v>390</v>
      </c>
      <c r="AI190" s="44">
        <v>11.6</v>
      </c>
      <c r="AJ190" s="44">
        <v>10.25</v>
      </c>
      <c r="AK190" s="44">
        <v>7.6</v>
      </c>
      <c r="AL190" s="44">
        <v>7.1</v>
      </c>
      <c r="AM190" s="44">
        <v>6.35</v>
      </c>
      <c r="AN190" s="44">
        <v>5.6999999999999993</v>
      </c>
      <c r="AO190" s="44">
        <v>5.6999999999999993</v>
      </c>
      <c r="AP190" s="44">
        <v>5.6999999999999993</v>
      </c>
      <c r="AQ190">
        <v>6</v>
      </c>
      <c r="AR190" t="s">
        <v>234</v>
      </c>
      <c r="AS190">
        <v>1</v>
      </c>
      <c r="AT190">
        <v>7</v>
      </c>
      <c r="AX190">
        <v>1</v>
      </c>
      <c r="AY190">
        <v>120</v>
      </c>
      <c r="AZ190">
        <v>0.06</v>
      </c>
      <c r="BA190" s="43" t="str">
        <f t="shared" si="4"/>
        <v>Normal</v>
      </c>
      <c r="BB190" s="46">
        <f>IFERROR((AD190+IF(Calculator_v2!$E$6*Y190&lt;X190,X190,IF(Calculator_v2!$E$6*Y190&gt;Z190,Z190,Calculator_v2!$E$6*Y190))+IF(Calculator_v2!$E$6*AC190&lt;AB190,AB190,Calculator_v2!$E$6*AC190)+IFERROR(_xlfn.LET(_xlpm.tarifa,IF(Calculator_v2!$E$6&lt;=$AI$1,AI190,IF(Calculator_v2!$E$6&lt;=$AK$1,AJ190,IF(Calculator_v2!$E$6&lt;=$AL$1,AK190,IF(Calculator_v2!$E$6&lt;=$AM$1,AL190,IF(Calculator_v2!$E$6&lt;=$AN$1,AM190,IF(Calculator_v2!$E$6&lt;=$AO$1,AN190,IF(Calculator_v2!$E$6&lt;=$AP$1,AO190,AP190))))))),_xlpm.resultado,_xlpm.tarifa*Calculator_v2!$E$6,IF(_xlpm.resultado&lt;AH190,AH190,_xlpm.resultado)),0)+IF(Calculator_v2!$E$6*AV190&lt;AU190,AU190,IF(Calculator_v2!$E$6*AV190&gt;AW190,AW190,Calculator_v2!$E$6*AV190))+IF(Calculator_v2!$E$6*AZ190&lt;=AY190,AY190,Calculator_v2!$E$6*AZ190)),0)</f>
        <v>4099.2</v>
      </c>
      <c r="BC190" s="47">
        <f>IFERROR(+BB190/Calculator_v2!$E$6,0)+IFERROR(VLOOKUP(A190,DHL_ADDER!$B$4:$E$26,4,0),0)</f>
        <v>7.974324324324324</v>
      </c>
      <c r="BD190" s="48">
        <f t="shared" si="5"/>
        <v>7</v>
      </c>
      <c r="BE190" s="48">
        <f>+T[[#This Row],[Airport to Destination Transit Time Days]]+T[[#This Row],[Airport to Airport Transit Time Days]]+T[[#This Row],[Origin to Airport Transit Time in days]]</f>
        <v>8</v>
      </c>
    </row>
    <row r="191" spans="1:57" customFormat="1" x14ac:dyDescent="0.35">
      <c r="A191" t="str">
        <f>+T[[#This Row],[Provider_Name]]&amp;"_"&amp;T[[#This Row],[AXIS]]</f>
        <v>DHL_B_TR&gt;ES</v>
      </c>
      <c r="B191" t="s">
        <v>71</v>
      </c>
      <c r="C191" t="s">
        <v>235</v>
      </c>
      <c r="D191" t="s">
        <v>236</v>
      </c>
      <c r="E191" t="s">
        <v>237</v>
      </c>
      <c r="F191" t="s">
        <v>92</v>
      </c>
      <c r="G191" t="s">
        <v>126</v>
      </c>
      <c r="H191" t="s">
        <v>127</v>
      </c>
      <c r="I191" t="s">
        <v>128</v>
      </c>
      <c r="J191">
        <v>34771</v>
      </c>
      <c r="K191" t="s">
        <v>129</v>
      </c>
      <c r="L191" t="s">
        <v>100</v>
      </c>
      <c r="M191" t="s">
        <v>106</v>
      </c>
      <c r="N191" t="s">
        <v>106</v>
      </c>
      <c r="O191">
        <v>48008</v>
      </c>
      <c r="P191" t="s">
        <v>102</v>
      </c>
      <c r="Q191" t="s">
        <v>107</v>
      </c>
      <c r="R191">
        <v>75</v>
      </c>
      <c r="S191">
        <v>76604.569999999992</v>
      </c>
      <c r="T191">
        <v>76604.569999999992</v>
      </c>
      <c r="U191" s="1">
        <v>1021.3942666666666</v>
      </c>
      <c r="V191" t="s">
        <v>85</v>
      </c>
      <c r="W191" s="43">
        <v>8</v>
      </c>
      <c r="X191" s="44">
        <v>140</v>
      </c>
      <c r="Y191" s="44">
        <v>0.14000000000000001</v>
      </c>
      <c r="Z191" s="44">
        <v>370</v>
      </c>
      <c r="AA191">
        <v>1</v>
      </c>
      <c r="AB191" s="45">
        <v>80</v>
      </c>
      <c r="AC191" s="45">
        <v>0.03</v>
      </c>
      <c r="AD191" s="45">
        <v>0</v>
      </c>
      <c r="AE191">
        <v>0</v>
      </c>
      <c r="AF191">
        <v>0</v>
      </c>
      <c r="AG191" t="s">
        <v>86</v>
      </c>
      <c r="AH191" s="44">
        <v>75</v>
      </c>
      <c r="AI191" s="44">
        <v>3.4</v>
      </c>
      <c r="AJ191" s="44">
        <v>3.0500000000000003</v>
      </c>
      <c r="AK191" s="44">
        <v>2.6</v>
      </c>
      <c r="AL191" s="44">
        <v>2.25</v>
      </c>
      <c r="AM191" s="44">
        <v>1.6</v>
      </c>
      <c r="AN191" s="44">
        <v>1.4500000000000002</v>
      </c>
      <c r="AO191" s="44">
        <v>1.4500000000000002</v>
      </c>
      <c r="AP191" s="44">
        <v>1.4500000000000002</v>
      </c>
      <c r="AQ191">
        <v>5</v>
      </c>
      <c r="AR191" t="s">
        <v>234</v>
      </c>
      <c r="AS191">
        <v>2</v>
      </c>
      <c r="AT191">
        <v>7</v>
      </c>
      <c r="AU191">
        <v>315</v>
      </c>
      <c r="AV191">
        <v>0.45</v>
      </c>
      <c r="AW191">
        <v>490</v>
      </c>
      <c r="AX191">
        <v>2</v>
      </c>
      <c r="AY191">
        <v>49</v>
      </c>
      <c r="AZ191">
        <v>0.19</v>
      </c>
      <c r="BA191" s="43" t="str">
        <f t="shared" si="4"/>
        <v>Economy</v>
      </c>
      <c r="BB191" s="46">
        <f>IFERROR((AD191+IF(Calculator_v2!$E$6*Y191&lt;X191,X191,IF(Calculator_v2!$E$6*Y191&gt;Z191,Z191,Calculator_v2!$E$6*Y191))+IF(Calculator_v2!$E$6*AC191&lt;AB191,AB191,Calculator_v2!$E$6*AC191)+IFERROR(_xlfn.LET(_xlpm.tarifa,IF(Calculator_v2!$E$6&lt;=$AI$1,AI191,IF(Calculator_v2!$E$6&lt;=$AK$1,AJ191,IF(Calculator_v2!$E$6&lt;=$AL$1,AK191,IF(Calculator_v2!$E$6&lt;=$AM$1,AL191,IF(Calculator_v2!$E$6&lt;=$AN$1,AM191,IF(Calculator_v2!$E$6&lt;=$AO$1,AN191,IF(Calculator_v2!$E$6&lt;=$AP$1,AO191,AP191))))))),_xlpm.resultado,_xlpm.tarifa*Calculator_v2!$E$6,IF(_xlpm.resultado&lt;AH191,AH191,_xlpm.resultado)),0)+IF(Calculator_v2!$E$6*AV191&lt;AU191,AU191,IF(Calculator_v2!$E$6*AV191&gt;AW191,AW191,Calculator_v2!$E$6*AV191))+IF(Calculator_v2!$E$6*AZ191&lt;=AY191,AY191,Calculator_v2!$E$6*AZ191)),0)</f>
        <v>1594.68</v>
      </c>
      <c r="BC191" s="47">
        <f>IFERROR(+BB191/Calculator_v2!$E$6,0)+IFERROR(VLOOKUP(A191,DHL_ADDER!$B$4:$E$26,4,0),0)</f>
        <v>2.6937162162162163</v>
      </c>
      <c r="BD191" s="48">
        <f t="shared" si="5"/>
        <v>7</v>
      </c>
      <c r="BE191" s="48">
        <f>+T[[#This Row],[Airport to Destination Transit Time Days]]+T[[#This Row],[Airport to Airport Transit Time Days]]+T[[#This Row],[Origin to Airport Transit Time in days]]</f>
        <v>8</v>
      </c>
    </row>
    <row r="192" spans="1:57" customFormat="1" x14ac:dyDescent="0.35">
      <c r="A192" t="str">
        <f>+T[[#This Row],[Provider_Name]]&amp;"_"&amp;T[[#This Row],[AXIS]]</f>
        <v>DHL_B_TR&gt;ES</v>
      </c>
      <c r="B192" t="s">
        <v>71</v>
      </c>
      <c r="C192" t="s">
        <v>235</v>
      </c>
      <c r="D192" t="s">
        <v>236</v>
      </c>
      <c r="E192" t="s">
        <v>237</v>
      </c>
      <c r="F192" t="s">
        <v>92</v>
      </c>
      <c r="G192" t="s">
        <v>126</v>
      </c>
      <c r="H192" t="s">
        <v>127</v>
      </c>
      <c r="I192" t="s">
        <v>128</v>
      </c>
      <c r="J192">
        <v>34771</v>
      </c>
      <c r="K192" t="s">
        <v>129</v>
      </c>
      <c r="L192" t="s">
        <v>100</v>
      </c>
      <c r="M192" t="s">
        <v>106</v>
      </c>
      <c r="N192" t="s">
        <v>106</v>
      </c>
      <c r="O192">
        <v>48008</v>
      </c>
      <c r="P192" t="s">
        <v>102</v>
      </c>
      <c r="Q192" t="s">
        <v>107</v>
      </c>
      <c r="R192">
        <v>75</v>
      </c>
      <c r="S192">
        <v>76604.569999999992</v>
      </c>
      <c r="T192">
        <v>76604.569999999992</v>
      </c>
      <c r="U192" s="1">
        <v>1021.3942666666666</v>
      </c>
      <c r="V192" t="s">
        <v>90</v>
      </c>
      <c r="W192" s="43">
        <v>3.5</v>
      </c>
      <c r="X192" s="44">
        <v>315</v>
      </c>
      <c r="Y192" s="44">
        <v>0.31</v>
      </c>
      <c r="Z192" s="44">
        <v>590</v>
      </c>
      <c r="AA192">
        <v>0.5</v>
      </c>
      <c r="AB192" s="45">
        <v>80</v>
      </c>
      <c r="AC192" s="45">
        <v>0.03</v>
      </c>
      <c r="AD192" s="45">
        <v>0</v>
      </c>
      <c r="AE192">
        <v>0</v>
      </c>
      <c r="AF192">
        <v>0</v>
      </c>
      <c r="AG192" t="s">
        <v>86</v>
      </c>
      <c r="AH192" s="44">
        <v>130</v>
      </c>
      <c r="AI192" s="44">
        <v>4.6199999999999992</v>
      </c>
      <c r="AJ192" s="44">
        <v>4.1999999999999993</v>
      </c>
      <c r="AK192" s="44">
        <v>3.6</v>
      </c>
      <c r="AL192" s="44">
        <v>3.0500000000000003</v>
      </c>
      <c r="AM192" s="44">
        <v>2.85</v>
      </c>
      <c r="AN192" s="44">
        <v>2.5500000000000003</v>
      </c>
      <c r="AO192" s="44">
        <v>2.5500000000000003</v>
      </c>
      <c r="AP192" s="44">
        <v>2.5500000000000003</v>
      </c>
      <c r="AQ192">
        <v>1</v>
      </c>
      <c r="AR192" t="s">
        <v>238</v>
      </c>
      <c r="AS192">
        <v>0</v>
      </c>
      <c r="AT192">
        <v>7</v>
      </c>
      <c r="AU192">
        <v>315</v>
      </c>
      <c r="AV192">
        <v>0.45</v>
      </c>
      <c r="AW192">
        <v>490</v>
      </c>
      <c r="AX192">
        <v>2</v>
      </c>
      <c r="AY192">
        <v>49</v>
      </c>
      <c r="AZ192">
        <v>0.19</v>
      </c>
      <c r="BA192" s="43" t="str">
        <f t="shared" si="4"/>
        <v>Express</v>
      </c>
      <c r="BB192" s="46">
        <f>IFERROR((AD192+IF(Calculator_v2!$E$6*Y192&lt;X192,X192,IF(Calculator_v2!$E$6*Y192&gt;Z192,Z192,Calculator_v2!$E$6*Y192))+IF(Calculator_v2!$E$6*AC192&lt;AB192,AB192,Calculator_v2!$E$6*AC192)+IFERROR(_xlfn.LET(_xlpm.tarifa,IF(Calculator_v2!$E$6&lt;=$AI$1,AI192,IF(Calculator_v2!$E$6&lt;=$AK$1,AJ192,IF(Calculator_v2!$E$6&lt;=$AL$1,AK192,IF(Calculator_v2!$E$6&lt;=$AM$1,AL192,IF(Calculator_v2!$E$6&lt;=$AN$1,AM192,IF(Calculator_v2!$E$6&lt;=$AO$1,AN192,IF(Calculator_v2!$E$6&lt;=$AP$1,AO192,AP192))))))),_xlpm.resultado,_xlpm.tarifa*Calculator_v2!$E$6,IF(_xlpm.resultado&lt;AH192,AH192,_xlpm.resultado)),0)+IF(Calculator_v2!$E$6*AV192&lt;AU192,AU192,IF(Calculator_v2!$E$6*AV192&gt;AW192,AW192,Calculator_v2!$E$6*AV192))+IF(Calculator_v2!$E$6*AZ192&lt;=AY192,AY192,Calculator_v2!$E$6*AZ192)),0)</f>
        <v>2509.6799999999998</v>
      </c>
      <c r="BC192" s="47">
        <f>IFERROR(+BB192/Calculator_v2!$E$6,0)+IFERROR(VLOOKUP(A192,DHL_ADDER!$B$4:$E$26,4,0),0)</f>
        <v>4.2393243243243237</v>
      </c>
      <c r="BD192" s="48">
        <f t="shared" si="5"/>
        <v>7</v>
      </c>
      <c r="BE192" s="48">
        <f>+T[[#This Row],[Airport to Destination Transit Time Days]]+T[[#This Row],[Airport to Airport Transit Time Days]]+T[[#This Row],[Origin to Airport Transit Time in days]]</f>
        <v>3.5</v>
      </c>
    </row>
    <row r="193" spans="1:57" customFormat="1" x14ac:dyDescent="0.35">
      <c r="A193" t="str">
        <f>+T[[#This Row],[Provider_Name]]&amp;"_"&amp;T[[#This Row],[AXIS]]</f>
        <v>DHL_B_TR&gt;ES</v>
      </c>
      <c r="B193" t="s">
        <v>71</v>
      </c>
      <c r="C193" t="s">
        <v>235</v>
      </c>
      <c r="D193" t="s">
        <v>236</v>
      </c>
      <c r="E193" t="s">
        <v>237</v>
      </c>
      <c r="F193" t="s">
        <v>92</v>
      </c>
      <c r="G193" t="s">
        <v>126</v>
      </c>
      <c r="H193" t="s">
        <v>127</v>
      </c>
      <c r="I193" t="s">
        <v>128</v>
      </c>
      <c r="J193">
        <v>34771</v>
      </c>
      <c r="K193" t="s">
        <v>129</v>
      </c>
      <c r="L193" t="s">
        <v>100</v>
      </c>
      <c r="M193" t="s">
        <v>106</v>
      </c>
      <c r="N193" t="s">
        <v>106</v>
      </c>
      <c r="O193">
        <v>48008</v>
      </c>
      <c r="P193" t="s">
        <v>102</v>
      </c>
      <c r="Q193" t="s">
        <v>107</v>
      </c>
      <c r="R193">
        <v>75</v>
      </c>
      <c r="S193">
        <v>76604.569999999992</v>
      </c>
      <c r="T193">
        <v>76604.569999999992</v>
      </c>
      <c r="U193" s="1">
        <v>1021.3942666666666</v>
      </c>
      <c r="V193" t="s">
        <v>91</v>
      </c>
      <c r="W193" s="43">
        <v>6</v>
      </c>
      <c r="X193" s="44">
        <v>140</v>
      </c>
      <c r="Y193" s="44">
        <v>0.14000000000000001</v>
      </c>
      <c r="Z193" s="44">
        <v>370</v>
      </c>
      <c r="AA193">
        <v>1</v>
      </c>
      <c r="AB193" s="45">
        <v>80</v>
      </c>
      <c r="AC193" s="45">
        <v>0.03</v>
      </c>
      <c r="AD193" s="45">
        <v>0</v>
      </c>
      <c r="AE193">
        <v>0</v>
      </c>
      <c r="AF193">
        <v>0</v>
      </c>
      <c r="AG193" t="s">
        <v>86</v>
      </c>
      <c r="AH193" s="44">
        <v>105</v>
      </c>
      <c r="AI193" s="44">
        <v>4.0999999999999996</v>
      </c>
      <c r="AJ193" s="44">
        <v>3.9</v>
      </c>
      <c r="AK193" s="44">
        <v>3.1</v>
      </c>
      <c r="AL193" s="44">
        <v>2.75</v>
      </c>
      <c r="AM193" s="44">
        <v>2.0499999999999998</v>
      </c>
      <c r="AN193" s="44">
        <v>2</v>
      </c>
      <c r="AO193" s="44">
        <v>2</v>
      </c>
      <c r="AP193" s="44">
        <v>2</v>
      </c>
      <c r="AQ193">
        <v>3</v>
      </c>
      <c r="AR193" t="s">
        <v>234</v>
      </c>
      <c r="AS193">
        <v>1</v>
      </c>
      <c r="AT193">
        <v>7</v>
      </c>
      <c r="AU193">
        <v>315</v>
      </c>
      <c r="AV193">
        <v>0.45</v>
      </c>
      <c r="AW193">
        <v>490</v>
      </c>
      <c r="AX193">
        <v>2</v>
      </c>
      <c r="AY193">
        <v>49</v>
      </c>
      <c r="AZ193">
        <v>0.19</v>
      </c>
      <c r="BA193" s="43" t="str">
        <f t="shared" si="4"/>
        <v>Normal</v>
      </c>
      <c r="BB193" s="46">
        <f>IFERROR((AD193+IF(Calculator_v2!$E$6*Y193&lt;X193,X193,IF(Calculator_v2!$E$6*Y193&gt;Z193,Z193,Calculator_v2!$E$6*Y193))+IF(Calculator_v2!$E$6*AC193&lt;AB193,AB193,Calculator_v2!$E$6*AC193)+IFERROR(_xlfn.LET(_xlpm.tarifa,IF(Calculator_v2!$E$6&lt;=$AI$1,AI193,IF(Calculator_v2!$E$6&lt;=$AK$1,AJ193,IF(Calculator_v2!$E$6&lt;=$AL$1,AK193,IF(Calculator_v2!$E$6&lt;=$AM$1,AL193,IF(Calculator_v2!$E$6&lt;=$AN$1,AM193,IF(Calculator_v2!$E$6&lt;=$AO$1,AN193,IF(Calculator_v2!$E$6&lt;=$AP$1,AO193,AP193))))))),_xlpm.resultado,_xlpm.tarifa*Calculator_v2!$E$6,IF(_xlpm.resultado&lt;AH193,AH193,_xlpm.resultado)),0)+IF(Calculator_v2!$E$6*AV193&lt;AU193,AU193,IF(Calculator_v2!$E$6*AV193&gt;AW193,AW193,Calculator_v2!$E$6*AV193))+IF(Calculator_v2!$E$6*AZ193&lt;=AY193,AY193,Calculator_v2!$E$6*AZ193)),0)</f>
        <v>1861.08</v>
      </c>
      <c r="BC193" s="47">
        <f>IFERROR(+BB193/Calculator_v2!$E$6,0)+IFERROR(VLOOKUP(A193,DHL_ADDER!$B$4:$E$26,4,0),0)</f>
        <v>3.143716216216216</v>
      </c>
      <c r="BD193" s="48">
        <f t="shared" si="5"/>
        <v>7</v>
      </c>
      <c r="BE193" s="48">
        <f>+T[[#This Row],[Airport to Destination Transit Time Days]]+T[[#This Row],[Airport to Airport Transit Time Days]]+T[[#This Row],[Origin to Airport Transit Time in days]]</f>
        <v>6</v>
      </c>
    </row>
    <row r="194" spans="1:57" customFormat="1" x14ac:dyDescent="0.35">
      <c r="A194" t="str">
        <f>+T[[#This Row],[Provider_Name]]&amp;"_"&amp;T[[#This Row],[AXIS]]</f>
        <v>DHL_B_JP&gt;RO</v>
      </c>
      <c r="B194" t="s">
        <v>71</v>
      </c>
      <c r="C194" t="s">
        <v>239</v>
      </c>
      <c r="D194" t="s">
        <v>240</v>
      </c>
      <c r="E194" t="s">
        <v>199</v>
      </c>
      <c r="F194" t="s">
        <v>92</v>
      </c>
      <c r="G194" t="s">
        <v>189</v>
      </c>
      <c r="H194" t="s">
        <v>200</v>
      </c>
      <c r="I194" t="s">
        <v>201</v>
      </c>
      <c r="J194" t="s">
        <v>202</v>
      </c>
      <c r="K194" t="s">
        <v>241</v>
      </c>
      <c r="L194" t="s">
        <v>119</v>
      </c>
      <c r="M194" t="s">
        <v>120</v>
      </c>
      <c r="N194" t="s">
        <v>121</v>
      </c>
      <c r="O194">
        <v>115400</v>
      </c>
      <c r="P194" t="s">
        <v>122</v>
      </c>
      <c r="Q194" t="s">
        <v>116</v>
      </c>
      <c r="R194">
        <v>12</v>
      </c>
      <c r="S194">
        <v>1500</v>
      </c>
      <c r="T194">
        <v>1500</v>
      </c>
      <c r="U194" s="1">
        <v>125</v>
      </c>
      <c r="V194" t="s">
        <v>85</v>
      </c>
      <c r="W194" s="43">
        <v>12</v>
      </c>
      <c r="X194" s="44">
        <v>20</v>
      </c>
      <c r="Y194" s="44">
        <v>0.18</v>
      </c>
      <c r="Z194" s="44">
        <v>1110</v>
      </c>
      <c r="AA194">
        <v>24</v>
      </c>
      <c r="AB194" s="45">
        <v>15</v>
      </c>
      <c r="AC194" s="45">
        <v>0.13</v>
      </c>
      <c r="AD194" s="45">
        <v>20</v>
      </c>
      <c r="AE194">
        <v>22</v>
      </c>
      <c r="AF194">
        <v>0.15</v>
      </c>
      <c r="AG194" t="s">
        <v>86</v>
      </c>
      <c r="AH194" s="44">
        <v>70</v>
      </c>
      <c r="AI194" s="44">
        <v>3.6</v>
      </c>
      <c r="AJ194" s="44">
        <v>3.6</v>
      </c>
      <c r="AK194" s="44">
        <v>3.6</v>
      </c>
      <c r="AL194" s="44">
        <v>3.6</v>
      </c>
      <c r="AM194" s="44">
        <v>3.6</v>
      </c>
      <c r="AN194" s="44">
        <v>3.6</v>
      </c>
      <c r="AO194" s="44">
        <v>3.6</v>
      </c>
      <c r="AP194" s="44">
        <v>3.6</v>
      </c>
      <c r="AQ194">
        <v>9</v>
      </c>
      <c r="AR194" t="s">
        <v>204</v>
      </c>
      <c r="AS194">
        <v>3</v>
      </c>
      <c r="AT194">
        <v>2</v>
      </c>
      <c r="AU194">
        <v>110</v>
      </c>
      <c r="AV194">
        <v>0.15</v>
      </c>
      <c r="AW194">
        <v>575</v>
      </c>
      <c r="AX194">
        <v>2</v>
      </c>
      <c r="AY194">
        <v>20</v>
      </c>
      <c r="AZ194">
        <v>0.2</v>
      </c>
      <c r="BA194" s="43" t="str">
        <f t="shared" si="4"/>
        <v>Economy</v>
      </c>
      <c r="BB194" s="46">
        <f>IFERROR((AD194+IF(Calculator_v2!$E$6*Y194&lt;X194,X194,IF(Calculator_v2!$E$6*Y194&gt;Z194,Z194,Calculator_v2!$E$6*Y194))+IF(Calculator_v2!$E$6*AC194&lt;AB194,AB194,Calculator_v2!$E$6*AC194)+IFERROR(_xlfn.LET(_xlpm.tarifa,IF(Calculator_v2!$E$6&lt;=$AI$1,AI194,IF(Calculator_v2!$E$6&lt;=$AK$1,AJ194,IF(Calculator_v2!$E$6&lt;=$AL$1,AK194,IF(Calculator_v2!$E$6&lt;=$AM$1,AL194,IF(Calculator_v2!$E$6&lt;=$AN$1,AM194,IF(Calculator_v2!$E$6&lt;=$AO$1,AN194,IF(Calculator_v2!$E$6&lt;=$AP$1,AO194,AP194))))))),_xlpm.resultado,_xlpm.tarifa*Calculator_v2!$E$6,IF(_xlpm.resultado&lt;AH194,AH194,_xlpm.resultado)),0)+IF(Calculator_v2!$E$6*AV194&lt;AU194,AU194,IF(Calculator_v2!$E$6*AV194&gt;AW194,AW194,Calculator_v2!$E$6*AV194))+IF(Calculator_v2!$E$6*AZ194&lt;=AY194,AY194,Calculator_v2!$E$6*AZ194)),0)</f>
        <v>2563.1200000000003</v>
      </c>
      <c r="BC194" s="47">
        <f>IFERROR(+BB194/Calculator_v2!$E$6,0)+IFERROR(VLOOKUP(A194,DHL_ADDER!$B$4:$E$26,4,0),0)</f>
        <v>5.999594594594595</v>
      </c>
      <c r="BD194" s="48">
        <f t="shared" si="5"/>
        <v>2</v>
      </c>
      <c r="BE194" s="48">
        <f>+T[[#This Row],[Airport to Destination Transit Time Days]]+T[[#This Row],[Airport to Airport Transit Time Days]]+T[[#This Row],[Origin to Airport Transit Time in days]]</f>
        <v>35</v>
      </c>
    </row>
    <row r="195" spans="1:57" customFormat="1" x14ac:dyDescent="0.35">
      <c r="A195" t="str">
        <f>+T[[#This Row],[Provider_Name]]&amp;"_"&amp;T[[#This Row],[AXIS]]</f>
        <v>DHL_B_JP&gt;RO</v>
      </c>
      <c r="B195" t="s">
        <v>71</v>
      </c>
      <c r="C195" t="s">
        <v>239</v>
      </c>
      <c r="D195" t="s">
        <v>240</v>
      </c>
      <c r="E195" t="s">
        <v>199</v>
      </c>
      <c r="F195" t="s">
        <v>92</v>
      </c>
      <c r="G195" t="s">
        <v>189</v>
      </c>
      <c r="H195" t="s">
        <v>200</v>
      </c>
      <c r="I195" t="s">
        <v>201</v>
      </c>
      <c r="J195" t="s">
        <v>202</v>
      </c>
      <c r="K195" t="s">
        <v>241</v>
      </c>
      <c r="L195" t="s">
        <v>119</v>
      </c>
      <c r="M195" t="s">
        <v>120</v>
      </c>
      <c r="N195" t="s">
        <v>121</v>
      </c>
      <c r="O195">
        <v>115400</v>
      </c>
      <c r="P195" t="s">
        <v>122</v>
      </c>
      <c r="Q195" t="s">
        <v>116</v>
      </c>
      <c r="R195">
        <v>12</v>
      </c>
      <c r="S195">
        <v>1500</v>
      </c>
      <c r="T195">
        <v>1500</v>
      </c>
      <c r="U195" s="1">
        <v>125</v>
      </c>
      <c r="V195" t="s">
        <v>90</v>
      </c>
      <c r="W195" s="43">
        <v>8</v>
      </c>
      <c r="X195" s="44">
        <v>20</v>
      </c>
      <c r="Y195" s="44">
        <v>0.18</v>
      </c>
      <c r="Z195" s="44">
        <v>1110</v>
      </c>
      <c r="AA195">
        <v>24</v>
      </c>
      <c r="AB195" s="45">
        <v>15</v>
      </c>
      <c r="AC195" s="45">
        <v>0.13</v>
      </c>
      <c r="AD195" s="45">
        <v>20</v>
      </c>
      <c r="AE195">
        <v>22</v>
      </c>
      <c r="AF195">
        <v>0.15</v>
      </c>
      <c r="AG195" t="s">
        <v>86</v>
      </c>
      <c r="AH195" s="44">
        <v>95</v>
      </c>
      <c r="AI195" s="44">
        <v>9.6</v>
      </c>
      <c r="AJ195" s="44">
        <v>4.8999999999999995</v>
      </c>
      <c r="AK195" s="44">
        <v>4.8999999999999995</v>
      </c>
      <c r="AL195" s="44">
        <v>4.8999999999999995</v>
      </c>
      <c r="AM195" s="44">
        <v>4.8999999999999995</v>
      </c>
      <c r="AN195" s="44">
        <v>4.8999999999999995</v>
      </c>
      <c r="AO195" s="44">
        <v>4.8999999999999995</v>
      </c>
      <c r="AP195" s="44">
        <v>4.8999999999999995</v>
      </c>
      <c r="AQ195">
        <v>5</v>
      </c>
      <c r="AR195" t="s">
        <v>206</v>
      </c>
      <c r="AS195">
        <v>1</v>
      </c>
      <c r="AT195">
        <v>3</v>
      </c>
      <c r="AU195">
        <v>110</v>
      </c>
      <c r="AV195">
        <v>0.15</v>
      </c>
      <c r="AW195">
        <v>575</v>
      </c>
      <c r="AX195">
        <v>2</v>
      </c>
      <c r="AY195">
        <v>20</v>
      </c>
      <c r="AZ195">
        <v>0.2</v>
      </c>
      <c r="BA195" s="43" t="str">
        <f t="shared" si="4"/>
        <v>Express</v>
      </c>
      <c r="BB195" s="46">
        <f>IFERROR((AD195+IF(Calculator_v2!$E$6*Y195&lt;X195,X195,IF(Calculator_v2!$E$6*Y195&gt;Z195,Z195,Calculator_v2!$E$6*Y195))+IF(Calculator_v2!$E$6*AC195&lt;AB195,AB195,Calculator_v2!$E$6*AC195)+IFERROR(_xlfn.LET(_xlpm.tarifa,IF(Calculator_v2!$E$6&lt;=$AI$1,AI195,IF(Calculator_v2!$E$6&lt;=$AK$1,AJ195,IF(Calculator_v2!$E$6&lt;=$AL$1,AK195,IF(Calculator_v2!$E$6&lt;=$AM$1,AL195,IF(Calculator_v2!$E$6&lt;=$AN$1,AM195,IF(Calculator_v2!$E$6&lt;=$AO$1,AN195,IF(Calculator_v2!$E$6&lt;=$AP$1,AO195,AP195))))))),_xlpm.resultado,_xlpm.tarifa*Calculator_v2!$E$6,IF(_xlpm.resultado&lt;AH195,AH195,_xlpm.resultado)),0)+IF(Calculator_v2!$E$6*AV195&lt;AU195,AU195,IF(Calculator_v2!$E$6*AV195&gt;AW195,AW195,Calculator_v2!$E$6*AV195))+IF(Calculator_v2!$E$6*AZ195&lt;=AY195,AY195,Calculator_v2!$E$6*AZ195)),0)</f>
        <v>3332.72</v>
      </c>
      <c r="BC195" s="47">
        <f>IFERROR(+BB195/Calculator_v2!$E$6,0)+IFERROR(VLOOKUP(A195,DHL_ADDER!$B$4:$E$26,4,0),0)</f>
        <v>7.2995945945945939</v>
      </c>
      <c r="BD195" s="48">
        <f t="shared" si="5"/>
        <v>3</v>
      </c>
      <c r="BE195" s="48">
        <f>+T[[#This Row],[Airport to Destination Transit Time Days]]+T[[#This Row],[Airport to Airport Transit Time Days]]+T[[#This Row],[Origin to Airport Transit Time in days]]</f>
        <v>31</v>
      </c>
    </row>
    <row r="196" spans="1:57" customFormat="1" x14ac:dyDescent="0.35">
      <c r="A196" t="str">
        <f>+T[[#This Row],[Provider_Name]]&amp;"_"&amp;T[[#This Row],[AXIS]]</f>
        <v>DHL_B_JP&gt;RO</v>
      </c>
      <c r="B196" t="s">
        <v>71</v>
      </c>
      <c r="C196" t="s">
        <v>239</v>
      </c>
      <c r="D196" t="s">
        <v>240</v>
      </c>
      <c r="E196" t="s">
        <v>199</v>
      </c>
      <c r="F196" t="s">
        <v>92</v>
      </c>
      <c r="G196" t="s">
        <v>189</v>
      </c>
      <c r="H196" t="s">
        <v>200</v>
      </c>
      <c r="I196" t="s">
        <v>201</v>
      </c>
      <c r="J196" t="s">
        <v>202</v>
      </c>
      <c r="K196" t="s">
        <v>241</v>
      </c>
      <c r="L196" t="s">
        <v>119</v>
      </c>
      <c r="M196" t="s">
        <v>120</v>
      </c>
      <c r="N196" t="s">
        <v>121</v>
      </c>
      <c r="O196">
        <v>115400</v>
      </c>
      <c r="P196" t="s">
        <v>122</v>
      </c>
      <c r="Q196" t="s">
        <v>116</v>
      </c>
      <c r="R196">
        <v>12</v>
      </c>
      <c r="S196">
        <v>1500</v>
      </c>
      <c r="T196">
        <v>1500</v>
      </c>
      <c r="U196" s="1">
        <v>125</v>
      </c>
      <c r="V196" t="s">
        <v>91</v>
      </c>
      <c r="W196" s="43">
        <v>6</v>
      </c>
      <c r="X196" s="44">
        <v>20</v>
      </c>
      <c r="Y196" s="44">
        <v>0.18</v>
      </c>
      <c r="Z196" s="44">
        <v>1110</v>
      </c>
      <c r="AA196">
        <v>24</v>
      </c>
      <c r="AB196" s="45">
        <v>15</v>
      </c>
      <c r="AC196" s="45">
        <v>0.13</v>
      </c>
      <c r="AD196" s="45">
        <v>20</v>
      </c>
      <c r="AE196">
        <v>22</v>
      </c>
      <c r="AF196">
        <v>0.15</v>
      </c>
      <c r="AG196" t="s">
        <v>86</v>
      </c>
      <c r="AH196" s="44">
        <v>120</v>
      </c>
      <c r="AI196" s="44">
        <v>14.7</v>
      </c>
      <c r="AJ196" s="44">
        <v>8.9</v>
      </c>
      <c r="AK196" s="44">
        <v>8.9</v>
      </c>
      <c r="AL196" s="44">
        <v>8.9</v>
      </c>
      <c r="AM196" s="44">
        <v>8.9</v>
      </c>
      <c r="AN196" s="44">
        <v>8.9</v>
      </c>
      <c r="AO196" s="44">
        <v>8.9</v>
      </c>
      <c r="AP196" s="44">
        <v>8.9</v>
      </c>
      <c r="AQ196">
        <v>3</v>
      </c>
      <c r="AR196" t="s">
        <v>205</v>
      </c>
      <c r="AS196">
        <v>1</v>
      </c>
      <c r="AT196">
        <v>4</v>
      </c>
      <c r="AU196">
        <v>110</v>
      </c>
      <c r="AV196">
        <v>0.15</v>
      </c>
      <c r="AW196">
        <v>575</v>
      </c>
      <c r="AX196">
        <v>2</v>
      </c>
      <c r="AY196">
        <v>20</v>
      </c>
      <c r="AZ196">
        <v>0.2</v>
      </c>
      <c r="BA196" s="43" t="str">
        <f t="shared" si="4"/>
        <v>Normal</v>
      </c>
      <c r="BB196" s="46">
        <f>IFERROR((AD196+IF(Calculator_v2!$E$6*Y196&lt;X196,X196,IF(Calculator_v2!$E$6*Y196&gt;Z196,Z196,Calculator_v2!$E$6*Y196))+IF(Calculator_v2!$E$6*AC196&lt;AB196,AB196,Calculator_v2!$E$6*AC196)+IFERROR(_xlfn.LET(_xlpm.tarifa,IF(Calculator_v2!$E$6&lt;=$AI$1,AI196,IF(Calculator_v2!$E$6&lt;=$AK$1,AJ196,IF(Calculator_v2!$E$6&lt;=$AL$1,AK196,IF(Calculator_v2!$E$6&lt;=$AM$1,AL196,IF(Calculator_v2!$E$6&lt;=$AN$1,AM196,IF(Calculator_v2!$E$6&lt;=$AO$1,AN196,IF(Calculator_v2!$E$6&lt;=$AP$1,AO196,AP196))))))),_xlpm.resultado,_xlpm.tarifa*Calculator_v2!$E$6,IF(_xlpm.resultado&lt;AH196,AH196,_xlpm.resultado)),0)+IF(Calculator_v2!$E$6*AV196&lt;AU196,AU196,IF(Calculator_v2!$E$6*AV196&gt;AW196,AW196,Calculator_v2!$E$6*AV196))+IF(Calculator_v2!$E$6*AZ196&lt;=AY196,AY196,Calculator_v2!$E$6*AZ196)),0)</f>
        <v>5700.72</v>
      </c>
      <c r="BC196" s="47">
        <f>IFERROR(+BB196/Calculator_v2!$E$6,0)+IFERROR(VLOOKUP(A196,DHL_ADDER!$B$4:$E$26,4,0),0)</f>
        <v>11.299594594594595</v>
      </c>
      <c r="BD196" s="48">
        <f t="shared" si="5"/>
        <v>4</v>
      </c>
      <c r="BE196" s="48">
        <f>+T[[#This Row],[Airport to Destination Transit Time Days]]+T[[#This Row],[Airport to Airport Transit Time Days]]+T[[#This Row],[Origin to Airport Transit Time in days]]</f>
        <v>29</v>
      </c>
    </row>
    <row r="197" spans="1:57" customFormat="1" x14ac:dyDescent="0.35">
      <c r="A197" t="str">
        <f>+T[[#This Row],[Provider_Name]]&amp;"_"&amp;T[[#This Row],[AXIS]]</f>
        <v>DHL_B_FR&gt;AR</v>
      </c>
      <c r="B197" t="s">
        <v>71</v>
      </c>
      <c r="C197" t="s">
        <v>242</v>
      </c>
      <c r="D197" t="s">
        <v>243</v>
      </c>
      <c r="E197" t="s">
        <v>244</v>
      </c>
      <c r="F197" t="s">
        <v>245</v>
      </c>
      <c r="G197" t="s">
        <v>151</v>
      </c>
      <c r="H197" t="s">
        <v>246</v>
      </c>
      <c r="I197" t="s">
        <v>247</v>
      </c>
      <c r="J197" t="s">
        <v>248</v>
      </c>
      <c r="K197" t="s">
        <v>249</v>
      </c>
      <c r="L197" t="s">
        <v>250</v>
      </c>
      <c r="M197" t="s">
        <v>251</v>
      </c>
      <c r="N197" t="s">
        <v>251</v>
      </c>
      <c r="O197">
        <v>5000</v>
      </c>
      <c r="P197" t="s">
        <v>252</v>
      </c>
      <c r="Q197" t="s">
        <v>253</v>
      </c>
      <c r="R197">
        <v>12</v>
      </c>
      <c r="S197">
        <v>1200</v>
      </c>
      <c r="T197">
        <v>1200</v>
      </c>
      <c r="U197" s="1">
        <v>100</v>
      </c>
      <c r="V197" t="s">
        <v>254</v>
      </c>
      <c r="W197" s="43">
        <v>8</v>
      </c>
      <c r="X197" s="44">
        <v>62</v>
      </c>
      <c r="Y197" s="44">
        <v>0.41</v>
      </c>
      <c r="Z197" s="44" t="s">
        <v>145</v>
      </c>
      <c r="AA197">
        <v>2</v>
      </c>
      <c r="AB197" s="45">
        <v>28</v>
      </c>
      <c r="AC197" s="45">
        <v>0.01</v>
      </c>
      <c r="AD197" s="45">
        <v>43</v>
      </c>
      <c r="AE197">
        <v>0</v>
      </c>
      <c r="AF197">
        <v>0</v>
      </c>
      <c r="AG197" t="s">
        <v>86</v>
      </c>
      <c r="AH197" s="44">
        <v>45</v>
      </c>
      <c r="AI197" s="44">
        <v>2.4000000000000004</v>
      </c>
      <c r="AJ197" s="44">
        <v>2.4000000000000004</v>
      </c>
      <c r="AK197" s="44">
        <v>2.4000000000000004</v>
      </c>
      <c r="AL197" s="44">
        <v>2.4000000000000004</v>
      </c>
      <c r="AM197" s="44">
        <v>2.4000000000000004</v>
      </c>
      <c r="AN197" s="44">
        <v>2.4000000000000004</v>
      </c>
      <c r="AO197" s="44">
        <v>2.4000000000000004</v>
      </c>
      <c r="AP197" s="44">
        <v>2.4000000000000004</v>
      </c>
      <c r="AQ197">
        <v>5</v>
      </c>
      <c r="AR197" t="s">
        <v>161</v>
      </c>
      <c r="AS197">
        <v>3</v>
      </c>
      <c r="AT197">
        <v>2</v>
      </c>
      <c r="AU197">
        <v>1950</v>
      </c>
      <c r="AV197">
        <v>1.45</v>
      </c>
      <c r="AW197">
        <v>5500</v>
      </c>
      <c r="AX197">
        <v>1</v>
      </c>
      <c r="AY197">
        <v>325</v>
      </c>
      <c r="AZ197">
        <v>0.23</v>
      </c>
      <c r="BA197" s="43" t="str">
        <f t="shared" ref="BA197:BA250" si="6">+IF(V197="","NORMAL",V197)</f>
        <v>ECONOMY</v>
      </c>
      <c r="BB197" s="46">
        <f>IFERROR((AD197+IF(Calculator_v2!$E$6*Y197&lt;X197,X197,IF(Calculator_v2!$E$6*Y197&gt;Z197,Z197,Calculator_v2!$E$6*Y197))+IF(Calculator_v2!$E$6*AC197&lt;AB197,AB197,Calculator_v2!$E$6*AC197)+IFERROR(_xlfn.LET(_xlpm.tarifa,IF(Calculator_v2!$E$6&lt;=$AI$1,AI197,IF(Calculator_v2!$E$6&lt;=$AK$1,AJ197,IF(Calculator_v2!$E$6&lt;=$AL$1,AK197,IF(Calculator_v2!$E$6&lt;=$AM$1,AL197,IF(Calculator_v2!$E$6&lt;=$AN$1,AM197,IF(Calculator_v2!$E$6&lt;=$AO$1,AN197,IF(Calculator_v2!$E$6&lt;=$AP$1,AO197,AP197))))))),_xlpm.resultado,_xlpm.tarifa*Calculator_v2!$E$6,IF(_xlpm.resultado&lt;AH197,AH197,_xlpm.resultado)),0)+IF(Calculator_v2!$E$6*AV197&lt;AU197,AU197,IF(Calculator_v2!$E$6*AV197&gt;AW197,AW197,Calculator_v2!$E$6*AV197))+IF(Calculator_v2!$E$6*AZ197&lt;=AY197,AY197,Calculator_v2!$E$6*AZ197)),0)</f>
        <v>4009.5200000000004</v>
      </c>
      <c r="BC197" s="47">
        <f>IFERROR(+BB197/Calculator_v2!$E$6,0)+IFERROR(VLOOKUP(A197,DHL_ADDER!$B$4:$E$26,4,0),0)</f>
        <v>7.6528378378378381</v>
      </c>
      <c r="BD197" s="48">
        <f t="shared" ref="BD197:BD250" si="7">IF(AT197="",1,IF(OR(NOT(ISERROR(SEARCH("Daily",AT197))),NOT(ISERROR(SEARCH("DAILY",AT197)))),7,IF(AND(ISERROR(FIND(",",AT197)),ISERROR(FIND(" ",AT197))),AT197,LEN(AT197)-LEN(SUBSTITUTE(SUBSTITUTE(AT197,",",""),".",""))+1)))</f>
        <v>2</v>
      </c>
      <c r="BE197" s="48">
        <f>+T[[#This Row],[Airport to Destination Transit Time Days]]+T[[#This Row],[Airport to Airport Transit Time Days]]+T[[#This Row],[Origin to Airport Transit Time in days]]</f>
        <v>8</v>
      </c>
    </row>
    <row r="198" spans="1:57" customFormat="1" x14ac:dyDescent="0.35">
      <c r="A198" t="str">
        <f>+T[[#This Row],[Provider_Name]]&amp;"_"&amp;T[[#This Row],[AXIS]]</f>
        <v>DHL_B_FR&gt;AR</v>
      </c>
      <c r="B198" t="s">
        <v>71</v>
      </c>
      <c r="C198" t="s">
        <v>242</v>
      </c>
      <c r="D198" t="s">
        <v>243</v>
      </c>
      <c r="E198" t="s">
        <v>244</v>
      </c>
      <c r="F198" t="s">
        <v>245</v>
      </c>
      <c r="G198" t="s">
        <v>151</v>
      </c>
      <c r="H198" t="s">
        <v>246</v>
      </c>
      <c r="I198" t="s">
        <v>247</v>
      </c>
      <c r="J198" t="s">
        <v>248</v>
      </c>
      <c r="K198" t="s">
        <v>249</v>
      </c>
      <c r="L198" t="s">
        <v>250</v>
      </c>
      <c r="M198" t="s">
        <v>251</v>
      </c>
      <c r="N198" t="s">
        <v>251</v>
      </c>
      <c r="O198">
        <v>5000</v>
      </c>
      <c r="P198" t="s">
        <v>252</v>
      </c>
      <c r="Q198" t="s">
        <v>253</v>
      </c>
      <c r="R198">
        <v>12</v>
      </c>
      <c r="S198">
        <v>1200</v>
      </c>
      <c r="T198">
        <v>1200</v>
      </c>
      <c r="U198" s="1">
        <v>100</v>
      </c>
      <c r="V198" t="s">
        <v>255</v>
      </c>
      <c r="W198" s="43">
        <v>7</v>
      </c>
      <c r="X198">
        <v>62</v>
      </c>
      <c r="Y198">
        <v>0.41</v>
      </c>
      <c r="Z198" t="s">
        <v>145</v>
      </c>
      <c r="AA198">
        <v>2</v>
      </c>
      <c r="AB198">
        <v>28</v>
      </c>
      <c r="AC198">
        <v>0.01</v>
      </c>
      <c r="AD198">
        <v>43</v>
      </c>
      <c r="AE198">
        <v>0</v>
      </c>
      <c r="AF198">
        <v>0</v>
      </c>
      <c r="AG198" t="s">
        <v>86</v>
      </c>
      <c r="AH198">
        <v>45</v>
      </c>
      <c r="AI198" s="1">
        <v>2.63</v>
      </c>
      <c r="AJ198" s="1">
        <v>2.63</v>
      </c>
      <c r="AK198" s="1">
        <v>2.63</v>
      </c>
      <c r="AL198" s="1">
        <v>2.63</v>
      </c>
      <c r="AM198" s="1">
        <v>2.63</v>
      </c>
      <c r="AN198" s="1">
        <v>2.63</v>
      </c>
      <c r="AO198" s="1">
        <v>2.63</v>
      </c>
      <c r="AP198" s="1">
        <v>2.63</v>
      </c>
      <c r="AQ198">
        <v>4</v>
      </c>
      <c r="AR198" t="s">
        <v>256</v>
      </c>
      <c r="AS198">
        <v>1</v>
      </c>
      <c r="AT198">
        <v>3</v>
      </c>
      <c r="AU198">
        <v>1950</v>
      </c>
      <c r="AV198">
        <v>1.45</v>
      </c>
      <c r="AW198">
        <v>5500</v>
      </c>
      <c r="AX198">
        <v>1</v>
      </c>
      <c r="AY198">
        <v>325</v>
      </c>
      <c r="AZ198">
        <v>0.23</v>
      </c>
      <c r="BA198" s="43" t="str">
        <f t="shared" si="6"/>
        <v>NORMAL</v>
      </c>
      <c r="BB198" s="46">
        <f>IFERROR((AD198+IF(Calculator_v2!$E$6*Y198&lt;X198,X198,IF(Calculator_v2!$E$6*Y198&gt;Z198,Z198,Calculator_v2!$E$6*Y198))+IF(Calculator_v2!$E$6*AC198&lt;AB198,AB198,Calculator_v2!$E$6*AC198)+IFERROR(_xlfn.LET(_xlpm.tarifa,IF(Calculator_v2!$E$6&lt;=$AI$1,AI198,IF(Calculator_v2!$E$6&lt;=$AK$1,AJ198,IF(Calculator_v2!$E$6&lt;=$AL$1,AK198,IF(Calculator_v2!$E$6&lt;=$AM$1,AL198,IF(Calculator_v2!$E$6&lt;=$AN$1,AM198,IF(Calculator_v2!$E$6&lt;=$AO$1,AN198,IF(Calculator_v2!$E$6&lt;=$AP$1,AO198,AP198))))))),_xlpm.resultado,_xlpm.tarifa*Calculator_v2!$E$6,IF(_xlpm.resultado&lt;AH198,AH198,_xlpm.resultado)),0)+IF(Calculator_v2!$E$6*AV198&lt;AU198,AU198,IF(Calculator_v2!$E$6*AV198&gt;AW198,AW198,Calculator_v2!$E$6*AV198))+IF(Calculator_v2!$E$6*AZ198&lt;=AY198,AY198,Calculator_v2!$E$6*AZ198)),0)</f>
        <v>4145.68</v>
      </c>
      <c r="BC198" s="47">
        <f>IFERROR(+BB198/Calculator_v2!$E$6,0)+IFERROR(VLOOKUP(A198,DHL_ADDER!$B$4:$E$26,4,0),0)</f>
        <v>7.8828378378378385</v>
      </c>
      <c r="BD198" s="48">
        <f t="shared" si="7"/>
        <v>3</v>
      </c>
      <c r="BE198" s="48">
        <f>+T[[#This Row],[Airport to Destination Transit Time Days]]+T[[#This Row],[Airport to Airport Transit Time Days]]+T[[#This Row],[Origin to Airport Transit Time in days]]</f>
        <v>7</v>
      </c>
    </row>
    <row r="199" spans="1:57" customFormat="1" x14ac:dyDescent="0.35">
      <c r="A199" t="str">
        <f>+T[[#This Row],[Provider_Name]]&amp;"_"&amp;T[[#This Row],[AXIS]]</f>
        <v>DHL_B_FR&gt;AR</v>
      </c>
      <c r="B199" t="s">
        <v>71</v>
      </c>
      <c r="C199" t="s">
        <v>242</v>
      </c>
      <c r="D199" t="s">
        <v>243</v>
      </c>
      <c r="E199" t="s">
        <v>244</v>
      </c>
      <c r="F199" t="s">
        <v>245</v>
      </c>
      <c r="G199" t="s">
        <v>151</v>
      </c>
      <c r="H199" t="s">
        <v>246</v>
      </c>
      <c r="I199" t="s">
        <v>247</v>
      </c>
      <c r="J199" t="s">
        <v>248</v>
      </c>
      <c r="K199" t="s">
        <v>249</v>
      </c>
      <c r="L199" t="s">
        <v>250</v>
      </c>
      <c r="M199" t="s">
        <v>251</v>
      </c>
      <c r="N199" t="s">
        <v>251</v>
      </c>
      <c r="O199">
        <v>5000</v>
      </c>
      <c r="P199" t="s">
        <v>252</v>
      </c>
      <c r="Q199" t="s">
        <v>253</v>
      </c>
      <c r="R199">
        <v>12</v>
      </c>
      <c r="S199">
        <v>1200</v>
      </c>
      <c r="T199">
        <v>1200</v>
      </c>
      <c r="U199" s="1">
        <v>100</v>
      </c>
      <c r="V199" t="s">
        <v>257</v>
      </c>
      <c r="W199" s="43">
        <v>5</v>
      </c>
      <c r="X199" s="44">
        <v>585</v>
      </c>
      <c r="Y199" s="44">
        <v>0.01</v>
      </c>
      <c r="Z199" s="44" t="s">
        <v>145</v>
      </c>
      <c r="AA199">
        <v>1</v>
      </c>
      <c r="AB199" s="45">
        <v>48</v>
      </c>
      <c r="AC199" s="45">
        <v>0.01</v>
      </c>
      <c r="AD199" s="45">
        <v>43</v>
      </c>
      <c r="AE199">
        <v>0</v>
      </c>
      <c r="AF199">
        <v>0</v>
      </c>
      <c r="AG199" t="s">
        <v>86</v>
      </c>
      <c r="AH199" s="44">
        <v>150</v>
      </c>
      <c r="AI199" s="44">
        <v>10.722</v>
      </c>
      <c r="AJ199" s="44">
        <v>10.067500000000001</v>
      </c>
      <c r="AK199" s="44">
        <v>7.2625000000000002</v>
      </c>
      <c r="AL199" s="44">
        <v>6.7694999999999999</v>
      </c>
      <c r="AM199" s="44">
        <v>6.4889999999999999</v>
      </c>
      <c r="AN199" s="44">
        <v>6.2084999999999999</v>
      </c>
      <c r="AO199" s="44">
        <v>6.2084999999999999</v>
      </c>
      <c r="AP199" s="44">
        <v>6.2084999999999999</v>
      </c>
      <c r="AQ199">
        <v>3</v>
      </c>
      <c r="AR199" t="s">
        <v>147</v>
      </c>
      <c r="AS199">
        <v>1</v>
      </c>
      <c r="AT199">
        <v>7</v>
      </c>
      <c r="AU199">
        <v>1950</v>
      </c>
      <c r="AV199">
        <v>1.45</v>
      </c>
      <c r="AW199">
        <v>5500</v>
      </c>
      <c r="AX199">
        <v>1</v>
      </c>
      <c r="AY199">
        <v>425</v>
      </c>
      <c r="AZ199">
        <v>0.3</v>
      </c>
      <c r="BA199" s="43" t="str">
        <f t="shared" si="6"/>
        <v>EXPRESS</v>
      </c>
      <c r="BB199" s="46">
        <f>IFERROR((AD199+IF(Calculator_v2!$E$6*Y199&lt;X199,X199,IF(Calculator_v2!$E$6*Y199&gt;Z199,Z199,Calculator_v2!$E$6*Y199))+IF(Calculator_v2!$E$6*AC199&lt;AB199,AB199,Calculator_v2!$E$6*AC199)+IFERROR(_xlfn.LET(_xlpm.tarifa,IF(Calculator_v2!$E$6&lt;=$AI$1,AI199,IF(Calculator_v2!$E$6&lt;=$AK$1,AJ199,IF(Calculator_v2!$E$6&lt;=$AL$1,AK199,IF(Calculator_v2!$E$6&lt;=$AM$1,AL199,IF(Calculator_v2!$E$6&lt;=$AN$1,AM199,IF(Calculator_v2!$E$6&lt;=$AO$1,AN199,IF(Calculator_v2!$E$6&lt;=$AP$1,AO199,AP199))))))),_xlpm.resultado,_xlpm.tarifa*Calculator_v2!$E$6,IF(_xlpm.resultado&lt;AH199,AH199,_xlpm.resultado)),0)+IF(Calculator_v2!$E$6*AV199&lt;AU199,AU199,IF(Calculator_v2!$E$6*AV199&gt;AW199,AW199,Calculator_v2!$E$6*AV199))+IF(Calculator_v2!$E$6*AZ199&lt;=AY199,AY199,Calculator_v2!$E$6*AZ199)),0)</f>
        <v>6892.4879999999994</v>
      </c>
      <c r="BC199" s="47">
        <f>IFERROR(+BB199/Calculator_v2!$E$6,0)+IFERROR(VLOOKUP(A199,DHL_ADDER!$B$4:$E$26,4,0),0)</f>
        <v>12.522716216216214</v>
      </c>
      <c r="BD199" s="48">
        <f t="shared" si="7"/>
        <v>7</v>
      </c>
      <c r="BE199" s="48">
        <f>+T[[#This Row],[Airport to Destination Transit Time Days]]+T[[#This Row],[Airport to Airport Transit Time Days]]+T[[#This Row],[Origin to Airport Transit Time in days]]</f>
        <v>5</v>
      </c>
    </row>
    <row r="200" spans="1:57" customFormat="1" x14ac:dyDescent="0.35">
      <c r="A200" t="str">
        <f>+T[[#This Row],[Provider_Name]]&amp;"_"&amp;T[[#This Row],[AXIS]]</f>
        <v>DHL_B_IN&gt;CL</v>
      </c>
      <c r="B200" t="s">
        <v>71</v>
      </c>
      <c r="C200" t="s">
        <v>176</v>
      </c>
      <c r="D200" t="s">
        <v>165</v>
      </c>
      <c r="E200" t="s">
        <v>166</v>
      </c>
      <c r="F200" t="s">
        <v>258</v>
      </c>
      <c r="G200" t="s">
        <v>167</v>
      </c>
      <c r="H200" t="s">
        <v>172</v>
      </c>
      <c r="I200" t="s">
        <v>173</v>
      </c>
      <c r="J200">
        <v>602117</v>
      </c>
      <c r="K200" t="s">
        <v>174</v>
      </c>
      <c r="L200" t="s">
        <v>140</v>
      </c>
      <c r="M200" t="s">
        <v>142</v>
      </c>
      <c r="N200" t="s">
        <v>141</v>
      </c>
      <c r="O200" t="s">
        <v>82</v>
      </c>
      <c r="P200" t="s">
        <v>143</v>
      </c>
      <c r="Q200" t="s">
        <v>144</v>
      </c>
      <c r="R200">
        <v>4</v>
      </c>
      <c r="S200">
        <v>399</v>
      </c>
      <c r="T200">
        <v>399</v>
      </c>
      <c r="U200" s="1">
        <v>100</v>
      </c>
      <c r="V200" t="s">
        <v>85</v>
      </c>
      <c r="W200" s="43">
        <v>11</v>
      </c>
      <c r="X200" s="44">
        <v>44.117647058823529</v>
      </c>
      <c r="Y200" s="44">
        <v>5.8823529411764705E-2</v>
      </c>
      <c r="Z200" s="44">
        <v>176.47058823529412</v>
      </c>
      <c r="AA200">
        <v>1</v>
      </c>
      <c r="AB200" s="45">
        <v>6.3725490196078427</v>
      </c>
      <c r="AC200" s="45">
        <v>1.9607843137254902E-2</v>
      </c>
      <c r="AD200" s="45">
        <v>24.509803921568629</v>
      </c>
      <c r="AE200">
        <v>3.6764705882352939</v>
      </c>
      <c r="AF200">
        <v>3.9215686274509803E-2</v>
      </c>
      <c r="AG200" t="s">
        <v>86</v>
      </c>
      <c r="AH200" s="44">
        <v>189.8623853211009</v>
      </c>
      <c r="AI200" s="44">
        <v>7.946788990825687</v>
      </c>
      <c r="AJ200" s="44">
        <v>7.3963302752293565</v>
      </c>
      <c r="AK200" s="44">
        <v>6.9376146788990818</v>
      </c>
      <c r="AL200" s="44">
        <v>6.4788990825688062</v>
      </c>
      <c r="AM200" s="44">
        <v>6.0201834862385315</v>
      </c>
      <c r="AN200" s="44">
        <v>6.0201834862385315</v>
      </c>
      <c r="AO200" s="44">
        <v>6.0201834862385315</v>
      </c>
      <c r="AP200" s="44">
        <v>6.0201834862385315</v>
      </c>
      <c r="AQ200">
        <v>9</v>
      </c>
      <c r="AR200" t="s">
        <v>154</v>
      </c>
      <c r="AS200">
        <v>1</v>
      </c>
      <c r="AT200">
        <v>7</v>
      </c>
      <c r="AU200">
        <v>250</v>
      </c>
      <c r="AV200">
        <v>0.15</v>
      </c>
      <c r="AW200">
        <v>450</v>
      </c>
      <c r="AX200">
        <v>1</v>
      </c>
      <c r="AY200">
        <v>150</v>
      </c>
      <c r="AZ200">
        <v>0.01</v>
      </c>
      <c r="BA200" s="43" t="str">
        <f t="shared" si="6"/>
        <v>Economy</v>
      </c>
      <c r="BB200" s="46">
        <f>IFERROR((AD200+IF(Calculator_v2!$E$6*Y200&lt;X200,X200,IF(Calculator_v2!$E$6*Y200&gt;Z200,Z200,Calculator_v2!$E$6*Y200))+IF(Calculator_v2!$E$6*AC200&lt;AB200,AB200,Calculator_v2!$E$6*AC200)+IFERROR(_xlfn.LET(_xlpm.tarifa,IF(Calculator_v2!$E$6&lt;=$AI$1,AI200,IF(Calculator_v2!$E$6&lt;=$AK$1,AJ200,IF(Calculator_v2!$E$6&lt;=$AL$1,AK200,IF(Calculator_v2!$E$6&lt;=$AM$1,AL200,IF(Calculator_v2!$E$6&lt;=$AN$1,AM200,IF(Calculator_v2!$E$6&lt;=$AO$1,AN200,IF(Calculator_v2!$E$6&lt;=$AP$1,AO200,AP200))))))),_xlpm.resultado,_xlpm.tarifa*Calculator_v2!$E$6,IF(_xlpm.resultado&lt;AH200,AH200,_xlpm.resultado)),0)+IF(Calculator_v2!$E$6*AV200&lt;AU200,AU200,IF(Calculator_v2!$E$6*AV200&gt;AW200,AW200,Calculator_v2!$E$6*AV200))+IF(Calculator_v2!$E$6*AZ200&lt;=AY200,AY200,Calculator_v2!$E$6*AZ200)),0)</f>
        <v>4044.1839179708577</v>
      </c>
      <c r="BC200" s="47">
        <f>IFERROR(+BB200/Calculator_v2!$E$6,0)+IFERROR(VLOOKUP(A200,DHL_ADDER!$B$4:$E$26,4,0),0)</f>
        <v>12.721391753329151</v>
      </c>
      <c r="BD200" s="48">
        <f t="shared" si="7"/>
        <v>7</v>
      </c>
      <c r="BE200" s="48">
        <f>+T[[#This Row],[Airport to Destination Transit Time Days]]+T[[#This Row],[Airport to Airport Transit Time Days]]+T[[#This Row],[Origin to Airport Transit Time in days]]</f>
        <v>11</v>
      </c>
    </row>
    <row r="201" spans="1:57" customFormat="1" x14ac:dyDescent="0.35">
      <c r="A201" t="str">
        <f>+T[[#This Row],[Provider_Name]]&amp;"_"&amp;T[[#This Row],[AXIS]]</f>
        <v>DHL_B_IN&gt;CL</v>
      </c>
      <c r="B201" t="s">
        <v>71</v>
      </c>
      <c r="C201" t="s">
        <v>176</v>
      </c>
      <c r="D201" t="s">
        <v>165</v>
      </c>
      <c r="E201" t="s">
        <v>166</v>
      </c>
      <c r="F201" t="s">
        <v>258</v>
      </c>
      <c r="G201" t="s">
        <v>167</v>
      </c>
      <c r="H201" t="s">
        <v>172</v>
      </c>
      <c r="I201" t="s">
        <v>173</v>
      </c>
      <c r="J201">
        <v>602117</v>
      </c>
      <c r="K201" t="s">
        <v>174</v>
      </c>
      <c r="L201" t="s">
        <v>140</v>
      </c>
      <c r="M201" t="s">
        <v>142</v>
      </c>
      <c r="N201" t="s">
        <v>141</v>
      </c>
      <c r="O201" t="s">
        <v>82</v>
      </c>
      <c r="P201" t="s">
        <v>143</v>
      </c>
      <c r="Q201" t="s">
        <v>144</v>
      </c>
      <c r="R201">
        <v>4</v>
      </c>
      <c r="S201">
        <v>399</v>
      </c>
      <c r="T201">
        <v>399</v>
      </c>
      <c r="U201" s="1">
        <v>100</v>
      </c>
      <c r="V201" t="s">
        <v>90</v>
      </c>
      <c r="W201" s="43">
        <v>7</v>
      </c>
      <c r="X201" s="44">
        <v>44.117647058823529</v>
      </c>
      <c r="Y201" s="44">
        <v>5.8823529411764705E-2</v>
      </c>
      <c r="Z201" s="44">
        <v>176.47058823529412</v>
      </c>
      <c r="AA201">
        <v>1</v>
      </c>
      <c r="AB201" s="45">
        <v>6.3725490196078427</v>
      </c>
      <c r="AC201" s="45">
        <v>1.9607843137254902E-2</v>
      </c>
      <c r="AD201" s="45">
        <v>24.509803921568629</v>
      </c>
      <c r="AE201">
        <v>3.6764705882352939</v>
      </c>
      <c r="AF201">
        <v>3.9215686274509803E-2</v>
      </c>
      <c r="AG201" t="s">
        <v>86</v>
      </c>
      <c r="AH201" s="44">
        <v>244.90825688073392</v>
      </c>
      <c r="AI201" s="44">
        <v>13.910091743119267</v>
      </c>
      <c r="AJ201" s="44">
        <v>12.992660550458716</v>
      </c>
      <c r="AK201" s="44">
        <v>12.075229357798166</v>
      </c>
      <c r="AL201" s="44">
        <v>11.616513761467891</v>
      </c>
      <c r="AM201" s="44">
        <v>11.157798165137615</v>
      </c>
      <c r="AN201" s="44">
        <v>11.157798165137615</v>
      </c>
      <c r="AO201" s="44">
        <v>11.157798165137615</v>
      </c>
      <c r="AP201" s="44">
        <v>11.157798165137615</v>
      </c>
      <c r="AQ201">
        <v>5</v>
      </c>
      <c r="AR201" t="s">
        <v>259</v>
      </c>
      <c r="AS201">
        <v>1</v>
      </c>
      <c r="AT201">
        <v>7</v>
      </c>
      <c r="AU201">
        <v>250</v>
      </c>
      <c r="AV201">
        <v>0.15</v>
      </c>
      <c r="AW201">
        <v>450</v>
      </c>
      <c r="AX201">
        <v>1</v>
      </c>
      <c r="AY201">
        <v>150</v>
      </c>
      <c r="AZ201">
        <v>0.01</v>
      </c>
      <c r="BA201" s="43" t="str">
        <f t="shared" si="6"/>
        <v>Express</v>
      </c>
      <c r="BB201" s="46">
        <f>IFERROR((AD201+IF(Calculator_v2!$E$6*Y201&lt;X201,X201,IF(Calculator_v2!$E$6*Y201&gt;Z201,Z201,Calculator_v2!$E$6*Y201))+IF(Calculator_v2!$E$6*AC201&lt;AB201,AB201,Calculator_v2!$E$6*AC201)+IFERROR(_xlfn.LET(_xlpm.tarifa,IF(Calculator_v2!$E$6&lt;=$AI$1,AI201,IF(Calculator_v2!$E$6&lt;=$AK$1,AJ201,IF(Calculator_v2!$E$6&lt;=$AL$1,AK201,IF(Calculator_v2!$E$6&lt;=$AM$1,AL201,IF(Calculator_v2!$E$6&lt;=$AN$1,AM201,IF(Calculator_v2!$E$6&lt;=$AO$1,AN201,IF(Calculator_v2!$E$6&lt;=$AP$1,AO201,AP201))))))),_xlpm.resultado,_xlpm.tarifa*Calculator_v2!$E$6,IF(_xlpm.resultado&lt;AH201,AH201,_xlpm.resultado)),0)+IF(Calculator_v2!$E$6*AV201&lt;AU201,AU201,IF(Calculator_v2!$E$6*AV201&gt;AW201,AW201,Calculator_v2!$E$6*AV201))+IF(Calculator_v2!$E$6*AZ201&lt;=AY201,AY201,Calculator_v2!$E$6*AZ201)),0)</f>
        <v>7085.651807879115</v>
      </c>
      <c r="BC201" s="47">
        <f>IFERROR(+BB201/Calculator_v2!$E$6,0)+IFERROR(VLOOKUP(A201,DHL_ADDER!$B$4:$E$26,4,0),0)</f>
        <v>17.859006432228234</v>
      </c>
      <c r="BD201" s="48">
        <f t="shared" si="7"/>
        <v>7</v>
      </c>
      <c r="BE201" s="48">
        <f>+T[[#This Row],[Airport to Destination Transit Time Days]]+T[[#This Row],[Airport to Airport Transit Time Days]]+T[[#This Row],[Origin to Airport Transit Time in days]]</f>
        <v>7</v>
      </c>
    </row>
    <row r="202" spans="1:57" customFormat="1" x14ac:dyDescent="0.35">
      <c r="A202" t="str">
        <f>+T[[#This Row],[Provider_Name]]&amp;"_"&amp;T[[#This Row],[AXIS]]</f>
        <v>DHL_B_IN&gt;CL</v>
      </c>
      <c r="B202" t="s">
        <v>71</v>
      </c>
      <c r="C202" t="s">
        <v>176</v>
      </c>
      <c r="D202" t="s">
        <v>165</v>
      </c>
      <c r="E202" t="s">
        <v>166</v>
      </c>
      <c r="F202" t="s">
        <v>258</v>
      </c>
      <c r="G202" t="s">
        <v>167</v>
      </c>
      <c r="H202" t="s">
        <v>172</v>
      </c>
      <c r="I202" t="s">
        <v>173</v>
      </c>
      <c r="J202">
        <v>602117</v>
      </c>
      <c r="K202" t="s">
        <v>174</v>
      </c>
      <c r="L202" t="s">
        <v>140</v>
      </c>
      <c r="M202" t="s">
        <v>142</v>
      </c>
      <c r="N202" t="s">
        <v>141</v>
      </c>
      <c r="O202" t="s">
        <v>82</v>
      </c>
      <c r="P202" t="s">
        <v>143</v>
      </c>
      <c r="Q202" t="s">
        <v>144</v>
      </c>
      <c r="R202">
        <v>4</v>
      </c>
      <c r="S202">
        <v>399</v>
      </c>
      <c r="T202">
        <v>399</v>
      </c>
      <c r="U202" s="1">
        <v>100</v>
      </c>
      <c r="V202" t="s">
        <v>91</v>
      </c>
      <c r="W202" s="43">
        <v>9</v>
      </c>
      <c r="X202" s="44">
        <v>44.117647058823529</v>
      </c>
      <c r="Y202" s="44">
        <v>5.8823529411764705E-2</v>
      </c>
      <c r="Z202" s="44">
        <v>176.47058823529412</v>
      </c>
      <c r="AA202">
        <v>1</v>
      </c>
      <c r="AB202" s="45">
        <v>6.3725490196078427</v>
      </c>
      <c r="AC202" s="45">
        <v>1.9607843137254902E-2</v>
      </c>
      <c r="AD202" s="45">
        <v>24.509803921568629</v>
      </c>
      <c r="AE202">
        <v>3.6764705882352939</v>
      </c>
      <c r="AF202">
        <v>3.9215686274509803E-2</v>
      </c>
      <c r="AG202" t="s">
        <v>86</v>
      </c>
      <c r="AH202" s="44">
        <v>217.38532110091739</v>
      </c>
      <c r="AI202" s="44">
        <v>11.616513761467891</v>
      </c>
      <c r="AJ202" s="44">
        <v>10.69908256880734</v>
      </c>
      <c r="AK202" s="44">
        <v>9.7816513761467903</v>
      </c>
      <c r="AL202" s="44">
        <v>9.3229357798165147</v>
      </c>
      <c r="AM202" s="44">
        <v>8.8642201834862391</v>
      </c>
      <c r="AN202" s="44">
        <v>8.8642201834862391</v>
      </c>
      <c r="AO202" s="44">
        <v>8.8642201834862391</v>
      </c>
      <c r="AP202" s="44">
        <v>8.8642201834862391</v>
      </c>
      <c r="AQ202">
        <v>7</v>
      </c>
      <c r="AR202" t="s">
        <v>259</v>
      </c>
      <c r="AS202">
        <v>1</v>
      </c>
      <c r="AT202">
        <v>7</v>
      </c>
      <c r="AU202">
        <v>250</v>
      </c>
      <c r="AV202">
        <v>0.15</v>
      </c>
      <c r="AW202">
        <v>450</v>
      </c>
      <c r="AX202">
        <v>1</v>
      </c>
      <c r="AY202">
        <v>150</v>
      </c>
      <c r="AZ202">
        <v>0.01</v>
      </c>
      <c r="BA202" s="43" t="str">
        <f t="shared" si="6"/>
        <v>Normal</v>
      </c>
      <c r="BB202" s="46">
        <f>IFERROR((AD202+IF(Calculator_v2!$E$6*Y202&lt;X202,X202,IF(Calculator_v2!$E$6*Y202&gt;Z202,Z202,Calculator_v2!$E$6*Y202))+IF(Calculator_v2!$E$6*AC202&lt;AB202,AB202,Calculator_v2!$E$6*AC202)+IFERROR(_xlfn.LET(_xlpm.tarifa,IF(Calculator_v2!$E$6&lt;=$AI$1,AI202,IF(Calculator_v2!$E$6&lt;=$AK$1,AJ202,IF(Calculator_v2!$E$6&lt;=$AL$1,AK202,IF(Calculator_v2!$E$6&lt;=$AM$1,AL202,IF(Calculator_v2!$E$6&lt;=$AN$1,AM202,IF(Calculator_v2!$E$6&lt;=$AO$1,AN202,IF(Calculator_v2!$E$6&lt;=$AP$1,AO202,AP202))))))),_xlpm.resultado,_xlpm.tarifa*Calculator_v2!$E$6,IF(_xlpm.resultado&lt;AH202,AH202,_xlpm.resultado)),0)+IF(Calculator_v2!$E$6*AV202&lt;AU202,AU202,IF(Calculator_v2!$E$6*AV202&gt;AW202,AW202,Calculator_v2!$E$6*AV202))+IF(Calculator_v2!$E$6*AZ202&lt;=AY202,AY202,Calculator_v2!$E$6*AZ202)),0)</f>
        <v>5727.8536427415002</v>
      </c>
      <c r="BC202" s="47">
        <f>IFERROR(+BB202/Calculator_v2!$E$6,0)+IFERROR(VLOOKUP(A202,DHL_ADDER!$B$4:$E$26,4,0),0)</f>
        <v>15.565428450576857</v>
      </c>
      <c r="BD202" s="48">
        <f t="shared" si="7"/>
        <v>7</v>
      </c>
      <c r="BE202" s="48">
        <f>+T[[#This Row],[Airport to Destination Transit Time Days]]+T[[#This Row],[Airport to Airport Transit Time Days]]+T[[#This Row],[Origin to Airport Transit Time in days]]</f>
        <v>9</v>
      </c>
    </row>
    <row r="203" spans="1:57" customFormat="1" x14ac:dyDescent="0.35">
      <c r="A203" t="str">
        <f>+T[[#This Row],[Provider_Name]]&amp;"_"&amp;T[[#This Row],[AXIS]]</f>
        <v>Rohlig_H_BR&gt;RO</v>
      </c>
      <c r="B203" t="s">
        <v>260</v>
      </c>
      <c r="C203" t="s">
        <v>261</v>
      </c>
      <c r="D203" t="s">
        <v>262</v>
      </c>
      <c r="E203" t="s">
        <v>263</v>
      </c>
      <c r="F203" t="s">
        <v>75</v>
      </c>
      <c r="G203" t="s">
        <v>79</v>
      </c>
      <c r="H203" t="s">
        <v>80</v>
      </c>
      <c r="I203" t="s">
        <v>81</v>
      </c>
      <c r="J203" t="s">
        <v>82</v>
      </c>
      <c r="K203" t="s">
        <v>89</v>
      </c>
      <c r="L203" t="s">
        <v>119</v>
      </c>
      <c r="M203" t="s">
        <v>120</v>
      </c>
      <c r="N203" t="s">
        <v>121</v>
      </c>
      <c r="O203">
        <v>115400</v>
      </c>
      <c r="P203" t="s">
        <v>122</v>
      </c>
      <c r="Q203" t="s">
        <v>116</v>
      </c>
      <c r="R203">
        <v>29</v>
      </c>
      <c r="S203">
        <v>145321</v>
      </c>
      <c r="T203">
        <v>145321</v>
      </c>
      <c r="U203" s="1">
        <v>5011.0689655172409</v>
      </c>
      <c r="V203" t="s">
        <v>85</v>
      </c>
      <c r="W203" s="43">
        <v>10</v>
      </c>
      <c r="X203">
        <v>85</v>
      </c>
      <c r="Y203">
        <v>0.21000000000000002</v>
      </c>
      <c r="Z203">
        <v>383</v>
      </c>
      <c r="AA203">
        <v>2</v>
      </c>
      <c r="AB203">
        <v>13</v>
      </c>
      <c r="AC203">
        <v>0.04</v>
      </c>
      <c r="AD203">
        <v>137</v>
      </c>
      <c r="AE203">
        <v>0</v>
      </c>
      <c r="AF203">
        <v>0</v>
      </c>
      <c r="AG203">
        <v>0</v>
      </c>
      <c r="AH203">
        <v>94.5</v>
      </c>
      <c r="AI203" s="51">
        <v>3.06</v>
      </c>
      <c r="AJ203" s="51">
        <v>2.2949999999999999</v>
      </c>
      <c r="AK203" s="51">
        <v>2.0699999999999998</v>
      </c>
      <c r="AL203" s="51">
        <v>1.341</v>
      </c>
      <c r="AM203" s="51">
        <v>1.2240000000000002</v>
      </c>
      <c r="AN203" s="51">
        <v>1.1880000000000002</v>
      </c>
      <c r="AO203" s="51">
        <v>1.1700000000000002</v>
      </c>
      <c r="AP203" s="51">
        <v>1.1700000000000002</v>
      </c>
      <c r="AQ203">
        <v>7</v>
      </c>
      <c r="AR203" t="s">
        <v>264</v>
      </c>
      <c r="AS203">
        <v>2</v>
      </c>
      <c r="AT203">
        <v>3</v>
      </c>
      <c r="AU203">
        <v>100</v>
      </c>
      <c r="AV203">
        <v>0.15</v>
      </c>
      <c r="AW203">
        <v>420</v>
      </c>
      <c r="AX203">
        <v>1</v>
      </c>
      <c r="AY203">
        <v>95</v>
      </c>
      <c r="AZ203">
        <v>0.43</v>
      </c>
      <c r="BA203" s="43" t="str">
        <f t="shared" si="6"/>
        <v>Economy</v>
      </c>
      <c r="BB203" s="46">
        <f>IFERROR((AD203+IF(Calculator_v2!$E$6*Y203&lt;X203,X203,IF(Calculator_v2!$E$6*Y203&gt;Z203,Z203,Calculator_v2!$E$6*Y203))+IF(Calculator_v2!$E$6*AC203&lt;AB203,AB203,Calculator_v2!$E$6*AC203)+IFERROR(_xlfn.LET(_xlpm.tarifa,IF(Calculator_v2!$E$6&lt;=$AI$1,AI203,IF(Calculator_v2!$E$6&lt;=$AK$1,AJ203,IF(Calculator_v2!$E$6&lt;=$AL$1,AK203,IF(Calculator_v2!$E$6&lt;=$AM$1,AL203,IF(Calculator_v2!$E$6&lt;=$AN$1,AM203,IF(Calculator_v2!$E$6&lt;=$AO$1,AN203,IF(Calculator_v2!$E$6&lt;=$AP$1,AO203,AP203))))))),_xlpm.resultado,_xlpm.tarifa*Calculator_v2!$E$6,IF(_xlpm.resultado&lt;AH203,AH203,_xlpm.resultado)),0)+IF(Calculator_v2!$E$6*AV203&lt;AU203,AU203,IF(Calculator_v2!$E$6*AV203&gt;AW203,AW203,Calculator_v2!$E$6*AV203))+IF(Calculator_v2!$E$6*AZ203&lt;=AY203,AY203,Calculator_v2!$E$6*AZ203)),0)</f>
        <v>1364.1680000000001</v>
      </c>
      <c r="BC203" s="47">
        <f>IFERROR(+BB203/Calculator_v2!$E$6,0)+IFERROR(VLOOKUP(A203,DHL_ADDER!$B$4:$E$26,4,0),0)</f>
        <v>2.3043378378378381</v>
      </c>
      <c r="BD203" s="48">
        <f t="shared" si="7"/>
        <v>3</v>
      </c>
      <c r="BE203" s="48">
        <f>+T[[#This Row],[Airport to Destination Transit Time Days]]+T[[#This Row],[Airport to Airport Transit Time Days]]+T[[#This Row],[Origin to Airport Transit Time in days]]</f>
        <v>10</v>
      </c>
    </row>
    <row r="204" spans="1:57" customFormat="1" x14ac:dyDescent="0.35">
      <c r="A204" t="str">
        <f>+T[[#This Row],[Provider_Name]]&amp;"_"&amp;T[[#This Row],[AXIS]]</f>
        <v>Rohlig_H_BR&gt;RO</v>
      </c>
      <c r="B204" t="s">
        <v>260</v>
      </c>
      <c r="C204" t="s">
        <v>261</v>
      </c>
      <c r="D204" t="s">
        <v>262</v>
      </c>
      <c r="E204" t="s">
        <v>263</v>
      </c>
      <c r="F204" t="s">
        <v>75</v>
      </c>
      <c r="G204" t="s">
        <v>79</v>
      </c>
      <c r="H204" t="s">
        <v>80</v>
      </c>
      <c r="I204" t="s">
        <v>81</v>
      </c>
      <c r="J204" t="s">
        <v>82</v>
      </c>
      <c r="K204" t="s">
        <v>89</v>
      </c>
      <c r="L204" t="s">
        <v>119</v>
      </c>
      <c r="M204" t="s">
        <v>120</v>
      </c>
      <c r="N204" t="s">
        <v>121</v>
      </c>
      <c r="O204">
        <v>115400</v>
      </c>
      <c r="P204" t="s">
        <v>122</v>
      </c>
      <c r="Q204" t="s">
        <v>116</v>
      </c>
      <c r="R204">
        <v>29</v>
      </c>
      <c r="S204">
        <v>145321</v>
      </c>
      <c r="T204">
        <v>145321</v>
      </c>
      <c r="U204" s="1">
        <v>5011.0689655172409</v>
      </c>
      <c r="V204" t="s">
        <v>90</v>
      </c>
      <c r="W204" s="43">
        <v>6</v>
      </c>
      <c r="X204">
        <v>141</v>
      </c>
      <c r="Y204">
        <v>0.28000000000000003</v>
      </c>
      <c r="Z204">
        <v>446</v>
      </c>
      <c r="AA204">
        <v>1</v>
      </c>
      <c r="AB204">
        <v>13</v>
      </c>
      <c r="AC204">
        <v>0.04</v>
      </c>
      <c r="AD204">
        <v>137</v>
      </c>
      <c r="AE204">
        <v>0</v>
      </c>
      <c r="AF204">
        <v>0</v>
      </c>
      <c r="AG204">
        <v>0</v>
      </c>
      <c r="AH204">
        <v>117.9</v>
      </c>
      <c r="AI204" s="51">
        <v>3.6360000000000001</v>
      </c>
      <c r="AJ204" s="51">
        <v>3.06</v>
      </c>
      <c r="AK204" s="51">
        <v>2.835</v>
      </c>
      <c r="AL204" s="51">
        <v>1.917</v>
      </c>
      <c r="AM204" s="51">
        <v>1.8899999999999997</v>
      </c>
      <c r="AN204" s="51">
        <v>1.8719999999999997</v>
      </c>
      <c r="AO204" s="51">
        <v>1.8719999999999997</v>
      </c>
      <c r="AP204" s="51">
        <v>1.8719999999999997</v>
      </c>
      <c r="AQ204">
        <v>5</v>
      </c>
      <c r="AR204" t="s">
        <v>264</v>
      </c>
      <c r="AS204">
        <v>2</v>
      </c>
      <c r="AT204">
        <v>3</v>
      </c>
      <c r="AU204">
        <v>100</v>
      </c>
      <c r="AV204">
        <v>0.15</v>
      </c>
      <c r="AW204">
        <v>420</v>
      </c>
      <c r="AX204">
        <v>1</v>
      </c>
      <c r="AY204">
        <v>95</v>
      </c>
      <c r="AZ204">
        <v>0.43</v>
      </c>
      <c r="BA204" s="43" t="str">
        <f t="shared" si="6"/>
        <v>Express</v>
      </c>
      <c r="BB204" s="46">
        <f>IFERROR((AD204+IF(Calculator_v2!$E$6*Y204&lt;X204,X204,IF(Calculator_v2!$E$6*Y204&gt;Z204,Z204,Calculator_v2!$E$6*Y204))+IF(Calculator_v2!$E$6*AC204&lt;AB204,AB204,Calculator_v2!$E$6*AC204)+IFERROR(_xlfn.LET(_xlpm.tarifa,IF(Calculator_v2!$E$6&lt;=$AI$1,AI204,IF(Calculator_v2!$E$6&lt;=$AK$1,AJ204,IF(Calculator_v2!$E$6&lt;=$AL$1,AK204,IF(Calculator_v2!$E$6&lt;=$AM$1,AL204,IF(Calculator_v2!$E$6&lt;=$AN$1,AM204,IF(Calculator_v2!$E$6&lt;=$AO$1,AN204,IF(Calculator_v2!$E$6&lt;=$AP$1,AO204,AP204))))))),_xlpm.resultado,_xlpm.tarifa*Calculator_v2!$E$6,IF(_xlpm.resultado&lt;AH204,AH204,_xlpm.resultado)),0)+IF(Calculator_v2!$E$6*AV204&lt;AU204,AU204,IF(Calculator_v2!$E$6*AV204&gt;AW204,AW204,Calculator_v2!$E$6*AV204))+IF(Calculator_v2!$E$6*AZ204&lt;=AY204,AY204,Calculator_v2!$E$6*AZ204)),0)</f>
        <v>1799.8799999999999</v>
      </c>
      <c r="BC204" s="47">
        <f>IFERROR(+BB204/Calculator_v2!$E$6,0)+IFERROR(VLOOKUP(A204,DHL_ADDER!$B$4:$E$26,4,0),0)</f>
        <v>3.0403378378378378</v>
      </c>
      <c r="BD204" s="48">
        <f t="shared" si="7"/>
        <v>3</v>
      </c>
      <c r="BE204" s="48">
        <f>+T[[#This Row],[Airport to Destination Transit Time Days]]+T[[#This Row],[Airport to Airport Transit Time Days]]+T[[#This Row],[Origin to Airport Transit Time in days]]</f>
        <v>7</v>
      </c>
    </row>
    <row r="205" spans="1:57" customFormat="1" x14ac:dyDescent="0.35">
      <c r="A205" t="str">
        <f>+T[[#This Row],[Provider_Name]]&amp;"_"&amp;T[[#This Row],[AXIS]]</f>
        <v>Rohlig_H_BR&gt;RO</v>
      </c>
      <c r="B205" t="s">
        <v>260</v>
      </c>
      <c r="C205" t="s">
        <v>261</v>
      </c>
      <c r="D205" t="s">
        <v>262</v>
      </c>
      <c r="E205" t="s">
        <v>263</v>
      </c>
      <c r="F205" t="s">
        <v>75</v>
      </c>
      <c r="G205" t="s">
        <v>79</v>
      </c>
      <c r="H205" t="s">
        <v>80</v>
      </c>
      <c r="I205" t="s">
        <v>81</v>
      </c>
      <c r="J205" t="s">
        <v>82</v>
      </c>
      <c r="K205" t="s">
        <v>89</v>
      </c>
      <c r="L205" t="s">
        <v>119</v>
      </c>
      <c r="M205" t="s">
        <v>120</v>
      </c>
      <c r="N205" t="s">
        <v>121</v>
      </c>
      <c r="O205">
        <v>115400</v>
      </c>
      <c r="P205" t="s">
        <v>122</v>
      </c>
      <c r="Q205" t="s">
        <v>116</v>
      </c>
      <c r="R205">
        <v>29</v>
      </c>
      <c r="S205">
        <v>145321</v>
      </c>
      <c r="T205">
        <v>145321</v>
      </c>
      <c r="U205" s="1">
        <v>5011.0689655172409</v>
      </c>
      <c r="V205" t="s">
        <v>91</v>
      </c>
      <c r="W205" s="43">
        <v>9</v>
      </c>
      <c r="X205">
        <v>85</v>
      </c>
      <c r="Y205">
        <v>0.21000000000000002</v>
      </c>
      <c r="Z205">
        <v>383</v>
      </c>
      <c r="AA205">
        <v>2</v>
      </c>
      <c r="AB205">
        <v>13</v>
      </c>
      <c r="AC205">
        <v>0.04</v>
      </c>
      <c r="AD205">
        <v>137</v>
      </c>
      <c r="AE205">
        <v>0</v>
      </c>
      <c r="AF205">
        <v>0</v>
      </c>
      <c r="AG205">
        <v>0</v>
      </c>
      <c r="AH205">
        <v>103.5</v>
      </c>
      <c r="AI205" s="51">
        <v>3.0960000000000001</v>
      </c>
      <c r="AJ205" s="51">
        <v>2.331</v>
      </c>
      <c r="AK205" s="51">
        <v>2.1059999999999999</v>
      </c>
      <c r="AL205" s="51">
        <v>1.377</v>
      </c>
      <c r="AM205" s="51">
        <v>1.2689999999999999</v>
      </c>
      <c r="AN205" s="51">
        <v>1.2240000000000002</v>
      </c>
      <c r="AO205" s="51">
        <v>1.2150000000000001</v>
      </c>
      <c r="AP205" s="51">
        <v>1.2150000000000001</v>
      </c>
      <c r="AQ205">
        <v>6</v>
      </c>
      <c r="AR205" t="s">
        <v>264</v>
      </c>
      <c r="AS205">
        <v>2</v>
      </c>
      <c r="AT205">
        <v>3</v>
      </c>
      <c r="AU205">
        <v>100</v>
      </c>
      <c r="AV205">
        <v>0.15</v>
      </c>
      <c r="AW205">
        <v>420</v>
      </c>
      <c r="AX205">
        <v>1</v>
      </c>
      <c r="AY205">
        <v>95</v>
      </c>
      <c r="AZ205">
        <v>0.43</v>
      </c>
      <c r="BA205" s="43" t="str">
        <f t="shared" si="6"/>
        <v>Normal</v>
      </c>
      <c r="BB205" s="46">
        <f>IFERROR((AD205+IF(Calculator_v2!$E$6*Y205&lt;X205,X205,IF(Calculator_v2!$E$6*Y205&gt;Z205,Z205,Calculator_v2!$E$6*Y205))+IF(Calculator_v2!$E$6*AC205&lt;AB205,AB205,Calculator_v2!$E$6*AC205)+IFERROR(_xlfn.LET(_xlpm.tarifa,IF(Calculator_v2!$E$6&lt;=$AI$1,AI205,IF(Calculator_v2!$E$6&lt;=$AK$1,AJ205,IF(Calculator_v2!$E$6&lt;=$AL$1,AK205,IF(Calculator_v2!$E$6&lt;=$AM$1,AL205,IF(Calculator_v2!$E$6&lt;=$AN$1,AM205,IF(Calculator_v2!$E$6&lt;=$AO$1,AN205,IF(Calculator_v2!$E$6&lt;=$AP$1,AO205,AP205))))))),_xlpm.resultado,_xlpm.tarifa*Calculator_v2!$E$6,IF(_xlpm.resultado&lt;AH205,AH205,_xlpm.resultado)),0)+IF(Calculator_v2!$E$6*AV205&lt;AU205,AU205,IF(Calculator_v2!$E$6*AV205&gt;AW205,AW205,Calculator_v2!$E$6*AV205))+IF(Calculator_v2!$E$6*AZ205&lt;=AY205,AY205,Calculator_v2!$E$6*AZ205)),0)</f>
        <v>1390.808</v>
      </c>
      <c r="BC205" s="47">
        <f>IFERROR(+BB205/Calculator_v2!$E$6,0)+IFERROR(VLOOKUP(A205,DHL_ADDER!$B$4:$E$26,4,0),0)</f>
        <v>2.349337837837838</v>
      </c>
      <c r="BD205" s="48">
        <f t="shared" si="7"/>
        <v>3</v>
      </c>
      <c r="BE205" s="48">
        <f>+T[[#This Row],[Airport to Destination Transit Time Days]]+T[[#This Row],[Airport to Airport Transit Time Days]]+T[[#This Row],[Origin to Airport Transit Time in days]]</f>
        <v>9</v>
      </c>
    </row>
    <row r="206" spans="1:57" customFormat="1" x14ac:dyDescent="0.35">
      <c r="A206" t="str">
        <f>+T[[#This Row],[Provider_Name]]&amp;"_"&amp;T[[#This Row],[AXIS]]</f>
        <v>Rohlig_H_BR&gt;RO</v>
      </c>
      <c r="B206" t="s">
        <v>260</v>
      </c>
      <c r="C206" t="s">
        <v>261</v>
      </c>
      <c r="D206" t="s">
        <v>262</v>
      </c>
      <c r="E206" t="s">
        <v>263</v>
      </c>
      <c r="F206" t="s">
        <v>92</v>
      </c>
      <c r="G206" t="s">
        <v>79</v>
      </c>
      <c r="H206" t="s">
        <v>80</v>
      </c>
      <c r="I206" t="s">
        <v>81</v>
      </c>
      <c r="J206" t="s">
        <v>82</v>
      </c>
      <c r="K206" t="s">
        <v>93</v>
      </c>
      <c r="L206" t="s">
        <v>119</v>
      </c>
      <c r="M206" t="s">
        <v>120</v>
      </c>
      <c r="N206" t="s">
        <v>121</v>
      </c>
      <c r="O206">
        <v>115400</v>
      </c>
      <c r="P206" t="s">
        <v>122</v>
      </c>
      <c r="Q206" t="s">
        <v>116</v>
      </c>
      <c r="R206">
        <v>29</v>
      </c>
      <c r="S206">
        <v>145321</v>
      </c>
      <c r="T206">
        <v>145321</v>
      </c>
      <c r="U206" s="1">
        <v>5011.0689655172409</v>
      </c>
      <c r="V206" t="s">
        <v>85</v>
      </c>
      <c r="W206" s="43">
        <v>9</v>
      </c>
      <c r="X206">
        <v>107</v>
      </c>
      <c r="Y206">
        <v>0.24000000000000002</v>
      </c>
      <c r="Z206">
        <v>467</v>
      </c>
      <c r="AA206">
        <v>2</v>
      </c>
      <c r="AB206">
        <v>13</v>
      </c>
      <c r="AC206">
        <v>0.04</v>
      </c>
      <c r="AD206">
        <v>137</v>
      </c>
      <c r="AE206">
        <v>0</v>
      </c>
      <c r="AF206">
        <v>0</v>
      </c>
      <c r="AG206">
        <v>0</v>
      </c>
      <c r="AH206">
        <v>94.5</v>
      </c>
      <c r="AI206" s="51">
        <v>3.06</v>
      </c>
      <c r="AJ206" s="51">
        <v>2.2949999999999999</v>
      </c>
      <c r="AK206" s="51">
        <v>2.0699999999999998</v>
      </c>
      <c r="AL206" s="51">
        <v>1.53</v>
      </c>
      <c r="AM206" s="51">
        <v>1.2240000000000002</v>
      </c>
      <c r="AN206" s="51">
        <v>1.1880000000000002</v>
      </c>
      <c r="AO206" s="51">
        <v>1.1700000000000002</v>
      </c>
      <c r="AP206" s="51">
        <v>1.1700000000000002</v>
      </c>
      <c r="AQ206">
        <v>6</v>
      </c>
      <c r="AR206" t="s">
        <v>264</v>
      </c>
      <c r="AS206">
        <v>2</v>
      </c>
      <c r="AT206">
        <v>3</v>
      </c>
      <c r="AU206">
        <v>100</v>
      </c>
      <c r="AV206">
        <v>0.15</v>
      </c>
      <c r="AW206">
        <v>420</v>
      </c>
      <c r="AX206">
        <v>1</v>
      </c>
      <c r="AY206">
        <v>95</v>
      </c>
      <c r="AZ206">
        <v>0.43</v>
      </c>
      <c r="BA206" s="43" t="str">
        <f t="shared" si="6"/>
        <v>Economy</v>
      </c>
      <c r="BB206" s="46">
        <f>IFERROR((AD206+IF(Calculator_v2!$E$6*Y206&lt;X206,X206,IF(Calculator_v2!$E$6*Y206&gt;Z206,Z206,Calculator_v2!$E$6*Y206))+IF(Calculator_v2!$E$6*AC206&lt;AB206,AB206,Calculator_v2!$E$6*AC206)+IFERROR(_xlfn.LET(_xlpm.tarifa,IF(Calculator_v2!$E$6&lt;=$AI$1,AI206,IF(Calculator_v2!$E$6&lt;=$AK$1,AJ206,IF(Calculator_v2!$E$6&lt;=$AL$1,AK206,IF(Calculator_v2!$E$6&lt;=$AM$1,AL206,IF(Calculator_v2!$E$6&lt;=$AN$1,AM206,IF(Calculator_v2!$E$6&lt;=$AO$1,AN206,IF(Calculator_v2!$E$6&lt;=$AP$1,AO206,AP206))))))),_xlpm.resultado,_xlpm.tarifa*Calculator_v2!$E$6,IF(_xlpm.resultado&lt;AH206,AH206,_xlpm.resultado)),0)+IF(Calculator_v2!$E$6*AV206&lt;AU206,AU206,IF(Calculator_v2!$E$6*AV206&gt;AW206,AW206,Calculator_v2!$E$6*AV206))+IF(Calculator_v2!$E$6*AZ206&lt;=AY206,AY206,Calculator_v2!$E$6*AZ206)),0)</f>
        <v>1381.9280000000001</v>
      </c>
      <c r="BC206" s="47">
        <f>IFERROR(+BB206/Calculator_v2!$E$6,0)+IFERROR(VLOOKUP(A206,DHL_ADDER!$B$4:$E$26,4,0),0)</f>
        <v>2.3343378378378379</v>
      </c>
      <c r="BD206" s="48">
        <f t="shared" si="7"/>
        <v>3</v>
      </c>
      <c r="BE206" s="48">
        <f>+T[[#This Row],[Airport to Destination Transit Time Days]]+T[[#This Row],[Airport to Airport Transit Time Days]]+T[[#This Row],[Origin to Airport Transit Time in days]]</f>
        <v>9</v>
      </c>
    </row>
    <row r="207" spans="1:57" customFormat="1" x14ac:dyDescent="0.35">
      <c r="A207" t="str">
        <f>+T[[#This Row],[Provider_Name]]&amp;"_"&amp;T[[#This Row],[AXIS]]</f>
        <v>Rohlig_H_BR&gt;RO</v>
      </c>
      <c r="B207" t="s">
        <v>260</v>
      </c>
      <c r="C207" t="s">
        <v>261</v>
      </c>
      <c r="D207" t="s">
        <v>262</v>
      </c>
      <c r="E207" t="s">
        <v>263</v>
      </c>
      <c r="F207" t="s">
        <v>92</v>
      </c>
      <c r="G207" t="s">
        <v>79</v>
      </c>
      <c r="H207" t="s">
        <v>80</v>
      </c>
      <c r="I207" t="s">
        <v>81</v>
      </c>
      <c r="J207" t="s">
        <v>82</v>
      </c>
      <c r="K207" t="s">
        <v>93</v>
      </c>
      <c r="L207" t="s">
        <v>119</v>
      </c>
      <c r="M207" t="s">
        <v>120</v>
      </c>
      <c r="N207" t="s">
        <v>121</v>
      </c>
      <c r="O207">
        <v>115400</v>
      </c>
      <c r="P207" t="s">
        <v>122</v>
      </c>
      <c r="Q207" t="s">
        <v>116</v>
      </c>
      <c r="R207">
        <v>29</v>
      </c>
      <c r="S207">
        <v>145321</v>
      </c>
      <c r="T207">
        <v>145321</v>
      </c>
      <c r="U207" s="1">
        <v>5011.0689655172409</v>
      </c>
      <c r="V207" t="s">
        <v>90</v>
      </c>
      <c r="W207" s="43">
        <v>5</v>
      </c>
      <c r="X207">
        <v>722</v>
      </c>
      <c r="Y207">
        <v>1.49</v>
      </c>
      <c r="Z207">
        <v>1741</v>
      </c>
      <c r="AA207">
        <v>2</v>
      </c>
      <c r="AB207">
        <v>9</v>
      </c>
      <c r="AC207">
        <v>0.03</v>
      </c>
      <c r="AD207">
        <v>137</v>
      </c>
      <c r="AE207">
        <v>0</v>
      </c>
      <c r="AF207">
        <v>0</v>
      </c>
      <c r="AG207">
        <v>0</v>
      </c>
      <c r="AH207">
        <v>94.5</v>
      </c>
      <c r="AI207" s="51">
        <v>4.5090000000000003</v>
      </c>
      <c r="AJ207" s="51">
        <v>4.05</v>
      </c>
      <c r="AK207" s="51">
        <v>2.2949999999999999</v>
      </c>
      <c r="AL207" s="51">
        <v>1.9799999999999998</v>
      </c>
      <c r="AM207" s="51">
        <v>1.9350000000000001</v>
      </c>
      <c r="AN207" s="51">
        <v>1.8719999999999997</v>
      </c>
      <c r="AO207" s="51">
        <v>1.8359999999999996</v>
      </c>
      <c r="AP207" s="51">
        <v>1.764</v>
      </c>
      <c r="AQ207">
        <v>2</v>
      </c>
      <c r="AR207" t="s">
        <v>265</v>
      </c>
      <c r="AS207">
        <v>1</v>
      </c>
      <c r="AT207">
        <v>7</v>
      </c>
      <c r="AU207">
        <v>100</v>
      </c>
      <c r="AV207">
        <v>0.15</v>
      </c>
      <c r="AW207">
        <v>420</v>
      </c>
      <c r="AX207">
        <v>1</v>
      </c>
      <c r="AY207">
        <v>95</v>
      </c>
      <c r="AZ207">
        <v>0.43</v>
      </c>
      <c r="BA207" s="43" t="str">
        <f t="shared" si="6"/>
        <v>Express</v>
      </c>
      <c r="BB207" s="46">
        <f>IFERROR((AD207+IF(Calculator_v2!$E$6*Y207&lt;X207,X207,IF(Calculator_v2!$E$6*Y207&gt;Z207,Z207,Calculator_v2!$E$6*Y207))+IF(Calculator_v2!$E$6*AC207&lt;AB207,AB207,Calculator_v2!$E$6*AC207)+IFERROR(_xlfn.LET(_xlpm.tarifa,IF(Calculator_v2!$E$6&lt;=$AI$1,AI207,IF(Calculator_v2!$E$6&lt;=$AK$1,AJ207,IF(Calculator_v2!$E$6&lt;=$AL$1,AK207,IF(Calculator_v2!$E$6&lt;=$AM$1,AL207,IF(Calculator_v2!$E$6&lt;=$AN$1,AM207,IF(Calculator_v2!$E$6&lt;=$AO$1,AN207,IF(Calculator_v2!$E$6&lt;=$AP$1,AO207,AP207))))))),_xlpm.resultado,_xlpm.tarifa*Calculator_v2!$E$6,IF(_xlpm.resultado&lt;AH207,AH207,_xlpm.resultado)),0)+IF(Calculator_v2!$E$6*AV207&lt;AU207,AU207,IF(Calculator_v2!$E$6*AV207&gt;AW207,AW207,Calculator_v2!$E$6*AV207))+IF(Calculator_v2!$E$6*AZ207&lt;=AY207,AY207,Calculator_v2!$E$6*AZ207)),0)</f>
        <v>2536.92</v>
      </c>
      <c r="BC207" s="47">
        <f>IFERROR(+BB207/Calculator_v2!$E$6,0)+IFERROR(VLOOKUP(A207,DHL_ADDER!$B$4:$E$26,4,0),0)</f>
        <v>4.2853378378378384</v>
      </c>
      <c r="BD207" s="48">
        <f t="shared" si="7"/>
        <v>7</v>
      </c>
      <c r="BE207" s="48">
        <f>+T[[#This Row],[Airport to Destination Transit Time Days]]+T[[#This Row],[Airport to Airport Transit Time Days]]+T[[#This Row],[Origin to Airport Transit Time in days]]</f>
        <v>5</v>
      </c>
    </row>
    <row r="208" spans="1:57" customFormat="1" x14ac:dyDescent="0.35">
      <c r="A208" t="str">
        <f>+T[[#This Row],[Provider_Name]]&amp;"_"&amp;T[[#This Row],[AXIS]]</f>
        <v>Rohlig_H_BR&gt;RO</v>
      </c>
      <c r="B208" t="s">
        <v>260</v>
      </c>
      <c r="C208" t="s">
        <v>261</v>
      </c>
      <c r="D208" t="s">
        <v>262</v>
      </c>
      <c r="E208" t="s">
        <v>263</v>
      </c>
      <c r="F208" t="s">
        <v>92</v>
      </c>
      <c r="G208" t="s">
        <v>79</v>
      </c>
      <c r="H208" t="s">
        <v>80</v>
      </c>
      <c r="I208" t="s">
        <v>81</v>
      </c>
      <c r="J208" t="s">
        <v>82</v>
      </c>
      <c r="K208" t="s">
        <v>93</v>
      </c>
      <c r="L208" t="s">
        <v>119</v>
      </c>
      <c r="M208" t="s">
        <v>120</v>
      </c>
      <c r="N208" t="s">
        <v>121</v>
      </c>
      <c r="O208">
        <v>115400</v>
      </c>
      <c r="P208" t="s">
        <v>122</v>
      </c>
      <c r="Q208" t="s">
        <v>116</v>
      </c>
      <c r="R208">
        <v>29</v>
      </c>
      <c r="S208">
        <v>145321</v>
      </c>
      <c r="T208">
        <v>145321</v>
      </c>
      <c r="U208" s="1">
        <v>5011.0689655172409</v>
      </c>
      <c r="V208" t="s">
        <v>91</v>
      </c>
      <c r="W208" s="43">
        <v>8</v>
      </c>
      <c r="X208">
        <v>107</v>
      </c>
      <c r="Y208">
        <v>0.24000000000000002</v>
      </c>
      <c r="Z208">
        <v>467</v>
      </c>
      <c r="AA208">
        <v>2</v>
      </c>
      <c r="AB208">
        <v>13</v>
      </c>
      <c r="AC208">
        <v>0.04</v>
      </c>
      <c r="AD208">
        <v>137</v>
      </c>
      <c r="AE208">
        <v>0</v>
      </c>
      <c r="AF208">
        <v>0</v>
      </c>
      <c r="AG208">
        <v>0</v>
      </c>
      <c r="AH208">
        <v>103.5</v>
      </c>
      <c r="AI208" s="51">
        <v>3.0960000000000001</v>
      </c>
      <c r="AJ208" s="51">
        <v>2.331</v>
      </c>
      <c r="AK208" s="51">
        <v>2.1059999999999999</v>
      </c>
      <c r="AL208" s="51">
        <v>1.575</v>
      </c>
      <c r="AM208" s="51">
        <v>1.2689999999999999</v>
      </c>
      <c r="AN208" s="51">
        <v>1.2240000000000002</v>
      </c>
      <c r="AO208" s="51">
        <v>1.2150000000000001</v>
      </c>
      <c r="AP208" s="51">
        <v>1.2150000000000001</v>
      </c>
      <c r="AQ208">
        <v>5</v>
      </c>
      <c r="AR208" t="s">
        <v>264</v>
      </c>
      <c r="AS208">
        <v>2</v>
      </c>
      <c r="AT208">
        <v>3</v>
      </c>
      <c r="AU208">
        <v>100</v>
      </c>
      <c r="AV208">
        <v>0.15</v>
      </c>
      <c r="AW208">
        <v>420</v>
      </c>
      <c r="AX208">
        <v>1</v>
      </c>
      <c r="AY208">
        <v>95</v>
      </c>
      <c r="AZ208">
        <v>0.43</v>
      </c>
      <c r="BA208" s="43" t="str">
        <f t="shared" si="6"/>
        <v>Normal</v>
      </c>
      <c r="BB208" s="46">
        <f>IFERROR((AD208+IF(Calculator_v2!$E$6*Y208&lt;X208,X208,IF(Calculator_v2!$E$6*Y208&gt;Z208,Z208,Calculator_v2!$E$6*Y208))+IF(Calculator_v2!$E$6*AC208&lt;AB208,AB208,Calculator_v2!$E$6*AC208)+IFERROR(_xlfn.LET(_xlpm.tarifa,IF(Calculator_v2!$E$6&lt;=$AI$1,AI208,IF(Calculator_v2!$E$6&lt;=$AK$1,AJ208,IF(Calculator_v2!$E$6&lt;=$AL$1,AK208,IF(Calculator_v2!$E$6&lt;=$AM$1,AL208,IF(Calculator_v2!$E$6&lt;=$AN$1,AM208,IF(Calculator_v2!$E$6&lt;=$AO$1,AN208,IF(Calculator_v2!$E$6&lt;=$AP$1,AO208,AP208))))))),_xlpm.resultado,_xlpm.tarifa*Calculator_v2!$E$6,IF(_xlpm.resultado&lt;AH208,AH208,_xlpm.resultado)),0)+IF(Calculator_v2!$E$6*AV208&lt;AU208,AU208,IF(Calculator_v2!$E$6*AV208&gt;AW208,AW208,Calculator_v2!$E$6*AV208))+IF(Calculator_v2!$E$6*AZ208&lt;=AY208,AY208,Calculator_v2!$E$6*AZ208)),0)</f>
        <v>1408.568</v>
      </c>
      <c r="BC208" s="47">
        <f>IFERROR(+BB208/Calculator_v2!$E$6,0)+IFERROR(VLOOKUP(A208,DHL_ADDER!$B$4:$E$26,4,0),0)</f>
        <v>2.3793378378378378</v>
      </c>
      <c r="BD208" s="48">
        <f t="shared" si="7"/>
        <v>3</v>
      </c>
      <c r="BE208" s="48">
        <f>+T[[#This Row],[Airport to Destination Transit Time Days]]+T[[#This Row],[Airport to Airport Transit Time Days]]+T[[#This Row],[Origin to Airport Transit Time in days]]</f>
        <v>8</v>
      </c>
    </row>
    <row r="209" spans="1:57" customFormat="1" x14ac:dyDescent="0.35">
      <c r="A209" t="str">
        <f>+T[[#This Row],[Provider_Name]]&amp;"_"&amp;T[[#This Row],[AXIS]]</f>
        <v>Rohlig_H_BR&gt;RO</v>
      </c>
      <c r="B209" t="s">
        <v>260</v>
      </c>
      <c r="C209" t="s">
        <v>261</v>
      </c>
      <c r="D209" t="s">
        <v>262</v>
      </c>
      <c r="E209" t="s">
        <v>263</v>
      </c>
      <c r="F209" t="s">
        <v>75</v>
      </c>
      <c r="G209" t="s">
        <v>79</v>
      </c>
      <c r="H209" t="s">
        <v>80</v>
      </c>
      <c r="I209" t="s">
        <v>81</v>
      </c>
      <c r="J209" t="s">
        <v>82</v>
      </c>
      <c r="K209" t="s">
        <v>83</v>
      </c>
      <c r="L209" t="s">
        <v>119</v>
      </c>
      <c r="M209" t="s">
        <v>120</v>
      </c>
      <c r="N209" t="s">
        <v>121</v>
      </c>
      <c r="O209">
        <v>115400</v>
      </c>
      <c r="P209" t="s">
        <v>122</v>
      </c>
      <c r="Q209" t="s">
        <v>116</v>
      </c>
      <c r="R209">
        <v>29</v>
      </c>
      <c r="S209">
        <v>145321</v>
      </c>
      <c r="T209">
        <v>145321</v>
      </c>
      <c r="U209" s="1">
        <v>5011.0689655172409</v>
      </c>
      <c r="V209" t="s">
        <v>85</v>
      </c>
      <c r="W209" s="43">
        <v>9</v>
      </c>
      <c r="X209">
        <v>85</v>
      </c>
      <c r="Y209">
        <v>0.21000000000000002</v>
      </c>
      <c r="Z209">
        <v>383</v>
      </c>
      <c r="AA209">
        <v>2</v>
      </c>
      <c r="AB209">
        <v>13</v>
      </c>
      <c r="AC209">
        <v>0.04</v>
      </c>
      <c r="AD209">
        <v>137</v>
      </c>
      <c r="AE209">
        <v>0</v>
      </c>
      <c r="AF209">
        <v>0</v>
      </c>
      <c r="AG209">
        <v>0</v>
      </c>
      <c r="AH209">
        <v>94.5</v>
      </c>
      <c r="AI209" s="51">
        <v>3.06</v>
      </c>
      <c r="AJ209" s="51">
        <v>2.2949999999999999</v>
      </c>
      <c r="AK209" s="51">
        <v>2.0699999999999998</v>
      </c>
      <c r="AL209" s="51">
        <v>1.53</v>
      </c>
      <c r="AM209" s="51">
        <v>1.2240000000000002</v>
      </c>
      <c r="AN209" s="51">
        <v>1.1880000000000002</v>
      </c>
      <c r="AO209" s="51">
        <v>1.1700000000000002</v>
      </c>
      <c r="AP209" s="51">
        <v>1.1700000000000002</v>
      </c>
      <c r="AQ209">
        <v>6</v>
      </c>
      <c r="AR209" t="s">
        <v>264</v>
      </c>
      <c r="AS209">
        <v>2</v>
      </c>
      <c r="AT209">
        <v>3</v>
      </c>
      <c r="AU209">
        <v>100</v>
      </c>
      <c r="AV209">
        <v>0.15</v>
      </c>
      <c r="AW209">
        <v>420</v>
      </c>
      <c r="AX209">
        <v>1</v>
      </c>
      <c r="AY209">
        <v>95</v>
      </c>
      <c r="AZ209">
        <v>0.43</v>
      </c>
      <c r="BA209" s="43" t="str">
        <f t="shared" si="6"/>
        <v>Economy</v>
      </c>
      <c r="BB209" s="46">
        <f>IFERROR((AD209+IF(Calculator_v2!$E$6*Y209&lt;X209,X209,IF(Calculator_v2!$E$6*Y209&gt;Z209,Z209,Calculator_v2!$E$6*Y209))+IF(Calculator_v2!$E$6*AC209&lt;AB209,AB209,Calculator_v2!$E$6*AC209)+IFERROR(_xlfn.LET(_xlpm.tarifa,IF(Calculator_v2!$E$6&lt;=$AI$1,AI209,IF(Calculator_v2!$E$6&lt;=$AK$1,AJ209,IF(Calculator_v2!$E$6&lt;=$AL$1,AK209,IF(Calculator_v2!$E$6&lt;=$AM$1,AL209,IF(Calculator_v2!$E$6&lt;=$AN$1,AM209,IF(Calculator_v2!$E$6&lt;=$AO$1,AN209,IF(Calculator_v2!$E$6&lt;=$AP$1,AO209,AP209))))))),_xlpm.resultado,_xlpm.tarifa*Calculator_v2!$E$6,IF(_xlpm.resultado&lt;AH209,AH209,_xlpm.resultado)),0)+IF(Calculator_v2!$E$6*AV209&lt;AU209,AU209,IF(Calculator_v2!$E$6*AV209&gt;AW209,AW209,Calculator_v2!$E$6*AV209))+IF(Calculator_v2!$E$6*AZ209&lt;=AY209,AY209,Calculator_v2!$E$6*AZ209)),0)</f>
        <v>1364.1680000000001</v>
      </c>
      <c r="BC209" s="47">
        <f>IFERROR(+BB209/Calculator_v2!$E$6,0)+IFERROR(VLOOKUP(A209,DHL_ADDER!$B$4:$E$26,4,0),0)</f>
        <v>2.3043378378378381</v>
      </c>
      <c r="BD209" s="48">
        <f t="shared" si="7"/>
        <v>3</v>
      </c>
      <c r="BE209" s="48">
        <f>+T[[#This Row],[Airport to Destination Transit Time Days]]+T[[#This Row],[Airport to Airport Transit Time Days]]+T[[#This Row],[Origin to Airport Transit Time in days]]</f>
        <v>9</v>
      </c>
    </row>
    <row r="210" spans="1:57" customFormat="1" x14ac:dyDescent="0.35">
      <c r="A210" t="str">
        <f>+T[[#This Row],[Provider_Name]]&amp;"_"&amp;T[[#This Row],[AXIS]]</f>
        <v>Rohlig_H_BR&gt;RO</v>
      </c>
      <c r="B210" t="s">
        <v>260</v>
      </c>
      <c r="C210" t="s">
        <v>261</v>
      </c>
      <c r="D210" t="s">
        <v>262</v>
      </c>
      <c r="E210" t="s">
        <v>263</v>
      </c>
      <c r="F210" t="s">
        <v>75</v>
      </c>
      <c r="G210" t="s">
        <v>79</v>
      </c>
      <c r="H210" t="s">
        <v>80</v>
      </c>
      <c r="I210" t="s">
        <v>81</v>
      </c>
      <c r="J210" t="s">
        <v>82</v>
      </c>
      <c r="K210" t="s">
        <v>83</v>
      </c>
      <c r="L210" t="s">
        <v>119</v>
      </c>
      <c r="M210" t="s">
        <v>120</v>
      </c>
      <c r="N210" t="s">
        <v>121</v>
      </c>
      <c r="O210">
        <v>115400</v>
      </c>
      <c r="P210" t="s">
        <v>122</v>
      </c>
      <c r="Q210" t="s">
        <v>116</v>
      </c>
      <c r="R210">
        <v>29</v>
      </c>
      <c r="S210">
        <v>145321</v>
      </c>
      <c r="T210">
        <v>145321</v>
      </c>
      <c r="U210" s="1">
        <v>5011.0689655172409</v>
      </c>
      <c r="V210" t="s">
        <v>90</v>
      </c>
      <c r="W210" s="43">
        <v>5</v>
      </c>
      <c r="X210">
        <v>722</v>
      </c>
      <c r="Y210">
        <v>1.49</v>
      </c>
      <c r="Z210">
        <v>1741</v>
      </c>
      <c r="AA210">
        <v>2</v>
      </c>
      <c r="AB210">
        <v>9</v>
      </c>
      <c r="AC210">
        <v>0.03</v>
      </c>
      <c r="AD210">
        <v>137</v>
      </c>
      <c r="AE210">
        <v>0</v>
      </c>
      <c r="AF210">
        <v>0</v>
      </c>
      <c r="AG210">
        <v>0</v>
      </c>
      <c r="AH210">
        <v>94.5</v>
      </c>
      <c r="AI210" s="51">
        <v>4.5090000000000003</v>
      </c>
      <c r="AJ210" s="51">
        <v>4.05</v>
      </c>
      <c r="AK210" s="51">
        <v>2.2949999999999999</v>
      </c>
      <c r="AL210" s="51">
        <v>1.9799999999999998</v>
      </c>
      <c r="AM210" s="51">
        <v>1.9350000000000001</v>
      </c>
      <c r="AN210" s="51">
        <v>1.8719999999999997</v>
      </c>
      <c r="AO210" s="51">
        <v>1.8359999999999996</v>
      </c>
      <c r="AP210" s="51">
        <v>1.764</v>
      </c>
      <c r="AQ210">
        <v>2</v>
      </c>
      <c r="AR210" t="s">
        <v>265</v>
      </c>
      <c r="AS210">
        <v>1</v>
      </c>
      <c r="AT210">
        <v>7</v>
      </c>
      <c r="AU210">
        <v>100</v>
      </c>
      <c r="AV210">
        <v>0.15</v>
      </c>
      <c r="AW210">
        <v>420</v>
      </c>
      <c r="AX210">
        <v>1</v>
      </c>
      <c r="AY210">
        <v>95</v>
      </c>
      <c r="AZ210">
        <v>0.43</v>
      </c>
      <c r="BA210" s="43" t="str">
        <f t="shared" si="6"/>
        <v>Express</v>
      </c>
      <c r="BB210" s="46">
        <f>IFERROR((AD210+IF(Calculator_v2!$E$6*Y210&lt;X210,X210,IF(Calculator_v2!$E$6*Y210&gt;Z210,Z210,Calculator_v2!$E$6*Y210))+IF(Calculator_v2!$E$6*AC210&lt;AB210,AB210,Calculator_v2!$E$6*AC210)+IFERROR(_xlfn.LET(_xlpm.tarifa,IF(Calculator_v2!$E$6&lt;=$AI$1,AI210,IF(Calculator_v2!$E$6&lt;=$AK$1,AJ210,IF(Calculator_v2!$E$6&lt;=$AL$1,AK210,IF(Calculator_v2!$E$6&lt;=$AM$1,AL210,IF(Calculator_v2!$E$6&lt;=$AN$1,AM210,IF(Calculator_v2!$E$6&lt;=$AO$1,AN210,IF(Calculator_v2!$E$6&lt;=$AP$1,AO210,AP210))))))),_xlpm.resultado,_xlpm.tarifa*Calculator_v2!$E$6,IF(_xlpm.resultado&lt;AH210,AH210,_xlpm.resultado)),0)+IF(Calculator_v2!$E$6*AV210&lt;AU210,AU210,IF(Calculator_v2!$E$6*AV210&gt;AW210,AW210,Calculator_v2!$E$6*AV210))+IF(Calculator_v2!$E$6*AZ210&lt;=AY210,AY210,Calculator_v2!$E$6*AZ210)),0)</f>
        <v>2536.92</v>
      </c>
      <c r="BC210" s="47">
        <f>IFERROR(+BB210/Calculator_v2!$E$6,0)+IFERROR(VLOOKUP(A210,DHL_ADDER!$B$4:$E$26,4,0),0)</f>
        <v>4.2853378378378384</v>
      </c>
      <c r="BD210" s="48">
        <f t="shared" si="7"/>
        <v>7</v>
      </c>
      <c r="BE210" s="48">
        <f>+T[[#This Row],[Airport to Destination Transit Time Days]]+T[[#This Row],[Airport to Airport Transit Time Days]]+T[[#This Row],[Origin to Airport Transit Time in days]]</f>
        <v>5</v>
      </c>
    </row>
    <row r="211" spans="1:57" customFormat="1" x14ac:dyDescent="0.35">
      <c r="A211" t="str">
        <f>+T[[#This Row],[Provider_Name]]&amp;"_"&amp;T[[#This Row],[AXIS]]</f>
        <v>Rohlig_H_BR&gt;RO</v>
      </c>
      <c r="B211" t="s">
        <v>260</v>
      </c>
      <c r="C211" t="s">
        <v>261</v>
      </c>
      <c r="D211" t="s">
        <v>262</v>
      </c>
      <c r="E211" t="s">
        <v>263</v>
      </c>
      <c r="F211" t="s">
        <v>75</v>
      </c>
      <c r="G211" t="s">
        <v>79</v>
      </c>
      <c r="H211" t="s">
        <v>80</v>
      </c>
      <c r="I211" t="s">
        <v>81</v>
      </c>
      <c r="J211" t="s">
        <v>82</v>
      </c>
      <c r="K211" t="s">
        <v>83</v>
      </c>
      <c r="L211" t="s">
        <v>119</v>
      </c>
      <c r="M211" t="s">
        <v>120</v>
      </c>
      <c r="N211" t="s">
        <v>121</v>
      </c>
      <c r="O211">
        <v>115400</v>
      </c>
      <c r="P211" t="s">
        <v>122</v>
      </c>
      <c r="Q211" t="s">
        <v>116</v>
      </c>
      <c r="R211">
        <v>29</v>
      </c>
      <c r="S211">
        <v>145321</v>
      </c>
      <c r="T211">
        <v>145321</v>
      </c>
      <c r="U211" s="1">
        <v>5011.0689655172409</v>
      </c>
      <c r="V211" t="s">
        <v>91</v>
      </c>
      <c r="W211" s="43">
        <v>8</v>
      </c>
      <c r="X211">
        <v>85</v>
      </c>
      <c r="Y211">
        <v>0.21000000000000002</v>
      </c>
      <c r="Z211">
        <v>383</v>
      </c>
      <c r="AA211">
        <v>2</v>
      </c>
      <c r="AB211">
        <v>13</v>
      </c>
      <c r="AC211">
        <v>0.04</v>
      </c>
      <c r="AD211">
        <v>137</v>
      </c>
      <c r="AE211">
        <v>0</v>
      </c>
      <c r="AF211">
        <v>0</v>
      </c>
      <c r="AG211">
        <v>0</v>
      </c>
      <c r="AH211">
        <v>94.5</v>
      </c>
      <c r="AI211" s="51">
        <v>3.3659999999999997</v>
      </c>
      <c r="AJ211" s="51">
        <v>2.5289999999999999</v>
      </c>
      <c r="AK211" s="51">
        <v>2.2769999999999997</v>
      </c>
      <c r="AL211" s="51">
        <v>1.6830000000000001</v>
      </c>
      <c r="AM211" s="51">
        <v>1.35</v>
      </c>
      <c r="AN211" s="51">
        <v>1.3049999999999999</v>
      </c>
      <c r="AO211" s="51">
        <v>1.2869999999999999</v>
      </c>
      <c r="AP211" s="51">
        <v>1.2869999999999999</v>
      </c>
      <c r="AQ211">
        <v>5</v>
      </c>
      <c r="AR211" t="s">
        <v>264</v>
      </c>
      <c r="AS211">
        <v>2</v>
      </c>
      <c r="AT211">
        <v>3</v>
      </c>
      <c r="AU211">
        <v>100</v>
      </c>
      <c r="AV211">
        <v>0.15</v>
      </c>
      <c r="AW211">
        <v>420</v>
      </c>
      <c r="AX211">
        <v>1</v>
      </c>
      <c r="AY211">
        <v>95</v>
      </c>
      <c r="AZ211">
        <v>0.43</v>
      </c>
      <c r="BA211" s="43" t="str">
        <f t="shared" si="6"/>
        <v>Normal</v>
      </c>
      <c r="BB211" s="46">
        <f>IFERROR((AD211+IF(Calculator_v2!$E$6*Y211&lt;X211,X211,IF(Calculator_v2!$E$6*Y211&gt;Z211,Z211,Calculator_v2!$E$6*Y211))+IF(Calculator_v2!$E$6*AC211&lt;AB211,AB211,Calculator_v2!$E$6*AC211)+IFERROR(_xlfn.LET(_xlpm.tarifa,IF(Calculator_v2!$E$6&lt;=$AI$1,AI211,IF(Calculator_v2!$E$6&lt;=$AK$1,AJ211,IF(Calculator_v2!$E$6&lt;=$AL$1,AK211,IF(Calculator_v2!$E$6&lt;=$AM$1,AL211,IF(Calculator_v2!$E$6&lt;=$AN$1,AM211,IF(Calculator_v2!$E$6&lt;=$AO$1,AN211,IF(Calculator_v2!$E$6&lt;=$AP$1,AO211,AP211))))))),_xlpm.resultado,_xlpm.tarifa*Calculator_v2!$E$6,IF(_xlpm.resultado&lt;AH211,AH211,_xlpm.resultado)),0)+IF(Calculator_v2!$E$6*AV211&lt;AU211,AU211,IF(Calculator_v2!$E$6*AV211&gt;AW211,AW211,Calculator_v2!$E$6*AV211))+IF(Calculator_v2!$E$6*AZ211&lt;=AY211,AY211,Calculator_v2!$E$6*AZ211)),0)</f>
        <v>1438.76</v>
      </c>
      <c r="BC211" s="47">
        <f>IFERROR(+BB211/Calculator_v2!$E$6,0)+IFERROR(VLOOKUP(A211,DHL_ADDER!$B$4:$E$26,4,0),0)</f>
        <v>2.430337837837838</v>
      </c>
      <c r="BD211" s="48">
        <f t="shared" si="7"/>
        <v>3</v>
      </c>
      <c r="BE211" s="48">
        <f>+T[[#This Row],[Airport to Destination Transit Time Days]]+T[[#This Row],[Airport to Airport Transit Time Days]]+T[[#This Row],[Origin to Airport Transit Time in days]]</f>
        <v>8</v>
      </c>
    </row>
    <row r="212" spans="1:57" customFormat="1" x14ac:dyDescent="0.35">
      <c r="A212" t="str">
        <f>+T[[#This Row],[Provider_Name]]&amp;"_"&amp;T[[#This Row],[AXIS]]</f>
        <v>Rohlig_H_BR&gt;ES</v>
      </c>
      <c r="B212" t="s">
        <v>260</v>
      </c>
      <c r="C212" t="s">
        <v>266</v>
      </c>
      <c r="D212" t="s">
        <v>267</v>
      </c>
      <c r="E212" t="s">
        <v>263</v>
      </c>
      <c r="F212" t="s">
        <v>75</v>
      </c>
      <c r="G212" t="s">
        <v>79</v>
      </c>
      <c r="H212" t="s">
        <v>80</v>
      </c>
      <c r="I212" t="s">
        <v>81</v>
      </c>
      <c r="J212" t="s">
        <v>82</v>
      </c>
      <c r="K212" t="s">
        <v>89</v>
      </c>
      <c r="L212" t="s">
        <v>100</v>
      </c>
      <c r="M212" t="s">
        <v>106</v>
      </c>
      <c r="N212" t="s">
        <v>106</v>
      </c>
      <c r="O212">
        <v>48008</v>
      </c>
      <c r="P212" t="s">
        <v>102</v>
      </c>
      <c r="Q212" t="s">
        <v>107</v>
      </c>
      <c r="R212">
        <v>3</v>
      </c>
      <c r="S212">
        <v>5235</v>
      </c>
      <c r="T212">
        <v>5605</v>
      </c>
      <c r="U212" s="1">
        <v>1868.3333333333333</v>
      </c>
      <c r="V212" t="s">
        <v>85</v>
      </c>
      <c r="W212" s="43">
        <v>9</v>
      </c>
      <c r="X212">
        <v>85</v>
      </c>
      <c r="Y212">
        <v>0.21000000000000002</v>
      </c>
      <c r="Z212">
        <v>383</v>
      </c>
      <c r="AA212">
        <v>2</v>
      </c>
      <c r="AB212">
        <v>13</v>
      </c>
      <c r="AC212">
        <v>0.04</v>
      </c>
      <c r="AD212">
        <v>137</v>
      </c>
      <c r="AE212">
        <v>0</v>
      </c>
      <c r="AF212">
        <v>0</v>
      </c>
      <c r="AG212">
        <v>0</v>
      </c>
      <c r="AH212">
        <v>86.4</v>
      </c>
      <c r="AI212" s="51">
        <v>1.899</v>
      </c>
      <c r="AJ212" s="51">
        <v>1.728</v>
      </c>
      <c r="AK212" s="51">
        <v>1.53</v>
      </c>
      <c r="AL212" s="51">
        <v>1.377</v>
      </c>
      <c r="AM212" s="51">
        <v>1.3049999999999999</v>
      </c>
      <c r="AN212" s="51">
        <v>1.1880000000000002</v>
      </c>
      <c r="AO212" s="51">
        <v>1.161</v>
      </c>
      <c r="AP212" s="51">
        <v>1.1520000000000001</v>
      </c>
      <c r="AQ212">
        <v>5</v>
      </c>
      <c r="AR212" t="s">
        <v>264</v>
      </c>
      <c r="AS212">
        <v>2</v>
      </c>
      <c r="AT212">
        <v>3</v>
      </c>
      <c r="AU212">
        <v>380</v>
      </c>
      <c r="AV212">
        <v>0.76</v>
      </c>
      <c r="AW212">
        <v>825</v>
      </c>
      <c r="AX212">
        <v>2</v>
      </c>
      <c r="AY212">
        <v>110</v>
      </c>
      <c r="AZ212">
        <v>0.15</v>
      </c>
      <c r="BA212" s="43" t="str">
        <f t="shared" si="6"/>
        <v>Economy</v>
      </c>
      <c r="BB212" s="46">
        <f>IFERROR((AD212+IF(Calculator_v2!$E$6*Y212&lt;X212,X212,IF(Calculator_v2!$E$6*Y212&gt;Z212,Z212,Calculator_v2!$E$6*Y212))+IF(Calculator_v2!$E$6*AC212&lt;AB212,AB212,Calculator_v2!$E$6*AC212)+IFERROR(_xlfn.LET(_xlpm.tarifa,IF(Calculator_v2!$E$6&lt;=$AI$1,AI212,IF(Calculator_v2!$E$6&lt;=$AK$1,AJ212,IF(Calculator_v2!$E$6&lt;=$AL$1,AK212,IF(Calculator_v2!$E$6&lt;=$AM$1,AL212,IF(Calculator_v2!$E$6&lt;=$AN$1,AM212,IF(Calculator_v2!$E$6&lt;=$AO$1,AN212,IF(Calculator_v2!$E$6&lt;=$AP$1,AO212,AP212))))))),_xlpm.resultado,_xlpm.tarifa*Calculator_v2!$E$6,IF(_xlpm.resultado&lt;AH212,AH212,_xlpm.resultado)),0)+IF(Calculator_v2!$E$6*AV212&lt;AU212,AU212,IF(Calculator_v2!$E$6*AV212&gt;AW212,AW212,Calculator_v2!$E$6*AV212))+IF(Calculator_v2!$E$6*AZ212&lt;=AY212,AY212,Calculator_v2!$E$6*AZ212)),0)</f>
        <v>1617.48</v>
      </c>
      <c r="BC212" s="47">
        <f>IFERROR(+BB212/Calculator_v2!$E$6,0)+IFERROR(VLOOKUP(A212,DHL_ADDER!$B$4:$E$26,4,0),0)</f>
        <v>2.7322297297297298</v>
      </c>
      <c r="BD212" s="48">
        <f t="shared" si="7"/>
        <v>3</v>
      </c>
      <c r="BE212" s="48">
        <f>+T[[#This Row],[Airport to Destination Transit Time Days]]+T[[#This Row],[Airport to Airport Transit Time Days]]+T[[#This Row],[Origin to Airport Transit Time in days]]</f>
        <v>9</v>
      </c>
    </row>
    <row r="213" spans="1:57" customFormat="1" x14ac:dyDescent="0.35">
      <c r="A213" t="str">
        <f>+T[[#This Row],[Provider_Name]]&amp;"_"&amp;T[[#This Row],[AXIS]]</f>
        <v>Rohlig_H_BR&gt;ES</v>
      </c>
      <c r="B213" t="s">
        <v>260</v>
      </c>
      <c r="C213" t="s">
        <v>266</v>
      </c>
      <c r="D213" t="s">
        <v>267</v>
      </c>
      <c r="E213" t="s">
        <v>268</v>
      </c>
      <c r="F213" t="s">
        <v>75</v>
      </c>
      <c r="G213" t="s">
        <v>79</v>
      </c>
      <c r="H213" t="s">
        <v>80</v>
      </c>
      <c r="I213" t="s">
        <v>81</v>
      </c>
      <c r="J213" t="s">
        <v>82</v>
      </c>
      <c r="K213" t="s">
        <v>89</v>
      </c>
      <c r="L213" t="s">
        <v>100</v>
      </c>
      <c r="M213" t="s">
        <v>106</v>
      </c>
      <c r="N213" t="s">
        <v>106</v>
      </c>
      <c r="O213">
        <v>48008</v>
      </c>
      <c r="P213" t="s">
        <v>102</v>
      </c>
      <c r="Q213" t="s">
        <v>107</v>
      </c>
      <c r="R213">
        <v>136</v>
      </c>
      <c r="S213">
        <v>45430.68</v>
      </c>
      <c r="T213">
        <v>45430.68</v>
      </c>
      <c r="U213" s="1">
        <v>334.04911764705884</v>
      </c>
      <c r="V213" t="s">
        <v>85</v>
      </c>
      <c r="W213" s="43">
        <v>9</v>
      </c>
      <c r="X213">
        <v>85</v>
      </c>
      <c r="Y213">
        <v>0.21000000000000002</v>
      </c>
      <c r="Z213">
        <v>383</v>
      </c>
      <c r="AA213">
        <v>2</v>
      </c>
      <c r="AB213">
        <v>13</v>
      </c>
      <c r="AC213">
        <v>0.04</v>
      </c>
      <c r="AD213">
        <v>137</v>
      </c>
      <c r="AE213">
        <v>0</v>
      </c>
      <c r="AF213">
        <v>0</v>
      </c>
      <c r="AG213">
        <v>0</v>
      </c>
      <c r="AH213">
        <v>86.4</v>
      </c>
      <c r="AI213" s="51">
        <v>1.899</v>
      </c>
      <c r="AJ213" s="51">
        <v>1.728</v>
      </c>
      <c r="AK213" s="51">
        <v>1.53</v>
      </c>
      <c r="AL213" s="51">
        <v>1.377</v>
      </c>
      <c r="AM213" s="51">
        <v>1.3049999999999999</v>
      </c>
      <c r="AN213" s="51">
        <v>1.1880000000000002</v>
      </c>
      <c r="AO213" s="51">
        <v>1.161</v>
      </c>
      <c r="AP213" s="51">
        <v>1.1520000000000001</v>
      </c>
      <c r="AQ213">
        <v>5</v>
      </c>
      <c r="AR213" t="s">
        <v>264</v>
      </c>
      <c r="AS213">
        <v>2</v>
      </c>
      <c r="AT213">
        <v>3</v>
      </c>
      <c r="AU213">
        <v>380</v>
      </c>
      <c r="AV213">
        <v>0.76</v>
      </c>
      <c r="AW213">
        <v>550</v>
      </c>
      <c r="AX213">
        <v>2</v>
      </c>
      <c r="AY213">
        <v>110</v>
      </c>
      <c r="AZ213">
        <v>0.39</v>
      </c>
      <c r="BA213" s="43" t="str">
        <f t="shared" si="6"/>
        <v>Economy</v>
      </c>
      <c r="BB213" s="46">
        <f>IFERROR((AD213+IF(Calculator_v2!$E$6*Y213&lt;X213,X213,IF(Calculator_v2!$E$6*Y213&gt;Z213,Z213,Calculator_v2!$E$6*Y213))+IF(Calculator_v2!$E$6*AC213&lt;AB213,AB213,Calculator_v2!$E$6*AC213)+IFERROR(_xlfn.LET(_xlpm.tarifa,IF(Calculator_v2!$E$6&lt;=$AI$1,AI213,IF(Calculator_v2!$E$6&lt;=$AK$1,AJ213,IF(Calculator_v2!$E$6&lt;=$AL$1,AK213,IF(Calculator_v2!$E$6&lt;=$AM$1,AL213,IF(Calculator_v2!$E$6&lt;=$AN$1,AM213,IF(Calculator_v2!$E$6&lt;=$AO$1,AN213,IF(Calculator_v2!$E$6&lt;=$AP$1,AO213,AP213))))))),_xlpm.resultado,_xlpm.tarifa*Calculator_v2!$E$6,IF(_xlpm.resultado&lt;AH213,AH213,_xlpm.resultado)),0)+IF(Calculator_v2!$E$6*AV213&lt;AU213,AU213,IF(Calculator_v2!$E$6*AV213&gt;AW213,AW213,Calculator_v2!$E$6*AV213))+IF(Calculator_v2!$E$6*AZ213&lt;=AY213,AY213,Calculator_v2!$E$6*AZ213)),0)</f>
        <v>1738.3600000000001</v>
      </c>
      <c r="BC213" s="47">
        <f>IFERROR(+BB213/Calculator_v2!$E$6,0)+IFERROR(VLOOKUP(A213,DHL_ADDER!$B$4:$E$26,4,0),0)</f>
        <v>2.9364189189189189</v>
      </c>
      <c r="BD213" s="48">
        <f t="shared" si="7"/>
        <v>3</v>
      </c>
      <c r="BE213" s="48">
        <f>+T[[#This Row],[Airport to Destination Transit Time Days]]+T[[#This Row],[Airport to Airport Transit Time Days]]+T[[#This Row],[Origin to Airport Transit Time in days]]</f>
        <v>9</v>
      </c>
    </row>
    <row r="214" spans="1:57" customFormat="1" x14ac:dyDescent="0.35">
      <c r="A214" t="str">
        <f>+T[[#This Row],[Provider_Name]]&amp;"_"&amp;T[[#This Row],[AXIS]]</f>
        <v>Rohlig_H_BR&gt;ES</v>
      </c>
      <c r="B214" t="s">
        <v>260</v>
      </c>
      <c r="C214" t="s">
        <v>266</v>
      </c>
      <c r="D214" t="s">
        <v>267</v>
      </c>
      <c r="E214" t="s">
        <v>263</v>
      </c>
      <c r="F214" t="s">
        <v>75</v>
      </c>
      <c r="G214" t="s">
        <v>79</v>
      </c>
      <c r="H214" t="s">
        <v>80</v>
      </c>
      <c r="I214" t="s">
        <v>81</v>
      </c>
      <c r="J214" t="s">
        <v>82</v>
      </c>
      <c r="K214" t="s">
        <v>83</v>
      </c>
      <c r="L214" t="s">
        <v>100</v>
      </c>
      <c r="M214" t="s">
        <v>106</v>
      </c>
      <c r="N214" t="s">
        <v>106</v>
      </c>
      <c r="O214">
        <v>48008</v>
      </c>
      <c r="P214" t="s">
        <v>102</v>
      </c>
      <c r="Q214" t="s">
        <v>107</v>
      </c>
      <c r="R214">
        <v>3</v>
      </c>
      <c r="S214">
        <v>5235</v>
      </c>
      <c r="T214">
        <v>5605</v>
      </c>
      <c r="U214" s="1">
        <v>1868.3333333333333</v>
      </c>
      <c r="V214" t="s">
        <v>85</v>
      </c>
      <c r="W214" s="43">
        <v>9</v>
      </c>
      <c r="X214">
        <v>85</v>
      </c>
      <c r="Y214">
        <v>0.21000000000000002</v>
      </c>
      <c r="Z214">
        <v>383</v>
      </c>
      <c r="AA214">
        <v>2</v>
      </c>
      <c r="AB214">
        <v>13</v>
      </c>
      <c r="AC214">
        <v>0.04</v>
      </c>
      <c r="AD214">
        <v>137</v>
      </c>
      <c r="AE214">
        <v>0</v>
      </c>
      <c r="AF214">
        <v>0</v>
      </c>
      <c r="AG214">
        <v>0</v>
      </c>
      <c r="AH214">
        <v>86.4</v>
      </c>
      <c r="AI214" s="51">
        <v>1.899</v>
      </c>
      <c r="AJ214" s="51">
        <v>1.728</v>
      </c>
      <c r="AK214" s="51">
        <v>1.53</v>
      </c>
      <c r="AL214" s="51">
        <v>1.377</v>
      </c>
      <c r="AM214" s="51">
        <v>1.3049999999999999</v>
      </c>
      <c r="AN214" s="51">
        <v>1.1880000000000002</v>
      </c>
      <c r="AO214" s="51">
        <v>1.161</v>
      </c>
      <c r="AP214" s="51">
        <v>1.1520000000000001</v>
      </c>
      <c r="AQ214">
        <v>5</v>
      </c>
      <c r="AR214" t="s">
        <v>264</v>
      </c>
      <c r="AS214">
        <v>2</v>
      </c>
      <c r="AT214">
        <v>3</v>
      </c>
      <c r="AU214">
        <v>380</v>
      </c>
      <c r="AV214">
        <v>0.76</v>
      </c>
      <c r="AW214">
        <v>825</v>
      </c>
      <c r="AX214">
        <v>2</v>
      </c>
      <c r="AY214">
        <v>110</v>
      </c>
      <c r="AZ214">
        <v>0.15</v>
      </c>
      <c r="BA214" s="43" t="str">
        <f t="shared" si="6"/>
        <v>Economy</v>
      </c>
      <c r="BB214" s="46">
        <f>IFERROR((AD214+IF(Calculator_v2!$E$6*Y214&lt;X214,X214,IF(Calculator_v2!$E$6*Y214&gt;Z214,Z214,Calculator_v2!$E$6*Y214))+IF(Calculator_v2!$E$6*AC214&lt;AB214,AB214,Calculator_v2!$E$6*AC214)+IFERROR(_xlfn.LET(_xlpm.tarifa,IF(Calculator_v2!$E$6&lt;=$AI$1,AI214,IF(Calculator_v2!$E$6&lt;=$AK$1,AJ214,IF(Calculator_v2!$E$6&lt;=$AL$1,AK214,IF(Calculator_v2!$E$6&lt;=$AM$1,AL214,IF(Calculator_v2!$E$6&lt;=$AN$1,AM214,IF(Calculator_v2!$E$6&lt;=$AO$1,AN214,IF(Calculator_v2!$E$6&lt;=$AP$1,AO214,AP214))))))),_xlpm.resultado,_xlpm.tarifa*Calculator_v2!$E$6,IF(_xlpm.resultado&lt;AH214,AH214,_xlpm.resultado)),0)+IF(Calculator_v2!$E$6*AV214&lt;AU214,AU214,IF(Calculator_v2!$E$6*AV214&gt;AW214,AW214,Calculator_v2!$E$6*AV214))+IF(Calculator_v2!$E$6*AZ214&lt;=AY214,AY214,Calculator_v2!$E$6*AZ214)),0)</f>
        <v>1617.48</v>
      </c>
      <c r="BC214" s="47">
        <f>IFERROR(+BB214/Calculator_v2!$E$6,0)+IFERROR(VLOOKUP(A214,DHL_ADDER!$B$4:$E$26,4,0),0)</f>
        <v>2.7322297297297298</v>
      </c>
      <c r="BD214" s="48">
        <f t="shared" si="7"/>
        <v>3</v>
      </c>
      <c r="BE214" s="48">
        <f>+T[[#This Row],[Airport to Destination Transit Time Days]]+T[[#This Row],[Airport to Airport Transit Time Days]]+T[[#This Row],[Origin to Airport Transit Time in days]]</f>
        <v>9</v>
      </c>
    </row>
    <row r="215" spans="1:57" customFormat="1" x14ac:dyDescent="0.35">
      <c r="A215" t="str">
        <f>+T[[#This Row],[Provider_Name]]&amp;"_"&amp;T[[#This Row],[AXIS]]</f>
        <v>Rohlig_H_BR&gt;ES</v>
      </c>
      <c r="B215" t="s">
        <v>260</v>
      </c>
      <c r="C215" t="s">
        <v>266</v>
      </c>
      <c r="D215" t="s">
        <v>267</v>
      </c>
      <c r="E215" t="s">
        <v>268</v>
      </c>
      <c r="F215" t="s">
        <v>75</v>
      </c>
      <c r="G215" t="s">
        <v>79</v>
      </c>
      <c r="H215" t="s">
        <v>80</v>
      </c>
      <c r="I215" t="s">
        <v>81</v>
      </c>
      <c r="J215" t="s">
        <v>82</v>
      </c>
      <c r="K215" t="s">
        <v>83</v>
      </c>
      <c r="L215" t="s">
        <v>100</v>
      </c>
      <c r="M215" t="s">
        <v>106</v>
      </c>
      <c r="N215" t="s">
        <v>106</v>
      </c>
      <c r="O215">
        <v>48008</v>
      </c>
      <c r="P215" t="s">
        <v>102</v>
      </c>
      <c r="Q215" t="s">
        <v>107</v>
      </c>
      <c r="R215">
        <v>136</v>
      </c>
      <c r="S215">
        <v>45430.68</v>
      </c>
      <c r="T215">
        <v>45430.68</v>
      </c>
      <c r="U215" s="1">
        <v>334.04911764705884</v>
      </c>
      <c r="V215" t="s">
        <v>85</v>
      </c>
      <c r="W215" s="43">
        <v>9</v>
      </c>
      <c r="X215">
        <v>85</v>
      </c>
      <c r="Y215">
        <v>0.21000000000000002</v>
      </c>
      <c r="Z215">
        <v>383</v>
      </c>
      <c r="AA215">
        <v>2</v>
      </c>
      <c r="AB215">
        <v>13</v>
      </c>
      <c r="AC215">
        <v>0.04</v>
      </c>
      <c r="AD215">
        <v>137</v>
      </c>
      <c r="AE215">
        <v>0</v>
      </c>
      <c r="AF215">
        <v>0</v>
      </c>
      <c r="AG215">
        <v>0</v>
      </c>
      <c r="AH215">
        <v>86.4</v>
      </c>
      <c r="AI215" s="51">
        <v>1.899</v>
      </c>
      <c r="AJ215" s="51">
        <v>1.728</v>
      </c>
      <c r="AK215" s="51">
        <v>1.53</v>
      </c>
      <c r="AL215" s="51">
        <v>1.377</v>
      </c>
      <c r="AM215" s="51">
        <v>1.3049999999999999</v>
      </c>
      <c r="AN215" s="51">
        <v>1.1880000000000002</v>
      </c>
      <c r="AO215" s="51">
        <v>1.161</v>
      </c>
      <c r="AP215" s="51">
        <v>1.1520000000000001</v>
      </c>
      <c r="AQ215">
        <v>5</v>
      </c>
      <c r="AR215" t="s">
        <v>264</v>
      </c>
      <c r="AS215">
        <v>2</v>
      </c>
      <c r="AT215">
        <v>3</v>
      </c>
      <c r="AU215">
        <v>380</v>
      </c>
      <c r="AV215">
        <v>0.76</v>
      </c>
      <c r="AW215">
        <v>550</v>
      </c>
      <c r="AX215">
        <v>2</v>
      </c>
      <c r="AY215">
        <v>110</v>
      </c>
      <c r="AZ215">
        <v>0.39</v>
      </c>
      <c r="BA215" s="43" t="str">
        <f t="shared" si="6"/>
        <v>Economy</v>
      </c>
      <c r="BB215" s="46">
        <f>IFERROR((AD215+IF(Calculator_v2!$E$6*Y215&lt;X215,X215,IF(Calculator_v2!$E$6*Y215&gt;Z215,Z215,Calculator_v2!$E$6*Y215))+IF(Calculator_v2!$E$6*AC215&lt;AB215,AB215,Calculator_v2!$E$6*AC215)+IFERROR(_xlfn.LET(_xlpm.tarifa,IF(Calculator_v2!$E$6&lt;=$AI$1,AI215,IF(Calculator_v2!$E$6&lt;=$AK$1,AJ215,IF(Calculator_v2!$E$6&lt;=$AL$1,AK215,IF(Calculator_v2!$E$6&lt;=$AM$1,AL215,IF(Calculator_v2!$E$6&lt;=$AN$1,AM215,IF(Calculator_v2!$E$6&lt;=$AO$1,AN215,IF(Calculator_v2!$E$6&lt;=$AP$1,AO215,AP215))))))),_xlpm.resultado,_xlpm.tarifa*Calculator_v2!$E$6,IF(_xlpm.resultado&lt;AH215,AH215,_xlpm.resultado)),0)+IF(Calculator_v2!$E$6*AV215&lt;AU215,AU215,IF(Calculator_v2!$E$6*AV215&gt;AW215,AW215,Calculator_v2!$E$6*AV215))+IF(Calculator_v2!$E$6*AZ215&lt;=AY215,AY215,Calculator_v2!$E$6*AZ215)),0)</f>
        <v>1738.3600000000001</v>
      </c>
      <c r="BC215" s="47">
        <f>IFERROR(+BB215/Calculator_v2!$E$6,0)+IFERROR(VLOOKUP(A215,DHL_ADDER!$B$4:$E$26,4,0),0)</f>
        <v>2.9364189189189189</v>
      </c>
      <c r="BD215" s="48">
        <f t="shared" si="7"/>
        <v>3</v>
      </c>
      <c r="BE215" s="48">
        <f>+T[[#This Row],[Airport to Destination Transit Time Days]]+T[[#This Row],[Airport to Airport Transit Time Days]]+T[[#This Row],[Origin to Airport Transit Time in days]]</f>
        <v>9</v>
      </c>
    </row>
    <row r="216" spans="1:57" customFormat="1" x14ac:dyDescent="0.35">
      <c r="A216" t="str">
        <f>+T[[#This Row],[Provider_Name]]&amp;"_"&amp;T[[#This Row],[AXIS]]</f>
        <v>Rohlig_H_BR&gt;ES</v>
      </c>
      <c r="B216" t="s">
        <v>260</v>
      </c>
      <c r="C216" t="s">
        <v>266</v>
      </c>
      <c r="D216" t="s">
        <v>267</v>
      </c>
      <c r="E216" t="s">
        <v>263</v>
      </c>
      <c r="F216" t="s">
        <v>75</v>
      </c>
      <c r="G216" t="s">
        <v>79</v>
      </c>
      <c r="H216" t="s">
        <v>80</v>
      </c>
      <c r="I216" t="s">
        <v>81</v>
      </c>
      <c r="J216" t="s">
        <v>82</v>
      </c>
      <c r="K216" t="s">
        <v>89</v>
      </c>
      <c r="L216" t="s">
        <v>100</v>
      </c>
      <c r="M216" t="s">
        <v>106</v>
      </c>
      <c r="N216" t="s">
        <v>106</v>
      </c>
      <c r="O216">
        <v>48008</v>
      </c>
      <c r="P216" t="s">
        <v>102</v>
      </c>
      <c r="Q216" t="s">
        <v>107</v>
      </c>
      <c r="R216">
        <v>3</v>
      </c>
      <c r="S216">
        <v>5235</v>
      </c>
      <c r="T216">
        <v>5605</v>
      </c>
      <c r="U216" s="1">
        <v>1868.3333333333333</v>
      </c>
      <c r="V216" t="s">
        <v>90</v>
      </c>
      <c r="W216" s="43">
        <v>6</v>
      </c>
      <c r="X216">
        <v>141</v>
      </c>
      <c r="Y216">
        <v>0.28000000000000003</v>
      </c>
      <c r="Z216">
        <v>446</v>
      </c>
      <c r="AA216">
        <v>1</v>
      </c>
      <c r="AB216">
        <v>13</v>
      </c>
      <c r="AC216">
        <v>0.04</v>
      </c>
      <c r="AD216">
        <v>137</v>
      </c>
      <c r="AE216">
        <v>0</v>
      </c>
      <c r="AF216">
        <v>0</v>
      </c>
      <c r="AG216">
        <v>0</v>
      </c>
      <c r="AH216">
        <v>117.9</v>
      </c>
      <c r="AI216" s="51">
        <v>5.7330000000000005</v>
      </c>
      <c r="AJ216" s="51">
        <v>3.4469999999999996</v>
      </c>
      <c r="AK216" s="51">
        <v>2.835</v>
      </c>
      <c r="AL216" s="51">
        <v>2.6819999999999999</v>
      </c>
      <c r="AM216" s="51">
        <v>2.601</v>
      </c>
      <c r="AN216" s="51">
        <v>2.601</v>
      </c>
      <c r="AO216" s="51">
        <v>2.5649999999999999</v>
      </c>
      <c r="AP216" s="51">
        <v>2.5649999999999999</v>
      </c>
      <c r="AQ216">
        <v>3</v>
      </c>
      <c r="AR216" t="s">
        <v>269</v>
      </c>
      <c r="AS216">
        <v>1</v>
      </c>
      <c r="AT216">
        <v>5</v>
      </c>
      <c r="AU216">
        <v>380</v>
      </c>
      <c r="AV216">
        <v>0.76</v>
      </c>
      <c r="AW216">
        <v>825</v>
      </c>
      <c r="AX216">
        <v>2</v>
      </c>
      <c r="AY216">
        <v>110</v>
      </c>
      <c r="AZ216">
        <v>0.15</v>
      </c>
      <c r="BA216" s="43" t="str">
        <f t="shared" si="6"/>
        <v>Express</v>
      </c>
      <c r="BB216" s="46">
        <f>IFERROR((AD216+IF(Calculator_v2!$E$6*Y216&lt;X216,X216,IF(Calculator_v2!$E$6*Y216&gt;Z216,Z216,Calculator_v2!$E$6*Y216))+IF(Calculator_v2!$E$6*AC216&lt;AB216,AB216,Calculator_v2!$E$6*AC216)+IFERROR(_xlfn.LET(_xlpm.tarifa,IF(Calculator_v2!$E$6&lt;=$AI$1,AI216,IF(Calculator_v2!$E$6&lt;=$AK$1,AJ216,IF(Calculator_v2!$E$6&lt;=$AL$1,AK216,IF(Calculator_v2!$E$6&lt;=$AM$1,AL216,IF(Calculator_v2!$E$6&lt;=$AN$1,AM216,IF(Calculator_v2!$E$6&lt;=$AO$1,AN216,IF(Calculator_v2!$E$6&lt;=$AP$1,AO216,AP216))))))),_xlpm.resultado,_xlpm.tarifa*Calculator_v2!$E$6,IF(_xlpm.resultado&lt;AH216,AH216,_xlpm.resultado)),0)+IF(Calculator_v2!$E$6*AV216&lt;AU216,AU216,IF(Calculator_v2!$E$6*AV216&gt;AW216,AW216,Calculator_v2!$E$6*AV216))+IF(Calculator_v2!$E$6*AZ216&lt;=AY216,AY216,Calculator_v2!$E$6*AZ216)),0)</f>
        <v>2426.152</v>
      </c>
      <c r="BC216" s="47">
        <f>IFERROR(+BB216/Calculator_v2!$E$6,0)+IFERROR(VLOOKUP(A216,DHL_ADDER!$B$4:$E$26,4,0),0)</f>
        <v>4.0982297297297299</v>
      </c>
      <c r="BD216" s="48">
        <f t="shared" si="7"/>
        <v>5</v>
      </c>
      <c r="BE216" s="48">
        <f>+T[[#This Row],[Airport to Destination Transit Time Days]]+T[[#This Row],[Airport to Airport Transit Time Days]]+T[[#This Row],[Origin to Airport Transit Time in days]]</f>
        <v>6</v>
      </c>
    </row>
    <row r="217" spans="1:57" customFormat="1" x14ac:dyDescent="0.35">
      <c r="A217" t="str">
        <f>+T[[#This Row],[Provider_Name]]&amp;"_"&amp;T[[#This Row],[AXIS]]</f>
        <v>Rohlig_H_BR&gt;ES</v>
      </c>
      <c r="B217" t="s">
        <v>260</v>
      </c>
      <c r="C217" t="s">
        <v>266</v>
      </c>
      <c r="D217" t="s">
        <v>267</v>
      </c>
      <c r="E217" t="s">
        <v>268</v>
      </c>
      <c r="F217" t="s">
        <v>75</v>
      </c>
      <c r="G217" t="s">
        <v>79</v>
      </c>
      <c r="H217" t="s">
        <v>80</v>
      </c>
      <c r="I217" t="s">
        <v>81</v>
      </c>
      <c r="J217" t="s">
        <v>82</v>
      </c>
      <c r="K217" t="s">
        <v>89</v>
      </c>
      <c r="L217" t="s">
        <v>100</v>
      </c>
      <c r="M217" t="s">
        <v>106</v>
      </c>
      <c r="N217" t="s">
        <v>106</v>
      </c>
      <c r="O217">
        <v>48008</v>
      </c>
      <c r="P217" t="s">
        <v>102</v>
      </c>
      <c r="Q217" t="s">
        <v>107</v>
      </c>
      <c r="R217">
        <v>136</v>
      </c>
      <c r="S217">
        <v>45430.68</v>
      </c>
      <c r="T217">
        <v>45430.68</v>
      </c>
      <c r="U217" s="1">
        <v>334.04911764705884</v>
      </c>
      <c r="V217" t="s">
        <v>90</v>
      </c>
      <c r="W217" s="43">
        <v>6</v>
      </c>
      <c r="X217">
        <v>141</v>
      </c>
      <c r="Y217">
        <v>0.28000000000000003</v>
      </c>
      <c r="Z217">
        <v>446</v>
      </c>
      <c r="AA217">
        <v>1</v>
      </c>
      <c r="AB217">
        <v>13</v>
      </c>
      <c r="AC217">
        <v>0.04</v>
      </c>
      <c r="AD217">
        <v>137</v>
      </c>
      <c r="AE217">
        <v>0</v>
      </c>
      <c r="AF217">
        <v>0</v>
      </c>
      <c r="AG217">
        <v>0</v>
      </c>
      <c r="AH217">
        <v>117.9</v>
      </c>
      <c r="AI217" s="51">
        <v>5.7330000000000005</v>
      </c>
      <c r="AJ217" s="51">
        <v>3.4469999999999996</v>
      </c>
      <c r="AK217" s="51">
        <v>2.835</v>
      </c>
      <c r="AL217" s="51">
        <v>2.6819999999999999</v>
      </c>
      <c r="AM217" s="51">
        <v>2.601</v>
      </c>
      <c r="AN217" s="51">
        <v>2.601</v>
      </c>
      <c r="AO217" s="51">
        <v>2.5649999999999999</v>
      </c>
      <c r="AP217" s="51">
        <v>2.5649999999999999</v>
      </c>
      <c r="AQ217">
        <v>3</v>
      </c>
      <c r="AR217" t="s">
        <v>269</v>
      </c>
      <c r="AS217">
        <v>1</v>
      </c>
      <c r="AT217">
        <v>5</v>
      </c>
      <c r="AU217">
        <v>380</v>
      </c>
      <c r="AV217">
        <v>0.76</v>
      </c>
      <c r="AW217">
        <v>550</v>
      </c>
      <c r="AX217">
        <v>2</v>
      </c>
      <c r="AY217">
        <v>110</v>
      </c>
      <c r="AZ217">
        <v>0.39</v>
      </c>
      <c r="BA217" s="43" t="str">
        <f t="shared" si="6"/>
        <v>Express</v>
      </c>
      <c r="BB217" s="46">
        <f>IFERROR((AD217+IF(Calculator_v2!$E$6*Y217&lt;X217,X217,IF(Calculator_v2!$E$6*Y217&gt;Z217,Z217,Calculator_v2!$E$6*Y217))+IF(Calculator_v2!$E$6*AC217&lt;AB217,AB217,Calculator_v2!$E$6*AC217)+IFERROR(_xlfn.LET(_xlpm.tarifa,IF(Calculator_v2!$E$6&lt;=$AI$1,AI217,IF(Calculator_v2!$E$6&lt;=$AK$1,AJ217,IF(Calculator_v2!$E$6&lt;=$AL$1,AK217,IF(Calculator_v2!$E$6&lt;=$AM$1,AL217,IF(Calculator_v2!$E$6&lt;=$AN$1,AM217,IF(Calculator_v2!$E$6&lt;=$AO$1,AN217,IF(Calculator_v2!$E$6&lt;=$AP$1,AO217,AP217))))))),_xlpm.resultado,_xlpm.tarifa*Calculator_v2!$E$6,IF(_xlpm.resultado&lt;AH217,AH217,_xlpm.resultado)),0)+IF(Calculator_v2!$E$6*AV217&lt;AU217,AU217,IF(Calculator_v2!$E$6*AV217&gt;AW217,AW217,Calculator_v2!$E$6*AV217))+IF(Calculator_v2!$E$6*AZ217&lt;=AY217,AY217,Calculator_v2!$E$6*AZ217)),0)</f>
        <v>2547.0320000000002</v>
      </c>
      <c r="BC217" s="47">
        <f>IFERROR(+BB217/Calculator_v2!$E$6,0)+IFERROR(VLOOKUP(A217,DHL_ADDER!$B$4:$E$26,4,0),0)</f>
        <v>4.302418918918919</v>
      </c>
      <c r="BD217" s="48">
        <f t="shared" si="7"/>
        <v>5</v>
      </c>
      <c r="BE217" s="48">
        <f>+T[[#This Row],[Airport to Destination Transit Time Days]]+T[[#This Row],[Airport to Airport Transit Time Days]]+T[[#This Row],[Origin to Airport Transit Time in days]]</f>
        <v>6</v>
      </c>
    </row>
    <row r="218" spans="1:57" customFormat="1" x14ac:dyDescent="0.35">
      <c r="A218" t="str">
        <f>+T[[#This Row],[Provider_Name]]&amp;"_"&amp;T[[#This Row],[AXIS]]</f>
        <v>Rohlig_H_BR&gt;ES</v>
      </c>
      <c r="B218" t="s">
        <v>260</v>
      </c>
      <c r="C218" t="s">
        <v>266</v>
      </c>
      <c r="D218" t="s">
        <v>267</v>
      </c>
      <c r="E218" t="s">
        <v>263</v>
      </c>
      <c r="F218" t="s">
        <v>75</v>
      </c>
      <c r="G218" t="s">
        <v>79</v>
      </c>
      <c r="H218" t="s">
        <v>80</v>
      </c>
      <c r="I218" t="s">
        <v>81</v>
      </c>
      <c r="J218" t="s">
        <v>82</v>
      </c>
      <c r="K218" t="s">
        <v>83</v>
      </c>
      <c r="L218" t="s">
        <v>100</v>
      </c>
      <c r="M218" t="s">
        <v>106</v>
      </c>
      <c r="N218" t="s">
        <v>106</v>
      </c>
      <c r="O218">
        <v>48008</v>
      </c>
      <c r="P218" t="s">
        <v>102</v>
      </c>
      <c r="Q218" t="s">
        <v>107</v>
      </c>
      <c r="R218">
        <v>3</v>
      </c>
      <c r="S218">
        <v>5235</v>
      </c>
      <c r="T218">
        <v>5605</v>
      </c>
      <c r="U218" s="1">
        <v>1868.3333333333333</v>
      </c>
      <c r="V218" t="s">
        <v>90</v>
      </c>
      <c r="W218" s="43">
        <v>5</v>
      </c>
      <c r="X218">
        <v>722</v>
      </c>
      <c r="Y218">
        <v>1.49</v>
      </c>
      <c r="Z218">
        <v>1741</v>
      </c>
      <c r="AA218">
        <v>2</v>
      </c>
      <c r="AB218">
        <v>9</v>
      </c>
      <c r="AC218">
        <v>0.03</v>
      </c>
      <c r="AD218">
        <v>137</v>
      </c>
      <c r="AE218">
        <v>0</v>
      </c>
      <c r="AF218">
        <v>0</v>
      </c>
      <c r="AG218">
        <v>0</v>
      </c>
      <c r="AH218">
        <v>109.8</v>
      </c>
      <c r="AI218" s="51">
        <v>5.3550000000000004</v>
      </c>
      <c r="AJ218" s="51">
        <v>3.06</v>
      </c>
      <c r="AK218" s="51">
        <v>2.448</v>
      </c>
      <c r="AL218" s="51">
        <v>2.3759999999999999</v>
      </c>
      <c r="AM218" s="51">
        <v>2.331</v>
      </c>
      <c r="AN218" s="51">
        <v>2.2949999999999999</v>
      </c>
      <c r="AO218" s="51">
        <v>2.2949999999999999</v>
      </c>
      <c r="AP218" s="51">
        <v>2.2949999999999999</v>
      </c>
      <c r="AQ218">
        <v>1</v>
      </c>
      <c r="AR218" t="s">
        <v>269</v>
      </c>
      <c r="AS218">
        <v>0</v>
      </c>
      <c r="AT218">
        <v>7</v>
      </c>
      <c r="AU218">
        <v>380</v>
      </c>
      <c r="AV218">
        <v>0.76</v>
      </c>
      <c r="AW218">
        <v>875</v>
      </c>
      <c r="AX218">
        <v>2</v>
      </c>
      <c r="AY218">
        <v>110</v>
      </c>
      <c r="AZ218">
        <v>0.15</v>
      </c>
      <c r="BA218" s="43" t="str">
        <f t="shared" si="6"/>
        <v>Express</v>
      </c>
      <c r="BB218" s="46">
        <f>IFERROR((AD218+IF(Calculator_v2!$E$6*Y218&lt;X218,X218,IF(Calculator_v2!$E$6*Y218&gt;Z218,Z218,Calculator_v2!$E$6*Y218))+IF(Calculator_v2!$E$6*AC218&lt;AB218,AB218,Calculator_v2!$E$6*AC218)+IFERROR(_xlfn.LET(_xlpm.tarifa,IF(Calculator_v2!$E$6&lt;=$AI$1,AI218,IF(Calculator_v2!$E$6&lt;=$AK$1,AJ218,IF(Calculator_v2!$E$6&lt;=$AL$1,AK218,IF(Calculator_v2!$E$6&lt;=$AM$1,AL218,IF(Calculator_v2!$E$6&lt;=$AN$1,AM218,IF(Calculator_v2!$E$6&lt;=$AO$1,AN218,IF(Calculator_v2!$E$6&lt;=$AP$1,AO218,AP218))))))),_xlpm.resultado,_xlpm.tarifa*Calculator_v2!$E$6,IF(_xlpm.resultado&lt;AH218,AH218,_xlpm.resultado)),0)+IF(Calculator_v2!$E$6*AV218&lt;AU218,AU218,IF(Calculator_v2!$E$6*AV218&gt;AW218,AW218,Calculator_v2!$E$6*AV218))+IF(Calculator_v2!$E$6*AZ218&lt;=AY218,AY218,Calculator_v2!$E$6*AZ218)),0)</f>
        <v>2976.7120000000004</v>
      </c>
      <c r="BC218" s="47">
        <f>IFERROR(+BB218/Calculator_v2!$E$6,0)+IFERROR(VLOOKUP(A218,DHL_ADDER!$B$4:$E$26,4,0),0)</f>
        <v>5.0282297297297305</v>
      </c>
      <c r="BD218" s="48">
        <f t="shared" si="7"/>
        <v>7</v>
      </c>
      <c r="BE218" s="48">
        <f>+T[[#This Row],[Airport to Destination Transit Time Days]]+T[[#This Row],[Airport to Airport Transit Time Days]]+T[[#This Row],[Origin to Airport Transit Time in days]]</f>
        <v>5</v>
      </c>
    </row>
    <row r="219" spans="1:57" customFormat="1" x14ac:dyDescent="0.35">
      <c r="A219" t="str">
        <f>+T[[#This Row],[Provider_Name]]&amp;"_"&amp;T[[#This Row],[AXIS]]</f>
        <v>Rohlig_H_BR&gt;ES</v>
      </c>
      <c r="B219" t="s">
        <v>260</v>
      </c>
      <c r="C219" t="s">
        <v>266</v>
      </c>
      <c r="D219" t="s">
        <v>267</v>
      </c>
      <c r="E219" t="s">
        <v>268</v>
      </c>
      <c r="F219" t="s">
        <v>75</v>
      </c>
      <c r="G219" t="s">
        <v>79</v>
      </c>
      <c r="H219" t="s">
        <v>80</v>
      </c>
      <c r="I219" t="s">
        <v>81</v>
      </c>
      <c r="J219" t="s">
        <v>82</v>
      </c>
      <c r="K219" t="s">
        <v>83</v>
      </c>
      <c r="L219" t="s">
        <v>100</v>
      </c>
      <c r="M219" t="s">
        <v>106</v>
      </c>
      <c r="N219" t="s">
        <v>106</v>
      </c>
      <c r="O219">
        <v>48008</v>
      </c>
      <c r="P219" t="s">
        <v>102</v>
      </c>
      <c r="Q219" t="s">
        <v>107</v>
      </c>
      <c r="R219">
        <v>136</v>
      </c>
      <c r="S219">
        <v>45430.68</v>
      </c>
      <c r="T219">
        <v>45430.68</v>
      </c>
      <c r="U219" s="1">
        <v>334.04911764705884</v>
      </c>
      <c r="V219" t="s">
        <v>90</v>
      </c>
      <c r="W219" s="43">
        <v>5</v>
      </c>
      <c r="X219">
        <v>722</v>
      </c>
      <c r="Y219">
        <v>1.49</v>
      </c>
      <c r="Z219">
        <v>1741</v>
      </c>
      <c r="AA219">
        <v>2</v>
      </c>
      <c r="AB219">
        <v>9</v>
      </c>
      <c r="AC219">
        <v>0.03</v>
      </c>
      <c r="AD219">
        <v>137</v>
      </c>
      <c r="AE219">
        <v>0</v>
      </c>
      <c r="AF219">
        <v>0</v>
      </c>
      <c r="AG219">
        <v>0</v>
      </c>
      <c r="AH219">
        <v>109.8</v>
      </c>
      <c r="AI219" s="51">
        <v>5.3550000000000004</v>
      </c>
      <c r="AJ219" s="51">
        <v>3.06</v>
      </c>
      <c r="AK219" s="51">
        <v>2.448</v>
      </c>
      <c r="AL219" s="51">
        <v>2.3759999999999999</v>
      </c>
      <c r="AM219" s="51">
        <v>2.331</v>
      </c>
      <c r="AN219" s="51">
        <v>2.2949999999999999</v>
      </c>
      <c r="AO219" s="51">
        <v>2.2949999999999999</v>
      </c>
      <c r="AP219" s="51">
        <v>2.2949999999999999</v>
      </c>
      <c r="AQ219">
        <v>1</v>
      </c>
      <c r="AR219" t="s">
        <v>269</v>
      </c>
      <c r="AS219">
        <v>0</v>
      </c>
      <c r="AT219">
        <v>7</v>
      </c>
      <c r="AU219">
        <v>380</v>
      </c>
      <c r="AV219">
        <v>0.76</v>
      </c>
      <c r="AW219">
        <v>625</v>
      </c>
      <c r="AX219">
        <v>2</v>
      </c>
      <c r="AY219">
        <v>110</v>
      </c>
      <c r="AZ219">
        <v>0.39</v>
      </c>
      <c r="BA219" s="43" t="str">
        <f t="shared" si="6"/>
        <v>Express</v>
      </c>
      <c r="BB219" s="46">
        <f>IFERROR((AD219+IF(Calculator_v2!$E$6*Y219&lt;X219,X219,IF(Calculator_v2!$E$6*Y219&gt;Z219,Z219,Calculator_v2!$E$6*Y219))+IF(Calculator_v2!$E$6*AC219&lt;AB219,AB219,Calculator_v2!$E$6*AC219)+IFERROR(_xlfn.LET(_xlpm.tarifa,IF(Calculator_v2!$E$6&lt;=$AI$1,AI219,IF(Calculator_v2!$E$6&lt;=$AK$1,AJ219,IF(Calculator_v2!$E$6&lt;=$AL$1,AK219,IF(Calculator_v2!$E$6&lt;=$AM$1,AL219,IF(Calculator_v2!$E$6&lt;=$AN$1,AM219,IF(Calculator_v2!$E$6&lt;=$AO$1,AN219,IF(Calculator_v2!$E$6&lt;=$AP$1,AO219,AP219))))))),_xlpm.resultado,_xlpm.tarifa*Calculator_v2!$E$6,IF(_xlpm.resultado&lt;AH219,AH219,_xlpm.resultado)),0)+IF(Calculator_v2!$E$6*AV219&lt;AU219,AU219,IF(Calculator_v2!$E$6*AV219&gt;AW219,AW219,Calculator_v2!$E$6*AV219))+IF(Calculator_v2!$E$6*AZ219&lt;=AY219,AY219,Calculator_v2!$E$6*AZ219)),0)</f>
        <v>3097.5920000000006</v>
      </c>
      <c r="BC219" s="47">
        <f>IFERROR(+BB219/Calculator_v2!$E$6,0)+IFERROR(VLOOKUP(A219,DHL_ADDER!$B$4:$E$26,4,0),0)</f>
        <v>5.2324189189189196</v>
      </c>
      <c r="BD219" s="48">
        <f t="shared" si="7"/>
        <v>7</v>
      </c>
      <c r="BE219" s="48">
        <f>+T[[#This Row],[Airport to Destination Transit Time Days]]+T[[#This Row],[Airport to Airport Transit Time Days]]+T[[#This Row],[Origin to Airport Transit Time in days]]</f>
        <v>5</v>
      </c>
    </row>
    <row r="220" spans="1:57" customFormat="1" x14ac:dyDescent="0.35">
      <c r="A220" t="str">
        <f>+T[[#This Row],[Provider_Name]]&amp;"_"&amp;T[[#This Row],[AXIS]]</f>
        <v>Rohlig_H_BR&gt;ES</v>
      </c>
      <c r="B220" t="s">
        <v>260</v>
      </c>
      <c r="C220" t="s">
        <v>266</v>
      </c>
      <c r="D220" t="s">
        <v>267</v>
      </c>
      <c r="E220" t="s">
        <v>263</v>
      </c>
      <c r="F220" t="s">
        <v>75</v>
      </c>
      <c r="G220" t="s">
        <v>79</v>
      </c>
      <c r="H220" t="s">
        <v>80</v>
      </c>
      <c r="I220" t="s">
        <v>81</v>
      </c>
      <c r="J220" t="s">
        <v>82</v>
      </c>
      <c r="K220" t="s">
        <v>89</v>
      </c>
      <c r="L220" t="s">
        <v>100</v>
      </c>
      <c r="M220" t="s">
        <v>106</v>
      </c>
      <c r="N220" t="s">
        <v>106</v>
      </c>
      <c r="O220">
        <v>48008</v>
      </c>
      <c r="P220" t="s">
        <v>102</v>
      </c>
      <c r="Q220" t="s">
        <v>107</v>
      </c>
      <c r="R220">
        <v>3</v>
      </c>
      <c r="S220">
        <v>5235</v>
      </c>
      <c r="T220">
        <v>5605</v>
      </c>
      <c r="U220" s="1">
        <v>1868.3333333333333</v>
      </c>
      <c r="V220" t="s">
        <v>91</v>
      </c>
      <c r="W220" s="43">
        <v>8</v>
      </c>
      <c r="X220">
        <v>85</v>
      </c>
      <c r="Y220">
        <v>0.21000000000000002</v>
      </c>
      <c r="Z220">
        <v>383</v>
      </c>
      <c r="AA220">
        <v>2</v>
      </c>
      <c r="AB220">
        <v>13</v>
      </c>
      <c r="AC220">
        <v>0.04</v>
      </c>
      <c r="AD220">
        <v>137</v>
      </c>
      <c r="AE220">
        <v>0</v>
      </c>
      <c r="AF220">
        <v>0</v>
      </c>
      <c r="AG220">
        <v>0</v>
      </c>
      <c r="AH220">
        <v>94.5</v>
      </c>
      <c r="AI220" s="51">
        <v>2.601</v>
      </c>
      <c r="AJ220" s="51">
        <v>2.2589999999999999</v>
      </c>
      <c r="AK220" s="51">
        <v>1.9890000000000001</v>
      </c>
      <c r="AL220" s="51">
        <v>1.917</v>
      </c>
      <c r="AM220" s="51">
        <v>1.8359999999999996</v>
      </c>
      <c r="AN220" s="51">
        <v>1.6830000000000001</v>
      </c>
      <c r="AO220" s="51">
        <v>1.6830000000000001</v>
      </c>
      <c r="AP220" s="51">
        <v>1.6830000000000001</v>
      </c>
      <c r="AQ220">
        <v>4</v>
      </c>
      <c r="AR220" t="s">
        <v>269</v>
      </c>
      <c r="AS220">
        <v>1</v>
      </c>
      <c r="AT220">
        <v>5</v>
      </c>
      <c r="AU220">
        <v>380</v>
      </c>
      <c r="AV220">
        <v>0.76</v>
      </c>
      <c r="AW220">
        <v>875</v>
      </c>
      <c r="AX220">
        <v>2</v>
      </c>
      <c r="AY220">
        <v>110</v>
      </c>
      <c r="AZ220">
        <v>0.15</v>
      </c>
      <c r="BA220" s="43" t="str">
        <f t="shared" si="6"/>
        <v>Normal</v>
      </c>
      <c r="BB220" s="46">
        <f>IFERROR((AD220+IF(Calculator_v2!$E$6*Y220&lt;X220,X220,IF(Calculator_v2!$E$6*Y220&gt;Z220,Z220,Calculator_v2!$E$6*Y220))+IF(Calculator_v2!$E$6*AC220&lt;AB220,AB220,Calculator_v2!$E$6*AC220)+IFERROR(_xlfn.LET(_xlpm.tarifa,IF(Calculator_v2!$E$6&lt;=$AI$1,AI220,IF(Calculator_v2!$E$6&lt;=$AK$1,AJ220,IF(Calculator_v2!$E$6&lt;=$AL$1,AK220,IF(Calculator_v2!$E$6&lt;=$AM$1,AL220,IF(Calculator_v2!$E$6&lt;=$AN$1,AM220,IF(Calculator_v2!$E$6&lt;=$AO$1,AN220,IF(Calculator_v2!$E$6&lt;=$AP$1,AO220,AP220))))))),_xlpm.resultado,_xlpm.tarifa*Calculator_v2!$E$6,IF(_xlpm.resultado&lt;AH220,AH220,_xlpm.resultado)),0)+IF(Calculator_v2!$E$6*AV220&lt;AU220,AU220,IF(Calculator_v2!$E$6*AV220&gt;AW220,AW220,Calculator_v2!$E$6*AV220))+IF(Calculator_v2!$E$6*AZ220&lt;=AY220,AY220,Calculator_v2!$E$6*AZ220)),0)</f>
        <v>1931.8319999999999</v>
      </c>
      <c r="BC220" s="47">
        <f>IFERROR(+BB220/Calculator_v2!$E$6,0)+IFERROR(VLOOKUP(A220,DHL_ADDER!$B$4:$E$26,4,0),0)</f>
        <v>3.2632297297297295</v>
      </c>
      <c r="BD220" s="48">
        <f t="shared" si="7"/>
        <v>5</v>
      </c>
      <c r="BE220" s="48">
        <f>+T[[#This Row],[Airport to Destination Transit Time Days]]+T[[#This Row],[Airport to Airport Transit Time Days]]+T[[#This Row],[Origin to Airport Transit Time in days]]</f>
        <v>8</v>
      </c>
    </row>
    <row r="221" spans="1:57" customFormat="1" x14ac:dyDescent="0.35">
      <c r="A221" t="str">
        <f>+T[[#This Row],[Provider_Name]]&amp;"_"&amp;T[[#This Row],[AXIS]]</f>
        <v>Rohlig_H_BR&gt;ES</v>
      </c>
      <c r="B221" t="s">
        <v>260</v>
      </c>
      <c r="C221" t="s">
        <v>266</v>
      </c>
      <c r="D221" t="s">
        <v>267</v>
      </c>
      <c r="E221" t="s">
        <v>268</v>
      </c>
      <c r="F221" t="s">
        <v>75</v>
      </c>
      <c r="G221" t="s">
        <v>79</v>
      </c>
      <c r="H221" t="s">
        <v>80</v>
      </c>
      <c r="I221" t="s">
        <v>81</v>
      </c>
      <c r="J221" t="s">
        <v>82</v>
      </c>
      <c r="K221" t="s">
        <v>89</v>
      </c>
      <c r="L221" t="s">
        <v>100</v>
      </c>
      <c r="M221" t="s">
        <v>106</v>
      </c>
      <c r="N221" t="s">
        <v>106</v>
      </c>
      <c r="O221">
        <v>48008</v>
      </c>
      <c r="P221" t="s">
        <v>102</v>
      </c>
      <c r="Q221" t="s">
        <v>107</v>
      </c>
      <c r="R221">
        <v>136</v>
      </c>
      <c r="S221">
        <v>45430.68</v>
      </c>
      <c r="T221">
        <v>45430.68</v>
      </c>
      <c r="U221" s="1">
        <v>334.04911764705884</v>
      </c>
      <c r="V221" t="s">
        <v>91</v>
      </c>
      <c r="W221" s="43">
        <v>8</v>
      </c>
      <c r="X221">
        <v>85</v>
      </c>
      <c r="Y221">
        <v>0.21000000000000002</v>
      </c>
      <c r="Z221">
        <v>383</v>
      </c>
      <c r="AA221">
        <v>2</v>
      </c>
      <c r="AB221">
        <v>13</v>
      </c>
      <c r="AC221">
        <v>0.04</v>
      </c>
      <c r="AD221">
        <v>137</v>
      </c>
      <c r="AE221">
        <v>0</v>
      </c>
      <c r="AF221">
        <v>0</v>
      </c>
      <c r="AG221">
        <v>0</v>
      </c>
      <c r="AH221">
        <v>94.5</v>
      </c>
      <c r="AI221" s="51">
        <v>2.601</v>
      </c>
      <c r="AJ221" s="51">
        <v>2.2589999999999999</v>
      </c>
      <c r="AK221" s="51">
        <v>1.9890000000000001</v>
      </c>
      <c r="AL221" s="51">
        <v>1.917</v>
      </c>
      <c r="AM221" s="51">
        <v>1.8359999999999996</v>
      </c>
      <c r="AN221" s="51">
        <v>1.6830000000000001</v>
      </c>
      <c r="AO221" s="51">
        <v>1.6830000000000001</v>
      </c>
      <c r="AP221" s="51">
        <v>1.6830000000000001</v>
      </c>
      <c r="AQ221">
        <v>4</v>
      </c>
      <c r="AR221" t="s">
        <v>269</v>
      </c>
      <c r="AS221">
        <v>1</v>
      </c>
      <c r="AT221">
        <v>5</v>
      </c>
      <c r="AU221">
        <v>380</v>
      </c>
      <c r="AV221">
        <v>0.76</v>
      </c>
      <c r="AW221">
        <v>625</v>
      </c>
      <c r="AX221">
        <v>2</v>
      </c>
      <c r="AY221">
        <v>110</v>
      </c>
      <c r="AZ221">
        <v>0.39</v>
      </c>
      <c r="BA221" s="43" t="str">
        <f t="shared" si="6"/>
        <v>Normal</v>
      </c>
      <c r="BB221" s="46">
        <f>IFERROR((AD221+IF(Calculator_v2!$E$6*Y221&lt;X221,X221,IF(Calculator_v2!$E$6*Y221&gt;Z221,Z221,Calculator_v2!$E$6*Y221))+IF(Calculator_v2!$E$6*AC221&lt;AB221,AB221,Calculator_v2!$E$6*AC221)+IFERROR(_xlfn.LET(_xlpm.tarifa,IF(Calculator_v2!$E$6&lt;=$AI$1,AI221,IF(Calculator_v2!$E$6&lt;=$AK$1,AJ221,IF(Calculator_v2!$E$6&lt;=$AL$1,AK221,IF(Calculator_v2!$E$6&lt;=$AM$1,AL221,IF(Calculator_v2!$E$6&lt;=$AN$1,AM221,IF(Calculator_v2!$E$6&lt;=$AO$1,AN221,IF(Calculator_v2!$E$6&lt;=$AP$1,AO221,AP221))))))),_xlpm.resultado,_xlpm.tarifa*Calculator_v2!$E$6,IF(_xlpm.resultado&lt;AH221,AH221,_xlpm.resultado)),0)+IF(Calculator_v2!$E$6*AV221&lt;AU221,AU221,IF(Calculator_v2!$E$6*AV221&gt;AW221,AW221,Calculator_v2!$E$6*AV221))+IF(Calculator_v2!$E$6*AZ221&lt;=AY221,AY221,Calculator_v2!$E$6*AZ221)),0)</f>
        <v>2052.712</v>
      </c>
      <c r="BC221" s="47">
        <f>IFERROR(+BB221/Calculator_v2!$E$6,0)+IFERROR(VLOOKUP(A221,DHL_ADDER!$B$4:$E$26,4,0),0)</f>
        <v>3.4674189189189191</v>
      </c>
      <c r="BD221" s="48">
        <f t="shared" si="7"/>
        <v>5</v>
      </c>
      <c r="BE221" s="48">
        <f>+T[[#This Row],[Airport to Destination Transit Time Days]]+T[[#This Row],[Airport to Airport Transit Time Days]]+T[[#This Row],[Origin to Airport Transit Time in days]]</f>
        <v>8</v>
      </c>
    </row>
    <row r="222" spans="1:57" customFormat="1" x14ac:dyDescent="0.35">
      <c r="A222" t="str">
        <f>+T[[#This Row],[Provider_Name]]&amp;"_"&amp;T[[#This Row],[AXIS]]</f>
        <v>Rohlig_H_BR&gt;ES</v>
      </c>
      <c r="B222" t="s">
        <v>260</v>
      </c>
      <c r="C222" t="s">
        <v>266</v>
      </c>
      <c r="D222" t="s">
        <v>267</v>
      </c>
      <c r="E222" t="s">
        <v>263</v>
      </c>
      <c r="F222" t="s">
        <v>75</v>
      </c>
      <c r="G222" t="s">
        <v>79</v>
      </c>
      <c r="H222" t="s">
        <v>80</v>
      </c>
      <c r="I222" t="s">
        <v>81</v>
      </c>
      <c r="J222" t="s">
        <v>82</v>
      </c>
      <c r="K222" t="s">
        <v>83</v>
      </c>
      <c r="L222" t="s">
        <v>100</v>
      </c>
      <c r="M222" t="s">
        <v>106</v>
      </c>
      <c r="N222" t="s">
        <v>106</v>
      </c>
      <c r="O222">
        <v>48008</v>
      </c>
      <c r="P222" t="s">
        <v>102</v>
      </c>
      <c r="Q222" t="s">
        <v>107</v>
      </c>
      <c r="R222">
        <v>3</v>
      </c>
      <c r="S222">
        <v>5235</v>
      </c>
      <c r="T222">
        <v>5605</v>
      </c>
      <c r="U222" s="1">
        <v>1868.3333333333333</v>
      </c>
      <c r="V222" t="s">
        <v>91</v>
      </c>
      <c r="W222" s="43">
        <v>7</v>
      </c>
      <c r="X222">
        <v>85</v>
      </c>
      <c r="Y222">
        <v>0.21000000000000002</v>
      </c>
      <c r="Z222">
        <v>383</v>
      </c>
      <c r="AA222">
        <v>2</v>
      </c>
      <c r="AB222">
        <v>13</v>
      </c>
      <c r="AC222">
        <v>0.04</v>
      </c>
      <c r="AD222">
        <v>137</v>
      </c>
      <c r="AE222">
        <v>0</v>
      </c>
      <c r="AF222">
        <v>0</v>
      </c>
      <c r="AG222">
        <v>0</v>
      </c>
      <c r="AH222">
        <v>94.5</v>
      </c>
      <c r="AI222" s="51">
        <v>2.6819999999999999</v>
      </c>
      <c r="AJ222" s="51">
        <v>2.2949999999999999</v>
      </c>
      <c r="AK222" s="51">
        <v>1.9890000000000001</v>
      </c>
      <c r="AL222" s="51">
        <v>1.917</v>
      </c>
      <c r="AM222" s="51">
        <v>1.8359999999999996</v>
      </c>
      <c r="AN222" s="51">
        <v>1.764</v>
      </c>
      <c r="AO222" s="51">
        <v>1.728</v>
      </c>
      <c r="AP222" s="51">
        <v>1.6830000000000001</v>
      </c>
      <c r="AQ222">
        <v>3</v>
      </c>
      <c r="AR222" t="s">
        <v>269</v>
      </c>
      <c r="AS222">
        <v>1</v>
      </c>
      <c r="AT222">
        <v>5</v>
      </c>
      <c r="AU222">
        <v>380</v>
      </c>
      <c r="AV222">
        <v>0.76</v>
      </c>
      <c r="AW222">
        <v>875</v>
      </c>
      <c r="AX222">
        <v>2</v>
      </c>
      <c r="AY222">
        <v>110</v>
      </c>
      <c r="AZ222">
        <v>0.15</v>
      </c>
      <c r="BA222" s="43" t="str">
        <f t="shared" si="6"/>
        <v>Normal</v>
      </c>
      <c r="BB222" s="46">
        <f>IFERROR((AD222+IF(Calculator_v2!$E$6*Y222&lt;X222,X222,IF(Calculator_v2!$E$6*Y222&gt;Z222,Z222,Calculator_v2!$E$6*Y222))+IF(Calculator_v2!$E$6*AC222&lt;AB222,AB222,Calculator_v2!$E$6*AC222)+IFERROR(_xlfn.LET(_xlpm.tarifa,IF(Calculator_v2!$E$6&lt;=$AI$1,AI222,IF(Calculator_v2!$E$6&lt;=$AK$1,AJ222,IF(Calculator_v2!$E$6&lt;=$AL$1,AK222,IF(Calculator_v2!$E$6&lt;=$AM$1,AL222,IF(Calculator_v2!$E$6&lt;=$AN$1,AM222,IF(Calculator_v2!$E$6&lt;=$AO$1,AN222,IF(Calculator_v2!$E$6&lt;=$AP$1,AO222,AP222))))))),_xlpm.resultado,_xlpm.tarifa*Calculator_v2!$E$6,IF(_xlpm.resultado&lt;AH222,AH222,_xlpm.resultado)),0)+IF(Calculator_v2!$E$6*AV222&lt;AU222,AU222,IF(Calculator_v2!$E$6*AV222&gt;AW222,AW222,Calculator_v2!$E$6*AV222))+IF(Calculator_v2!$E$6*AZ222&lt;=AY222,AY222,Calculator_v2!$E$6*AZ222)),0)</f>
        <v>1931.8319999999999</v>
      </c>
      <c r="BC222" s="47">
        <f>IFERROR(+BB222/Calculator_v2!$E$6,0)+IFERROR(VLOOKUP(A222,DHL_ADDER!$B$4:$E$26,4,0),0)</f>
        <v>3.2632297297297295</v>
      </c>
      <c r="BD222" s="48">
        <f t="shared" si="7"/>
        <v>5</v>
      </c>
      <c r="BE222" s="48">
        <f>+T[[#This Row],[Airport to Destination Transit Time Days]]+T[[#This Row],[Airport to Airport Transit Time Days]]+T[[#This Row],[Origin to Airport Transit Time in days]]</f>
        <v>7</v>
      </c>
    </row>
    <row r="223" spans="1:57" customFormat="1" x14ac:dyDescent="0.35">
      <c r="A223" t="str">
        <f>+T[[#This Row],[Provider_Name]]&amp;"_"&amp;T[[#This Row],[AXIS]]</f>
        <v>Rohlig_H_BR&gt;ES</v>
      </c>
      <c r="B223" t="s">
        <v>260</v>
      </c>
      <c r="C223" t="s">
        <v>266</v>
      </c>
      <c r="D223" t="s">
        <v>267</v>
      </c>
      <c r="E223" t="s">
        <v>268</v>
      </c>
      <c r="F223" t="s">
        <v>75</v>
      </c>
      <c r="G223" t="s">
        <v>79</v>
      </c>
      <c r="H223" t="s">
        <v>80</v>
      </c>
      <c r="I223" t="s">
        <v>81</v>
      </c>
      <c r="J223" t="s">
        <v>82</v>
      </c>
      <c r="K223" t="s">
        <v>83</v>
      </c>
      <c r="L223" t="s">
        <v>100</v>
      </c>
      <c r="M223" t="s">
        <v>106</v>
      </c>
      <c r="N223" t="s">
        <v>106</v>
      </c>
      <c r="O223">
        <v>48008</v>
      </c>
      <c r="P223" t="s">
        <v>102</v>
      </c>
      <c r="Q223" t="s">
        <v>107</v>
      </c>
      <c r="R223">
        <v>136</v>
      </c>
      <c r="S223">
        <v>45430.68</v>
      </c>
      <c r="T223">
        <v>45430.68</v>
      </c>
      <c r="U223" s="1">
        <v>334.04911764705884</v>
      </c>
      <c r="V223" t="s">
        <v>91</v>
      </c>
      <c r="W223" s="43">
        <v>7</v>
      </c>
      <c r="X223">
        <v>85</v>
      </c>
      <c r="Y223">
        <v>0.21000000000000002</v>
      </c>
      <c r="Z223">
        <v>383</v>
      </c>
      <c r="AA223">
        <v>2</v>
      </c>
      <c r="AB223">
        <v>13</v>
      </c>
      <c r="AC223">
        <v>0.04</v>
      </c>
      <c r="AD223">
        <v>137</v>
      </c>
      <c r="AE223">
        <v>0</v>
      </c>
      <c r="AF223">
        <v>0</v>
      </c>
      <c r="AG223">
        <v>0</v>
      </c>
      <c r="AH223">
        <v>94.5</v>
      </c>
      <c r="AI223" s="51">
        <v>2.6819999999999999</v>
      </c>
      <c r="AJ223" s="51">
        <v>2.2949999999999999</v>
      </c>
      <c r="AK223" s="51">
        <v>1.9890000000000001</v>
      </c>
      <c r="AL223" s="51">
        <v>1.917</v>
      </c>
      <c r="AM223" s="51">
        <v>1.8359999999999996</v>
      </c>
      <c r="AN223" s="51">
        <v>1.764</v>
      </c>
      <c r="AO223" s="51">
        <v>1.728</v>
      </c>
      <c r="AP223" s="51">
        <v>1.6830000000000001</v>
      </c>
      <c r="AQ223">
        <v>3</v>
      </c>
      <c r="AR223" t="s">
        <v>269</v>
      </c>
      <c r="AS223">
        <v>1</v>
      </c>
      <c r="AT223">
        <v>5</v>
      </c>
      <c r="AU223">
        <v>380</v>
      </c>
      <c r="AV223">
        <v>0.76</v>
      </c>
      <c r="AW223">
        <v>625</v>
      </c>
      <c r="AX223">
        <v>2</v>
      </c>
      <c r="AY223">
        <v>110</v>
      </c>
      <c r="AZ223">
        <v>0.39</v>
      </c>
      <c r="BA223" s="43" t="str">
        <f t="shared" si="6"/>
        <v>Normal</v>
      </c>
      <c r="BB223" s="46">
        <f>IFERROR((AD223+IF(Calculator_v2!$E$6*Y223&lt;X223,X223,IF(Calculator_v2!$E$6*Y223&gt;Z223,Z223,Calculator_v2!$E$6*Y223))+IF(Calculator_v2!$E$6*AC223&lt;AB223,AB223,Calculator_v2!$E$6*AC223)+IFERROR(_xlfn.LET(_xlpm.tarifa,IF(Calculator_v2!$E$6&lt;=$AI$1,AI223,IF(Calculator_v2!$E$6&lt;=$AK$1,AJ223,IF(Calculator_v2!$E$6&lt;=$AL$1,AK223,IF(Calculator_v2!$E$6&lt;=$AM$1,AL223,IF(Calculator_v2!$E$6&lt;=$AN$1,AM223,IF(Calculator_v2!$E$6&lt;=$AO$1,AN223,IF(Calculator_v2!$E$6&lt;=$AP$1,AO223,AP223))))))),_xlpm.resultado,_xlpm.tarifa*Calculator_v2!$E$6,IF(_xlpm.resultado&lt;AH223,AH223,_xlpm.resultado)),0)+IF(Calculator_v2!$E$6*AV223&lt;AU223,AU223,IF(Calculator_v2!$E$6*AV223&gt;AW223,AW223,Calculator_v2!$E$6*AV223))+IF(Calculator_v2!$E$6*AZ223&lt;=AY223,AY223,Calculator_v2!$E$6*AZ223)),0)</f>
        <v>2052.712</v>
      </c>
      <c r="BC223" s="47">
        <f>IFERROR(+BB223/Calculator_v2!$E$6,0)+IFERROR(VLOOKUP(A223,DHL_ADDER!$B$4:$E$26,4,0),0)</f>
        <v>3.4674189189189191</v>
      </c>
      <c r="BD223" s="48">
        <f t="shared" si="7"/>
        <v>5</v>
      </c>
      <c r="BE223" s="48">
        <f>+T[[#This Row],[Airport to Destination Transit Time Days]]+T[[#This Row],[Airport to Airport Transit Time Days]]+T[[#This Row],[Origin to Airport Transit Time in days]]</f>
        <v>7</v>
      </c>
    </row>
    <row r="224" spans="1:57" customFormat="1" x14ac:dyDescent="0.35">
      <c r="A224" t="str">
        <f>+T[[#This Row],[Provider_Name]]&amp;"_"&amp;T[[#This Row],[AXIS]]</f>
        <v>Rohlig_H_BR&gt;ES</v>
      </c>
      <c r="B224" t="s">
        <v>260</v>
      </c>
      <c r="C224" t="s">
        <v>266</v>
      </c>
      <c r="D224" t="s">
        <v>267</v>
      </c>
      <c r="E224" t="s">
        <v>263</v>
      </c>
      <c r="F224" t="s">
        <v>92</v>
      </c>
      <c r="G224" t="s">
        <v>79</v>
      </c>
      <c r="H224" t="s">
        <v>80</v>
      </c>
      <c r="I224" t="s">
        <v>81</v>
      </c>
      <c r="J224" t="s">
        <v>82</v>
      </c>
      <c r="K224" t="s">
        <v>93</v>
      </c>
      <c r="L224" t="s">
        <v>100</v>
      </c>
      <c r="M224" t="s">
        <v>106</v>
      </c>
      <c r="N224" t="s">
        <v>106</v>
      </c>
      <c r="O224">
        <v>48008</v>
      </c>
      <c r="P224" t="s">
        <v>102</v>
      </c>
      <c r="Q224" t="s">
        <v>107</v>
      </c>
      <c r="R224">
        <v>3</v>
      </c>
      <c r="S224">
        <v>5235</v>
      </c>
      <c r="T224">
        <v>5605</v>
      </c>
      <c r="U224" s="1">
        <v>1868.3333333333333</v>
      </c>
      <c r="V224" t="s">
        <v>85</v>
      </c>
      <c r="W224" s="43">
        <v>9</v>
      </c>
      <c r="X224">
        <v>107</v>
      </c>
      <c r="Y224">
        <v>0.24000000000000002</v>
      </c>
      <c r="Z224">
        <v>467</v>
      </c>
      <c r="AA224">
        <v>2</v>
      </c>
      <c r="AB224">
        <v>13</v>
      </c>
      <c r="AC224">
        <v>0.04</v>
      </c>
      <c r="AD224">
        <v>137</v>
      </c>
      <c r="AE224">
        <v>0</v>
      </c>
      <c r="AF224">
        <v>0</v>
      </c>
      <c r="AG224">
        <v>0</v>
      </c>
      <c r="AH224">
        <v>86.4</v>
      </c>
      <c r="AI224" s="51">
        <v>1.899</v>
      </c>
      <c r="AJ224" s="51">
        <v>1.728</v>
      </c>
      <c r="AK224" s="51">
        <v>1.53</v>
      </c>
      <c r="AL224" s="51">
        <v>1.377</v>
      </c>
      <c r="AM224" s="51">
        <v>1.3049999999999999</v>
      </c>
      <c r="AN224" s="51">
        <v>1.1880000000000002</v>
      </c>
      <c r="AO224" s="51">
        <v>1.161</v>
      </c>
      <c r="AP224" s="51">
        <v>1.1520000000000001</v>
      </c>
      <c r="AQ224">
        <v>5</v>
      </c>
      <c r="AR224" t="s">
        <v>264</v>
      </c>
      <c r="AS224">
        <v>2</v>
      </c>
      <c r="AT224">
        <v>3</v>
      </c>
      <c r="AU224">
        <v>380</v>
      </c>
      <c r="AV224">
        <v>0.76</v>
      </c>
      <c r="AW224">
        <v>875</v>
      </c>
      <c r="AX224">
        <v>2</v>
      </c>
      <c r="AY224">
        <v>110</v>
      </c>
      <c r="AZ224">
        <v>0.15</v>
      </c>
      <c r="BA224" s="43" t="str">
        <f t="shared" si="6"/>
        <v>Economy</v>
      </c>
      <c r="BB224" s="46">
        <f>IFERROR((AD224+IF(Calculator_v2!$E$6*Y224&lt;X224,X224,IF(Calculator_v2!$E$6*Y224&gt;Z224,Z224,Calculator_v2!$E$6*Y224))+IF(Calculator_v2!$E$6*AC224&lt;AB224,AB224,Calculator_v2!$E$6*AC224)+IFERROR(_xlfn.LET(_xlpm.tarifa,IF(Calculator_v2!$E$6&lt;=$AI$1,AI224,IF(Calculator_v2!$E$6&lt;=$AK$1,AJ224,IF(Calculator_v2!$E$6&lt;=$AL$1,AK224,IF(Calculator_v2!$E$6&lt;=$AM$1,AL224,IF(Calculator_v2!$E$6&lt;=$AN$1,AM224,IF(Calculator_v2!$E$6&lt;=$AO$1,AN224,IF(Calculator_v2!$E$6&lt;=$AP$1,AO224,AP224))))))),_xlpm.resultado,_xlpm.tarifa*Calculator_v2!$E$6,IF(_xlpm.resultado&lt;AH224,AH224,_xlpm.resultado)),0)+IF(Calculator_v2!$E$6*AV224&lt;AU224,AU224,IF(Calculator_v2!$E$6*AV224&gt;AW224,AW224,Calculator_v2!$E$6*AV224))+IF(Calculator_v2!$E$6*AZ224&lt;=AY224,AY224,Calculator_v2!$E$6*AZ224)),0)</f>
        <v>1635.24</v>
      </c>
      <c r="BC224" s="47">
        <f>IFERROR(+BB224/Calculator_v2!$E$6,0)+IFERROR(VLOOKUP(A224,DHL_ADDER!$B$4:$E$26,4,0),0)</f>
        <v>2.7622297297297296</v>
      </c>
      <c r="BD224" s="48">
        <f t="shared" si="7"/>
        <v>3</v>
      </c>
      <c r="BE224" s="48">
        <f>+T[[#This Row],[Airport to Destination Transit Time Days]]+T[[#This Row],[Airport to Airport Transit Time Days]]+T[[#This Row],[Origin to Airport Transit Time in days]]</f>
        <v>9</v>
      </c>
    </row>
    <row r="225" spans="1:57" customFormat="1" x14ac:dyDescent="0.35">
      <c r="A225" t="str">
        <f>+T[[#This Row],[Provider_Name]]&amp;"_"&amp;T[[#This Row],[AXIS]]</f>
        <v>Rohlig_H_BR&gt;ES</v>
      </c>
      <c r="B225" t="s">
        <v>260</v>
      </c>
      <c r="C225" t="s">
        <v>266</v>
      </c>
      <c r="D225" t="s">
        <v>267</v>
      </c>
      <c r="E225" t="s">
        <v>268</v>
      </c>
      <c r="F225" t="s">
        <v>92</v>
      </c>
      <c r="G225" t="s">
        <v>79</v>
      </c>
      <c r="H225" t="s">
        <v>80</v>
      </c>
      <c r="I225" t="s">
        <v>81</v>
      </c>
      <c r="J225" t="s">
        <v>82</v>
      </c>
      <c r="K225" t="s">
        <v>93</v>
      </c>
      <c r="L225" t="s">
        <v>100</v>
      </c>
      <c r="M225" t="s">
        <v>106</v>
      </c>
      <c r="N225" t="s">
        <v>106</v>
      </c>
      <c r="O225">
        <v>48008</v>
      </c>
      <c r="P225" t="s">
        <v>102</v>
      </c>
      <c r="Q225" t="s">
        <v>107</v>
      </c>
      <c r="R225">
        <v>136</v>
      </c>
      <c r="S225">
        <v>45430.68</v>
      </c>
      <c r="T225">
        <v>45430.68</v>
      </c>
      <c r="U225" s="1">
        <v>334.04911764705884</v>
      </c>
      <c r="V225" t="s">
        <v>85</v>
      </c>
      <c r="W225" s="43">
        <v>9</v>
      </c>
      <c r="X225">
        <v>107</v>
      </c>
      <c r="Y225">
        <v>0.24000000000000002</v>
      </c>
      <c r="Z225">
        <v>467</v>
      </c>
      <c r="AA225">
        <v>2</v>
      </c>
      <c r="AB225">
        <v>13</v>
      </c>
      <c r="AC225">
        <v>0.04</v>
      </c>
      <c r="AD225">
        <v>137</v>
      </c>
      <c r="AE225">
        <v>0</v>
      </c>
      <c r="AF225">
        <v>0</v>
      </c>
      <c r="AG225">
        <v>0</v>
      </c>
      <c r="AH225">
        <v>86.4</v>
      </c>
      <c r="AI225" s="51">
        <v>1.899</v>
      </c>
      <c r="AJ225" s="51">
        <v>1.728</v>
      </c>
      <c r="AK225" s="51">
        <v>1.53</v>
      </c>
      <c r="AL225" s="51">
        <v>1.377</v>
      </c>
      <c r="AM225" s="51">
        <v>1.3049999999999999</v>
      </c>
      <c r="AN225" s="51">
        <v>1.1880000000000002</v>
      </c>
      <c r="AO225" s="51">
        <v>1.161</v>
      </c>
      <c r="AP225" s="51">
        <v>1.1520000000000001</v>
      </c>
      <c r="AQ225">
        <v>5</v>
      </c>
      <c r="AR225" t="s">
        <v>264</v>
      </c>
      <c r="AS225">
        <v>2</v>
      </c>
      <c r="AT225">
        <v>3</v>
      </c>
      <c r="AU225">
        <v>380</v>
      </c>
      <c r="AV225">
        <v>0.76</v>
      </c>
      <c r="AW225">
        <v>625</v>
      </c>
      <c r="AX225">
        <v>2</v>
      </c>
      <c r="AY225">
        <v>110</v>
      </c>
      <c r="AZ225">
        <v>0.39</v>
      </c>
      <c r="BA225" s="43" t="str">
        <f t="shared" si="6"/>
        <v>Economy</v>
      </c>
      <c r="BB225" s="46">
        <f>IFERROR((AD225+IF(Calculator_v2!$E$6*Y225&lt;X225,X225,IF(Calculator_v2!$E$6*Y225&gt;Z225,Z225,Calculator_v2!$E$6*Y225))+IF(Calculator_v2!$E$6*AC225&lt;AB225,AB225,Calculator_v2!$E$6*AC225)+IFERROR(_xlfn.LET(_xlpm.tarifa,IF(Calculator_v2!$E$6&lt;=$AI$1,AI225,IF(Calculator_v2!$E$6&lt;=$AK$1,AJ225,IF(Calculator_v2!$E$6&lt;=$AL$1,AK225,IF(Calculator_v2!$E$6&lt;=$AM$1,AL225,IF(Calculator_v2!$E$6&lt;=$AN$1,AM225,IF(Calculator_v2!$E$6&lt;=$AO$1,AN225,IF(Calculator_v2!$E$6&lt;=$AP$1,AO225,AP225))))))),_xlpm.resultado,_xlpm.tarifa*Calculator_v2!$E$6,IF(_xlpm.resultado&lt;AH225,AH225,_xlpm.resultado)),0)+IF(Calculator_v2!$E$6*AV225&lt;AU225,AU225,IF(Calculator_v2!$E$6*AV225&gt;AW225,AW225,Calculator_v2!$E$6*AV225))+IF(Calculator_v2!$E$6*AZ225&lt;=AY225,AY225,Calculator_v2!$E$6*AZ225)),0)</f>
        <v>1756.12</v>
      </c>
      <c r="BC225" s="47">
        <f>IFERROR(+BB225/Calculator_v2!$E$6,0)+IFERROR(VLOOKUP(A225,DHL_ADDER!$B$4:$E$26,4,0),0)</f>
        <v>2.9664189189189187</v>
      </c>
      <c r="BD225" s="48">
        <f t="shared" si="7"/>
        <v>3</v>
      </c>
      <c r="BE225" s="48">
        <f>+T[[#This Row],[Airport to Destination Transit Time Days]]+T[[#This Row],[Airport to Airport Transit Time Days]]+T[[#This Row],[Origin to Airport Transit Time in days]]</f>
        <v>9</v>
      </c>
    </row>
    <row r="226" spans="1:57" customFormat="1" x14ac:dyDescent="0.35">
      <c r="A226" t="str">
        <f>+T[[#This Row],[Provider_Name]]&amp;"_"&amp;T[[#This Row],[AXIS]]</f>
        <v>Rohlig_H_BR&gt;ES</v>
      </c>
      <c r="B226" t="s">
        <v>260</v>
      </c>
      <c r="C226" t="s">
        <v>266</v>
      </c>
      <c r="D226" t="s">
        <v>267</v>
      </c>
      <c r="E226" t="s">
        <v>263</v>
      </c>
      <c r="F226" t="s">
        <v>92</v>
      </c>
      <c r="G226" t="s">
        <v>79</v>
      </c>
      <c r="H226" t="s">
        <v>80</v>
      </c>
      <c r="I226" t="s">
        <v>81</v>
      </c>
      <c r="J226" t="s">
        <v>82</v>
      </c>
      <c r="K226" t="s">
        <v>93</v>
      </c>
      <c r="L226" t="s">
        <v>100</v>
      </c>
      <c r="M226" t="s">
        <v>106</v>
      </c>
      <c r="N226" t="s">
        <v>106</v>
      </c>
      <c r="O226">
        <v>48008</v>
      </c>
      <c r="P226" t="s">
        <v>102</v>
      </c>
      <c r="Q226" t="s">
        <v>107</v>
      </c>
      <c r="R226">
        <v>3</v>
      </c>
      <c r="S226">
        <v>5235</v>
      </c>
      <c r="T226">
        <v>5605</v>
      </c>
      <c r="U226" s="1">
        <v>1868.3333333333333</v>
      </c>
      <c r="V226" t="s">
        <v>90</v>
      </c>
      <c r="W226" s="43">
        <v>5</v>
      </c>
      <c r="X226">
        <v>722</v>
      </c>
      <c r="Y226">
        <v>1.49</v>
      </c>
      <c r="Z226">
        <v>1741</v>
      </c>
      <c r="AA226">
        <v>2</v>
      </c>
      <c r="AB226">
        <v>9</v>
      </c>
      <c r="AC226">
        <v>0.03</v>
      </c>
      <c r="AD226">
        <v>137</v>
      </c>
      <c r="AE226">
        <v>0</v>
      </c>
      <c r="AF226">
        <v>0</v>
      </c>
      <c r="AG226">
        <v>0</v>
      </c>
      <c r="AH226">
        <v>109.8</v>
      </c>
      <c r="AI226" s="51">
        <v>5.3550000000000004</v>
      </c>
      <c r="AJ226" s="51">
        <v>3.06</v>
      </c>
      <c r="AK226" s="51">
        <v>2.448</v>
      </c>
      <c r="AL226" s="51">
        <v>2.3759999999999999</v>
      </c>
      <c r="AM226" s="51">
        <v>2.331</v>
      </c>
      <c r="AN226" s="51">
        <v>2.2949999999999999</v>
      </c>
      <c r="AO226" s="51">
        <v>2.2949999999999999</v>
      </c>
      <c r="AP226" s="51">
        <v>2.2949999999999999</v>
      </c>
      <c r="AQ226">
        <v>1</v>
      </c>
      <c r="AR226" t="s">
        <v>269</v>
      </c>
      <c r="AS226">
        <v>0</v>
      </c>
      <c r="AT226">
        <v>7</v>
      </c>
      <c r="AU226">
        <v>380</v>
      </c>
      <c r="AV226">
        <v>0.76</v>
      </c>
      <c r="AW226">
        <v>875</v>
      </c>
      <c r="AX226">
        <v>2</v>
      </c>
      <c r="AY226">
        <v>110</v>
      </c>
      <c r="AZ226">
        <v>0.15</v>
      </c>
      <c r="BA226" s="43" t="str">
        <f t="shared" si="6"/>
        <v>Express</v>
      </c>
      <c r="BB226" s="46">
        <f>IFERROR((AD226+IF(Calculator_v2!$E$6*Y226&lt;X226,X226,IF(Calculator_v2!$E$6*Y226&gt;Z226,Z226,Calculator_v2!$E$6*Y226))+IF(Calculator_v2!$E$6*AC226&lt;AB226,AB226,Calculator_v2!$E$6*AC226)+IFERROR(_xlfn.LET(_xlpm.tarifa,IF(Calculator_v2!$E$6&lt;=$AI$1,AI226,IF(Calculator_v2!$E$6&lt;=$AK$1,AJ226,IF(Calculator_v2!$E$6&lt;=$AL$1,AK226,IF(Calculator_v2!$E$6&lt;=$AM$1,AL226,IF(Calculator_v2!$E$6&lt;=$AN$1,AM226,IF(Calculator_v2!$E$6&lt;=$AO$1,AN226,IF(Calculator_v2!$E$6&lt;=$AP$1,AO226,AP226))))))),_xlpm.resultado,_xlpm.tarifa*Calculator_v2!$E$6,IF(_xlpm.resultado&lt;AH226,AH226,_xlpm.resultado)),0)+IF(Calculator_v2!$E$6*AV226&lt;AU226,AU226,IF(Calculator_v2!$E$6*AV226&gt;AW226,AW226,Calculator_v2!$E$6*AV226))+IF(Calculator_v2!$E$6*AZ226&lt;=AY226,AY226,Calculator_v2!$E$6*AZ226)),0)</f>
        <v>2976.7120000000004</v>
      </c>
      <c r="BC226" s="47">
        <f>IFERROR(+BB226/Calculator_v2!$E$6,0)+IFERROR(VLOOKUP(A226,DHL_ADDER!$B$4:$E$26,4,0),0)</f>
        <v>5.0282297297297305</v>
      </c>
      <c r="BD226" s="48">
        <f t="shared" si="7"/>
        <v>7</v>
      </c>
      <c r="BE226" s="48">
        <f>+T[[#This Row],[Airport to Destination Transit Time Days]]+T[[#This Row],[Airport to Airport Transit Time Days]]+T[[#This Row],[Origin to Airport Transit Time in days]]</f>
        <v>5</v>
      </c>
    </row>
    <row r="227" spans="1:57" customFormat="1" x14ac:dyDescent="0.35">
      <c r="A227" t="str">
        <f>+T[[#This Row],[Provider_Name]]&amp;"_"&amp;T[[#This Row],[AXIS]]</f>
        <v>Rohlig_H_BR&gt;ES</v>
      </c>
      <c r="B227" t="s">
        <v>260</v>
      </c>
      <c r="C227" t="s">
        <v>266</v>
      </c>
      <c r="D227" t="s">
        <v>267</v>
      </c>
      <c r="E227" t="s">
        <v>268</v>
      </c>
      <c r="F227" t="s">
        <v>92</v>
      </c>
      <c r="G227" t="s">
        <v>79</v>
      </c>
      <c r="H227" t="s">
        <v>80</v>
      </c>
      <c r="I227" t="s">
        <v>81</v>
      </c>
      <c r="J227" t="s">
        <v>82</v>
      </c>
      <c r="K227" t="s">
        <v>93</v>
      </c>
      <c r="L227" t="s">
        <v>100</v>
      </c>
      <c r="M227" t="s">
        <v>106</v>
      </c>
      <c r="N227" t="s">
        <v>106</v>
      </c>
      <c r="O227">
        <v>48008</v>
      </c>
      <c r="P227" t="s">
        <v>102</v>
      </c>
      <c r="Q227" t="s">
        <v>107</v>
      </c>
      <c r="R227">
        <v>136</v>
      </c>
      <c r="S227">
        <v>45430.68</v>
      </c>
      <c r="T227">
        <v>45430.68</v>
      </c>
      <c r="U227" s="1">
        <v>334.04911764705884</v>
      </c>
      <c r="V227" t="s">
        <v>90</v>
      </c>
      <c r="W227" s="43">
        <v>5</v>
      </c>
      <c r="X227">
        <v>722</v>
      </c>
      <c r="Y227">
        <v>1.49</v>
      </c>
      <c r="Z227">
        <v>1741</v>
      </c>
      <c r="AA227">
        <v>2</v>
      </c>
      <c r="AB227">
        <v>9</v>
      </c>
      <c r="AC227">
        <v>0.03</v>
      </c>
      <c r="AD227">
        <v>137</v>
      </c>
      <c r="AE227">
        <v>0</v>
      </c>
      <c r="AF227">
        <v>0</v>
      </c>
      <c r="AG227">
        <v>0</v>
      </c>
      <c r="AH227">
        <v>109.8</v>
      </c>
      <c r="AI227" s="51">
        <v>5.3550000000000004</v>
      </c>
      <c r="AJ227" s="51">
        <v>3.06</v>
      </c>
      <c r="AK227" s="51">
        <v>2.448</v>
      </c>
      <c r="AL227" s="51">
        <v>2.3759999999999999</v>
      </c>
      <c r="AM227" s="51">
        <v>2.331</v>
      </c>
      <c r="AN227" s="51">
        <v>2.2949999999999999</v>
      </c>
      <c r="AO227" s="51">
        <v>2.2949999999999999</v>
      </c>
      <c r="AP227" s="51">
        <v>2.2949999999999999</v>
      </c>
      <c r="AQ227">
        <v>1</v>
      </c>
      <c r="AR227" t="s">
        <v>269</v>
      </c>
      <c r="AS227">
        <v>0</v>
      </c>
      <c r="AT227">
        <v>7</v>
      </c>
      <c r="AU227">
        <v>380</v>
      </c>
      <c r="AV227">
        <v>0.76</v>
      </c>
      <c r="AW227">
        <v>625</v>
      </c>
      <c r="AX227">
        <v>2</v>
      </c>
      <c r="AY227">
        <v>110</v>
      </c>
      <c r="AZ227">
        <v>0.39</v>
      </c>
      <c r="BA227" s="43" t="str">
        <f t="shared" si="6"/>
        <v>Express</v>
      </c>
      <c r="BB227" s="46">
        <f>IFERROR((AD227+IF(Calculator_v2!$E$6*Y227&lt;X227,X227,IF(Calculator_v2!$E$6*Y227&gt;Z227,Z227,Calculator_v2!$E$6*Y227))+IF(Calculator_v2!$E$6*AC227&lt;AB227,AB227,Calculator_v2!$E$6*AC227)+IFERROR(_xlfn.LET(_xlpm.tarifa,IF(Calculator_v2!$E$6&lt;=$AI$1,AI227,IF(Calculator_v2!$E$6&lt;=$AK$1,AJ227,IF(Calculator_v2!$E$6&lt;=$AL$1,AK227,IF(Calculator_v2!$E$6&lt;=$AM$1,AL227,IF(Calculator_v2!$E$6&lt;=$AN$1,AM227,IF(Calculator_v2!$E$6&lt;=$AO$1,AN227,IF(Calculator_v2!$E$6&lt;=$AP$1,AO227,AP227))))))),_xlpm.resultado,_xlpm.tarifa*Calculator_v2!$E$6,IF(_xlpm.resultado&lt;AH227,AH227,_xlpm.resultado)),0)+IF(Calculator_v2!$E$6*AV227&lt;AU227,AU227,IF(Calculator_v2!$E$6*AV227&gt;AW227,AW227,Calculator_v2!$E$6*AV227))+IF(Calculator_v2!$E$6*AZ227&lt;=AY227,AY227,Calculator_v2!$E$6*AZ227)),0)</f>
        <v>3097.5920000000006</v>
      </c>
      <c r="BC227" s="47">
        <f>IFERROR(+BB227/Calculator_v2!$E$6,0)+IFERROR(VLOOKUP(A227,DHL_ADDER!$B$4:$E$26,4,0),0)</f>
        <v>5.2324189189189196</v>
      </c>
      <c r="BD227" s="48">
        <f t="shared" si="7"/>
        <v>7</v>
      </c>
      <c r="BE227" s="48">
        <f>+T[[#This Row],[Airport to Destination Transit Time Days]]+T[[#This Row],[Airport to Airport Transit Time Days]]+T[[#This Row],[Origin to Airport Transit Time in days]]</f>
        <v>5</v>
      </c>
    </row>
    <row r="228" spans="1:57" customFormat="1" x14ac:dyDescent="0.35">
      <c r="A228" t="str">
        <f>+T[[#This Row],[Provider_Name]]&amp;"_"&amp;T[[#This Row],[AXIS]]</f>
        <v>Rohlig_H_BR&gt;ES</v>
      </c>
      <c r="B228" t="s">
        <v>260</v>
      </c>
      <c r="C228" t="s">
        <v>266</v>
      </c>
      <c r="D228" t="s">
        <v>267</v>
      </c>
      <c r="E228" t="s">
        <v>263</v>
      </c>
      <c r="F228" t="s">
        <v>92</v>
      </c>
      <c r="G228" t="s">
        <v>79</v>
      </c>
      <c r="H228" t="s">
        <v>80</v>
      </c>
      <c r="I228" t="s">
        <v>81</v>
      </c>
      <c r="J228" t="s">
        <v>82</v>
      </c>
      <c r="K228" t="s">
        <v>93</v>
      </c>
      <c r="L228" t="s">
        <v>100</v>
      </c>
      <c r="M228" t="s">
        <v>106</v>
      </c>
      <c r="N228" t="s">
        <v>106</v>
      </c>
      <c r="O228">
        <v>48008</v>
      </c>
      <c r="P228" t="s">
        <v>102</v>
      </c>
      <c r="Q228" t="s">
        <v>107</v>
      </c>
      <c r="R228">
        <v>3</v>
      </c>
      <c r="S228">
        <v>5235</v>
      </c>
      <c r="T228">
        <v>5605</v>
      </c>
      <c r="U228" s="1">
        <v>1868.3333333333333</v>
      </c>
      <c r="V228" t="s">
        <v>91</v>
      </c>
      <c r="W228" s="43">
        <v>7</v>
      </c>
      <c r="X228">
        <v>107</v>
      </c>
      <c r="Y228">
        <v>0.24000000000000002</v>
      </c>
      <c r="Z228">
        <v>467</v>
      </c>
      <c r="AA228">
        <v>2</v>
      </c>
      <c r="AB228">
        <v>13</v>
      </c>
      <c r="AC228">
        <v>0.04</v>
      </c>
      <c r="AD228">
        <v>137</v>
      </c>
      <c r="AE228">
        <v>0</v>
      </c>
      <c r="AF228">
        <v>0</v>
      </c>
      <c r="AG228">
        <v>0</v>
      </c>
      <c r="AH228">
        <v>94.5</v>
      </c>
      <c r="AI228" s="51">
        <v>2.6819999999999999</v>
      </c>
      <c r="AJ228" s="51">
        <v>2.2949999999999999</v>
      </c>
      <c r="AK228" s="51">
        <v>1.9890000000000001</v>
      </c>
      <c r="AL228" s="51">
        <v>1.917</v>
      </c>
      <c r="AM228" s="51">
        <v>1.8359999999999996</v>
      </c>
      <c r="AN228" s="51">
        <v>1.764</v>
      </c>
      <c r="AO228" s="51">
        <v>1.728</v>
      </c>
      <c r="AP228" s="51">
        <v>1.6830000000000001</v>
      </c>
      <c r="AQ228">
        <v>3</v>
      </c>
      <c r="AR228" t="s">
        <v>269</v>
      </c>
      <c r="AS228">
        <v>1</v>
      </c>
      <c r="AT228">
        <v>5</v>
      </c>
      <c r="AU228">
        <v>380</v>
      </c>
      <c r="AV228">
        <v>0.76</v>
      </c>
      <c r="AW228">
        <v>875</v>
      </c>
      <c r="AX228">
        <v>2</v>
      </c>
      <c r="AY228">
        <v>110</v>
      </c>
      <c r="AZ228">
        <v>0.15</v>
      </c>
      <c r="BA228" s="43" t="str">
        <f t="shared" si="6"/>
        <v>Normal</v>
      </c>
      <c r="BB228" s="46">
        <f>IFERROR((AD228+IF(Calculator_v2!$E$6*Y228&lt;X228,X228,IF(Calculator_v2!$E$6*Y228&gt;Z228,Z228,Calculator_v2!$E$6*Y228))+IF(Calculator_v2!$E$6*AC228&lt;AB228,AB228,Calculator_v2!$E$6*AC228)+IFERROR(_xlfn.LET(_xlpm.tarifa,IF(Calculator_v2!$E$6&lt;=$AI$1,AI228,IF(Calculator_v2!$E$6&lt;=$AK$1,AJ228,IF(Calculator_v2!$E$6&lt;=$AL$1,AK228,IF(Calculator_v2!$E$6&lt;=$AM$1,AL228,IF(Calculator_v2!$E$6&lt;=$AN$1,AM228,IF(Calculator_v2!$E$6&lt;=$AO$1,AN228,IF(Calculator_v2!$E$6&lt;=$AP$1,AO228,AP228))))))),_xlpm.resultado,_xlpm.tarifa*Calculator_v2!$E$6,IF(_xlpm.resultado&lt;AH228,AH228,_xlpm.resultado)),0)+IF(Calculator_v2!$E$6*AV228&lt;AU228,AU228,IF(Calculator_v2!$E$6*AV228&gt;AW228,AW228,Calculator_v2!$E$6*AV228))+IF(Calculator_v2!$E$6*AZ228&lt;=AY228,AY228,Calculator_v2!$E$6*AZ228)),0)</f>
        <v>1949.5919999999999</v>
      </c>
      <c r="BC228" s="47">
        <f>IFERROR(+BB228/Calculator_v2!$E$6,0)+IFERROR(VLOOKUP(A228,DHL_ADDER!$B$4:$E$26,4,0),0)</f>
        <v>3.2932297297297297</v>
      </c>
      <c r="BD228" s="48">
        <f t="shared" si="7"/>
        <v>5</v>
      </c>
      <c r="BE228" s="48">
        <f>+T[[#This Row],[Airport to Destination Transit Time Days]]+T[[#This Row],[Airport to Airport Transit Time Days]]+T[[#This Row],[Origin to Airport Transit Time in days]]</f>
        <v>7</v>
      </c>
    </row>
    <row r="229" spans="1:57" customFormat="1" x14ac:dyDescent="0.35">
      <c r="A229" t="str">
        <f>+T[[#This Row],[Provider_Name]]&amp;"_"&amp;T[[#This Row],[AXIS]]</f>
        <v>Rohlig_H_BR&gt;ES</v>
      </c>
      <c r="B229" t="s">
        <v>260</v>
      </c>
      <c r="C229" t="s">
        <v>266</v>
      </c>
      <c r="D229" t="s">
        <v>267</v>
      </c>
      <c r="E229" t="s">
        <v>268</v>
      </c>
      <c r="F229" t="s">
        <v>92</v>
      </c>
      <c r="G229" t="s">
        <v>79</v>
      </c>
      <c r="H229" t="s">
        <v>80</v>
      </c>
      <c r="I229" t="s">
        <v>81</v>
      </c>
      <c r="J229" t="s">
        <v>82</v>
      </c>
      <c r="K229" t="s">
        <v>93</v>
      </c>
      <c r="L229" t="s">
        <v>100</v>
      </c>
      <c r="M229" t="s">
        <v>106</v>
      </c>
      <c r="N229" t="s">
        <v>106</v>
      </c>
      <c r="O229">
        <v>48008</v>
      </c>
      <c r="P229" t="s">
        <v>102</v>
      </c>
      <c r="Q229" t="s">
        <v>107</v>
      </c>
      <c r="R229">
        <v>136</v>
      </c>
      <c r="S229">
        <v>45430.68</v>
      </c>
      <c r="T229">
        <v>45430.68</v>
      </c>
      <c r="U229" s="1">
        <v>334.04911764705884</v>
      </c>
      <c r="V229" t="s">
        <v>91</v>
      </c>
      <c r="W229" s="43">
        <v>7</v>
      </c>
      <c r="X229">
        <v>107</v>
      </c>
      <c r="Y229">
        <v>0.24000000000000002</v>
      </c>
      <c r="Z229">
        <v>467</v>
      </c>
      <c r="AA229">
        <v>2</v>
      </c>
      <c r="AB229">
        <v>13</v>
      </c>
      <c r="AC229">
        <v>0.04</v>
      </c>
      <c r="AD229">
        <v>137</v>
      </c>
      <c r="AE229">
        <v>0</v>
      </c>
      <c r="AF229">
        <v>0</v>
      </c>
      <c r="AG229">
        <v>0</v>
      </c>
      <c r="AH229">
        <v>94.5</v>
      </c>
      <c r="AI229" s="51">
        <v>2.6819999999999999</v>
      </c>
      <c r="AJ229" s="51">
        <v>2.2949999999999999</v>
      </c>
      <c r="AK229" s="51">
        <v>1.9890000000000001</v>
      </c>
      <c r="AL229" s="51">
        <v>1.917</v>
      </c>
      <c r="AM229" s="51">
        <v>1.8359999999999996</v>
      </c>
      <c r="AN229" s="51">
        <v>1.764</v>
      </c>
      <c r="AO229" s="51">
        <v>1.728</v>
      </c>
      <c r="AP229" s="51">
        <v>1.6830000000000001</v>
      </c>
      <c r="AQ229">
        <v>3</v>
      </c>
      <c r="AR229" t="s">
        <v>269</v>
      </c>
      <c r="AS229">
        <v>1</v>
      </c>
      <c r="AT229">
        <v>5</v>
      </c>
      <c r="AU229">
        <v>380</v>
      </c>
      <c r="AV229">
        <v>0.76</v>
      </c>
      <c r="AW229">
        <v>625</v>
      </c>
      <c r="AX229">
        <v>2</v>
      </c>
      <c r="AY229">
        <v>110</v>
      </c>
      <c r="AZ229">
        <v>0.39</v>
      </c>
      <c r="BA229" s="43" t="str">
        <f t="shared" si="6"/>
        <v>Normal</v>
      </c>
      <c r="BB229" s="46">
        <f>IFERROR((AD229+IF(Calculator_v2!$E$6*Y229&lt;X229,X229,IF(Calculator_v2!$E$6*Y229&gt;Z229,Z229,Calculator_v2!$E$6*Y229))+IF(Calculator_v2!$E$6*AC229&lt;AB229,AB229,Calculator_v2!$E$6*AC229)+IFERROR(_xlfn.LET(_xlpm.tarifa,IF(Calculator_v2!$E$6&lt;=$AI$1,AI229,IF(Calculator_v2!$E$6&lt;=$AK$1,AJ229,IF(Calculator_v2!$E$6&lt;=$AL$1,AK229,IF(Calculator_v2!$E$6&lt;=$AM$1,AL229,IF(Calculator_v2!$E$6&lt;=$AN$1,AM229,IF(Calculator_v2!$E$6&lt;=$AO$1,AN229,IF(Calculator_v2!$E$6&lt;=$AP$1,AO229,AP229))))))),_xlpm.resultado,_xlpm.tarifa*Calculator_v2!$E$6,IF(_xlpm.resultado&lt;AH229,AH229,_xlpm.resultado)),0)+IF(Calculator_v2!$E$6*AV229&lt;AU229,AU229,IF(Calculator_v2!$E$6*AV229&gt;AW229,AW229,Calculator_v2!$E$6*AV229))+IF(Calculator_v2!$E$6*AZ229&lt;=AY229,AY229,Calculator_v2!$E$6*AZ229)),0)</f>
        <v>2070.4719999999998</v>
      </c>
      <c r="BC229" s="47">
        <f>IFERROR(+BB229/Calculator_v2!$E$6,0)+IFERROR(VLOOKUP(A229,DHL_ADDER!$B$4:$E$26,4,0),0)</f>
        <v>3.4974189189189184</v>
      </c>
      <c r="BD229" s="48">
        <f t="shared" si="7"/>
        <v>5</v>
      </c>
      <c r="BE229" s="48">
        <f>+T[[#This Row],[Airport to Destination Transit Time Days]]+T[[#This Row],[Airport to Airport Transit Time Days]]+T[[#This Row],[Origin to Airport Transit Time in days]]</f>
        <v>7</v>
      </c>
    </row>
    <row r="230" spans="1:57" customFormat="1" x14ac:dyDescent="0.35">
      <c r="A230" t="str">
        <f>+T[[#This Row],[Provider_Name]]&amp;"_"&amp;T[[#This Row],[AXIS]]</f>
        <v>Rohlig_H_BR&gt;TR</v>
      </c>
      <c r="B230" t="s">
        <v>260</v>
      </c>
      <c r="C230" t="s">
        <v>270</v>
      </c>
      <c r="D230" t="s">
        <v>271</v>
      </c>
      <c r="E230" t="s">
        <v>263</v>
      </c>
      <c r="F230" t="s">
        <v>75</v>
      </c>
      <c r="G230" t="s">
        <v>79</v>
      </c>
      <c r="H230" t="s">
        <v>80</v>
      </c>
      <c r="I230" t="s">
        <v>81</v>
      </c>
      <c r="J230" t="s">
        <v>82</v>
      </c>
      <c r="K230" t="s">
        <v>89</v>
      </c>
      <c r="L230" t="s">
        <v>126</v>
      </c>
      <c r="M230" t="s">
        <v>127</v>
      </c>
      <c r="N230" t="s">
        <v>128</v>
      </c>
      <c r="O230">
        <v>34771</v>
      </c>
      <c r="P230" t="s">
        <v>129</v>
      </c>
      <c r="Q230" t="s">
        <v>130</v>
      </c>
      <c r="R230">
        <v>8</v>
      </c>
      <c r="S230">
        <v>8791.4</v>
      </c>
      <c r="T230">
        <v>9452.5</v>
      </c>
      <c r="U230" s="1">
        <v>1181.5625</v>
      </c>
      <c r="V230" t="s">
        <v>85</v>
      </c>
      <c r="W230" s="43">
        <v>9</v>
      </c>
      <c r="X230">
        <v>85</v>
      </c>
      <c r="Y230">
        <v>0.21000000000000002</v>
      </c>
      <c r="Z230">
        <v>383</v>
      </c>
      <c r="AA230">
        <v>2</v>
      </c>
      <c r="AB230">
        <v>13</v>
      </c>
      <c r="AC230">
        <v>0.04</v>
      </c>
      <c r="AD230">
        <v>137</v>
      </c>
      <c r="AE230">
        <v>0</v>
      </c>
      <c r="AF230">
        <v>0</v>
      </c>
      <c r="AG230">
        <v>0</v>
      </c>
      <c r="AH230">
        <v>78.3</v>
      </c>
      <c r="AI230" s="51">
        <v>2.7179999999999995</v>
      </c>
      <c r="AJ230" s="51">
        <v>2.1059999999999999</v>
      </c>
      <c r="AK230" s="51">
        <v>1.827</v>
      </c>
      <c r="AL230" s="51">
        <v>1.6830000000000001</v>
      </c>
      <c r="AM230" s="51">
        <v>1.647</v>
      </c>
      <c r="AN230" s="51">
        <v>1.53</v>
      </c>
      <c r="AO230" s="51">
        <v>1.494</v>
      </c>
      <c r="AP230" s="51">
        <v>1.494</v>
      </c>
      <c r="AQ230">
        <v>5</v>
      </c>
      <c r="AR230" t="s">
        <v>272</v>
      </c>
      <c r="AS230">
        <v>1</v>
      </c>
      <c r="AT230">
        <v>5</v>
      </c>
      <c r="AU230">
        <v>326</v>
      </c>
      <c r="AV230">
        <v>0.35000000000000003</v>
      </c>
      <c r="AW230">
        <v>1432</v>
      </c>
      <c r="AX230">
        <v>2</v>
      </c>
      <c r="AY230">
        <v>217</v>
      </c>
      <c r="AZ230">
        <v>0.27</v>
      </c>
      <c r="BA230" s="43" t="str">
        <f t="shared" si="6"/>
        <v>Economy</v>
      </c>
      <c r="BB230" s="46">
        <f>IFERROR((AD230+IF(Calculator_v2!$E$6*Y230&lt;X230,X230,IF(Calculator_v2!$E$6*Y230&gt;Z230,Z230,Calculator_v2!$E$6*Y230))+IF(Calculator_v2!$E$6*AC230&lt;AB230,AB230,Calculator_v2!$E$6*AC230)+IFERROR(_xlfn.LET(_xlpm.tarifa,IF(Calculator_v2!$E$6&lt;=$AI$1,AI230,IF(Calculator_v2!$E$6&lt;=$AK$1,AJ230,IF(Calculator_v2!$E$6&lt;=$AL$1,AK230,IF(Calculator_v2!$E$6&lt;=$AM$1,AL230,IF(Calculator_v2!$E$6&lt;=$AN$1,AM230,IF(Calculator_v2!$E$6&lt;=$AO$1,AN230,IF(Calculator_v2!$E$6&lt;=$AP$1,AO230,AP230))))))),_xlpm.resultado,_xlpm.tarifa*Calculator_v2!$E$6,IF(_xlpm.resultado&lt;AH230,AH230,_xlpm.resultado)),0)+IF(Calculator_v2!$E$6*AV230&lt;AU230,AU230,IF(Calculator_v2!$E$6*AV230&gt;AW230,AW230,Calculator_v2!$E$6*AV230))+IF(Calculator_v2!$E$6*AZ230&lt;=AY230,AY230,Calculator_v2!$E$6*AZ230)),0)</f>
        <v>1803.0239999999999</v>
      </c>
      <c r="BC230" s="47">
        <f>IFERROR(+BB230/Calculator_v2!$E$6,0)+IFERROR(VLOOKUP(A230,DHL_ADDER!$B$4:$E$26,4,0),0)</f>
        <v>3.0456486486486485</v>
      </c>
      <c r="BD230" s="48">
        <f t="shared" si="7"/>
        <v>5</v>
      </c>
      <c r="BE230" s="48">
        <f>+T[[#This Row],[Airport to Destination Transit Time Days]]+T[[#This Row],[Airport to Airport Transit Time Days]]+T[[#This Row],[Origin to Airport Transit Time in days]]</f>
        <v>9</v>
      </c>
    </row>
    <row r="231" spans="1:57" customFormat="1" x14ac:dyDescent="0.35">
      <c r="A231" t="str">
        <f>+T[[#This Row],[Provider_Name]]&amp;"_"&amp;T[[#This Row],[AXIS]]</f>
        <v>Rohlig_H_BR&gt;TR</v>
      </c>
      <c r="B231" t="s">
        <v>260</v>
      </c>
      <c r="C231" t="s">
        <v>270</v>
      </c>
      <c r="D231" t="s">
        <v>271</v>
      </c>
      <c r="E231" t="s">
        <v>263</v>
      </c>
      <c r="F231" t="s">
        <v>75</v>
      </c>
      <c r="G231" t="s">
        <v>79</v>
      </c>
      <c r="H231" t="s">
        <v>80</v>
      </c>
      <c r="I231" t="s">
        <v>81</v>
      </c>
      <c r="J231" t="s">
        <v>82</v>
      </c>
      <c r="K231" t="s">
        <v>83</v>
      </c>
      <c r="L231" t="s">
        <v>126</v>
      </c>
      <c r="M231" t="s">
        <v>127</v>
      </c>
      <c r="N231" t="s">
        <v>128</v>
      </c>
      <c r="O231">
        <v>34771</v>
      </c>
      <c r="P231" t="s">
        <v>129</v>
      </c>
      <c r="Q231" t="s">
        <v>130</v>
      </c>
      <c r="R231">
        <v>8</v>
      </c>
      <c r="S231">
        <v>8791.4</v>
      </c>
      <c r="T231">
        <v>9452.5</v>
      </c>
      <c r="U231" s="1">
        <v>1181.5625</v>
      </c>
      <c r="V231" t="s">
        <v>85</v>
      </c>
      <c r="W231" s="43">
        <v>8</v>
      </c>
      <c r="X231">
        <v>85</v>
      </c>
      <c r="Y231">
        <v>0.21000000000000002</v>
      </c>
      <c r="Z231">
        <v>383</v>
      </c>
      <c r="AA231">
        <v>2</v>
      </c>
      <c r="AB231">
        <v>13</v>
      </c>
      <c r="AC231">
        <v>0.04</v>
      </c>
      <c r="AD231">
        <v>137</v>
      </c>
      <c r="AE231">
        <v>0</v>
      </c>
      <c r="AF231">
        <v>0</v>
      </c>
      <c r="AG231">
        <v>0</v>
      </c>
      <c r="AH231">
        <v>78.3</v>
      </c>
      <c r="AI231" s="51">
        <v>2.7179999999999995</v>
      </c>
      <c r="AJ231" s="51">
        <v>2.1059999999999999</v>
      </c>
      <c r="AK231" s="51">
        <v>1.917</v>
      </c>
      <c r="AL231" s="51">
        <v>1.728</v>
      </c>
      <c r="AM231" s="51">
        <v>1.647</v>
      </c>
      <c r="AN231" s="51">
        <v>1.53</v>
      </c>
      <c r="AO231" s="51">
        <v>1.494</v>
      </c>
      <c r="AP231" s="51">
        <v>1.494</v>
      </c>
      <c r="AQ231">
        <v>4</v>
      </c>
      <c r="AR231" t="s">
        <v>272</v>
      </c>
      <c r="AS231">
        <v>1</v>
      </c>
      <c r="AT231">
        <v>5</v>
      </c>
      <c r="AU231">
        <v>326</v>
      </c>
      <c r="AV231">
        <v>0.35000000000000003</v>
      </c>
      <c r="AW231">
        <v>1432</v>
      </c>
      <c r="AX231">
        <v>2</v>
      </c>
      <c r="AY231">
        <v>217</v>
      </c>
      <c r="AZ231">
        <v>0.27</v>
      </c>
      <c r="BA231" s="43" t="str">
        <f t="shared" si="6"/>
        <v>Economy</v>
      </c>
      <c r="BB231" s="46">
        <f>IFERROR((AD231+IF(Calculator_v2!$E$6*Y231&lt;X231,X231,IF(Calculator_v2!$E$6*Y231&gt;Z231,Z231,Calculator_v2!$E$6*Y231))+IF(Calculator_v2!$E$6*AC231&lt;AB231,AB231,Calculator_v2!$E$6*AC231)+IFERROR(_xlfn.LET(_xlpm.tarifa,IF(Calculator_v2!$E$6&lt;=$AI$1,AI231,IF(Calculator_v2!$E$6&lt;=$AK$1,AJ231,IF(Calculator_v2!$E$6&lt;=$AL$1,AK231,IF(Calculator_v2!$E$6&lt;=$AM$1,AL231,IF(Calculator_v2!$E$6&lt;=$AN$1,AM231,IF(Calculator_v2!$E$6&lt;=$AO$1,AN231,IF(Calculator_v2!$E$6&lt;=$AP$1,AO231,AP231))))))),_xlpm.resultado,_xlpm.tarifa*Calculator_v2!$E$6,IF(_xlpm.resultado&lt;AH231,AH231,_xlpm.resultado)),0)+IF(Calculator_v2!$E$6*AV231&lt;AU231,AU231,IF(Calculator_v2!$E$6*AV231&gt;AW231,AW231,Calculator_v2!$E$6*AV231))+IF(Calculator_v2!$E$6*AZ231&lt;=AY231,AY231,Calculator_v2!$E$6*AZ231)),0)</f>
        <v>1803.0239999999999</v>
      </c>
      <c r="BC231" s="47">
        <f>IFERROR(+BB231/Calculator_v2!$E$6,0)+IFERROR(VLOOKUP(A231,DHL_ADDER!$B$4:$E$26,4,0),0)</f>
        <v>3.0456486486486485</v>
      </c>
      <c r="BD231" s="48">
        <f t="shared" si="7"/>
        <v>5</v>
      </c>
      <c r="BE231" s="48">
        <f>+T[[#This Row],[Airport to Destination Transit Time Days]]+T[[#This Row],[Airport to Airport Transit Time Days]]+T[[#This Row],[Origin to Airport Transit Time in days]]</f>
        <v>8</v>
      </c>
    </row>
    <row r="232" spans="1:57" customFormat="1" x14ac:dyDescent="0.35">
      <c r="A232" t="str">
        <f>+T[[#This Row],[Provider_Name]]&amp;"_"&amp;T[[#This Row],[AXIS]]</f>
        <v>Rohlig_H_BR&gt;TR</v>
      </c>
      <c r="B232" t="s">
        <v>260</v>
      </c>
      <c r="C232" t="s">
        <v>270</v>
      </c>
      <c r="D232" t="s">
        <v>271</v>
      </c>
      <c r="E232" t="s">
        <v>263</v>
      </c>
      <c r="F232" t="s">
        <v>75</v>
      </c>
      <c r="G232" t="s">
        <v>79</v>
      </c>
      <c r="H232" t="s">
        <v>80</v>
      </c>
      <c r="I232" t="s">
        <v>81</v>
      </c>
      <c r="J232" t="s">
        <v>82</v>
      </c>
      <c r="K232" t="s">
        <v>89</v>
      </c>
      <c r="L232" t="s">
        <v>126</v>
      </c>
      <c r="M232" t="s">
        <v>127</v>
      </c>
      <c r="N232" t="s">
        <v>128</v>
      </c>
      <c r="O232">
        <v>34771</v>
      </c>
      <c r="P232" t="s">
        <v>129</v>
      </c>
      <c r="Q232" t="s">
        <v>130</v>
      </c>
      <c r="R232">
        <v>8</v>
      </c>
      <c r="S232">
        <v>8791.4</v>
      </c>
      <c r="T232">
        <v>9452.5</v>
      </c>
      <c r="U232" s="1">
        <v>1181.5625</v>
      </c>
      <c r="V232" t="s">
        <v>90</v>
      </c>
      <c r="W232" s="43">
        <v>6</v>
      </c>
      <c r="X232">
        <v>141</v>
      </c>
      <c r="Y232">
        <v>0.28000000000000003</v>
      </c>
      <c r="Z232">
        <v>446</v>
      </c>
      <c r="AA232">
        <v>1</v>
      </c>
      <c r="AB232">
        <v>13</v>
      </c>
      <c r="AC232">
        <v>0.04</v>
      </c>
      <c r="AD232">
        <v>137</v>
      </c>
      <c r="AE232">
        <v>0</v>
      </c>
      <c r="AF232">
        <v>0</v>
      </c>
      <c r="AG232">
        <v>0</v>
      </c>
      <c r="AH232">
        <v>117.9</v>
      </c>
      <c r="AI232" s="51">
        <v>3.9780000000000002</v>
      </c>
      <c r="AJ232" s="51">
        <v>3.0960000000000001</v>
      </c>
      <c r="AK232" s="51">
        <v>2.6819999999999999</v>
      </c>
      <c r="AL232" s="51">
        <v>2.448</v>
      </c>
      <c r="AM232" s="51">
        <v>2.4119999999999999</v>
      </c>
      <c r="AN232" s="51">
        <v>2.2229999999999999</v>
      </c>
      <c r="AO232" s="51">
        <v>2.1779999999999999</v>
      </c>
      <c r="AP232" s="51">
        <v>2.1779999999999999</v>
      </c>
      <c r="AQ232">
        <v>3</v>
      </c>
      <c r="AR232" t="s">
        <v>272</v>
      </c>
      <c r="AS232">
        <v>1</v>
      </c>
      <c r="AT232">
        <v>5</v>
      </c>
      <c r="AU232">
        <v>326</v>
      </c>
      <c r="AV232">
        <v>0.35000000000000003</v>
      </c>
      <c r="AW232">
        <v>1432</v>
      </c>
      <c r="AX232">
        <v>2</v>
      </c>
      <c r="AY232">
        <v>217</v>
      </c>
      <c r="AZ232">
        <v>0.27</v>
      </c>
      <c r="BA232" s="43" t="str">
        <f t="shared" si="6"/>
        <v>Express</v>
      </c>
      <c r="BB232" s="46">
        <f>IFERROR((AD232+IF(Calculator_v2!$E$6*Y232&lt;X232,X232,IF(Calculator_v2!$E$6*Y232&gt;Z232,Z232,Calculator_v2!$E$6*Y232))+IF(Calculator_v2!$E$6*AC232&lt;AB232,AB232,Calculator_v2!$E$6*AC232)+IFERROR(_xlfn.LET(_xlpm.tarifa,IF(Calculator_v2!$E$6&lt;=$AI$1,AI232,IF(Calculator_v2!$E$6&lt;=$AK$1,AJ232,IF(Calculator_v2!$E$6&lt;=$AL$1,AK232,IF(Calculator_v2!$E$6&lt;=$AM$1,AL232,IF(Calculator_v2!$E$6&lt;=$AN$1,AM232,IF(Calculator_v2!$E$6&lt;=$AO$1,AN232,IF(Calculator_v2!$E$6&lt;=$AP$1,AO232,AP232))))))),_xlpm.resultado,_xlpm.tarifa*Calculator_v2!$E$6,IF(_xlpm.resultado&lt;AH232,AH232,_xlpm.resultado)),0)+IF(Calculator_v2!$E$6*AV232&lt;AU232,AU232,IF(Calculator_v2!$E$6*AV232&gt;AW232,AW232,Calculator_v2!$E$6*AV232))+IF(Calculator_v2!$E$6*AZ232&lt;=AY232,AY232,Calculator_v2!$E$6*AZ232)),0)</f>
        <v>2297.3440000000001</v>
      </c>
      <c r="BC232" s="47">
        <f>IFERROR(+BB232/Calculator_v2!$E$6,0)+IFERROR(VLOOKUP(A232,DHL_ADDER!$B$4:$E$26,4,0),0)</f>
        <v>3.8806486486486489</v>
      </c>
      <c r="BD232" s="48">
        <f t="shared" si="7"/>
        <v>5</v>
      </c>
      <c r="BE232" s="48">
        <f>+T[[#This Row],[Airport to Destination Transit Time Days]]+T[[#This Row],[Airport to Airport Transit Time Days]]+T[[#This Row],[Origin to Airport Transit Time in days]]</f>
        <v>6</v>
      </c>
    </row>
    <row r="233" spans="1:57" customFormat="1" x14ac:dyDescent="0.35">
      <c r="A233" t="str">
        <f>+T[[#This Row],[Provider_Name]]&amp;"_"&amp;T[[#This Row],[AXIS]]</f>
        <v>Rohlig_H_BR&gt;TR</v>
      </c>
      <c r="B233" t="s">
        <v>260</v>
      </c>
      <c r="C233" t="s">
        <v>270</v>
      </c>
      <c r="D233" t="s">
        <v>271</v>
      </c>
      <c r="E233" t="s">
        <v>263</v>
      </c>
      <c r="F233" t="s">
        <v>75</v>
      </c>
      <c r="G233" t="s">
        <v>79</v>
      </c>
      <c r="H233" t="s">
        <v>80</v>
      </c>
      <c r="I233" t="s">
        <v>81</v>
      </c>
      <c r="J233" t="s">
        <v>82</v>
      </c>
      <c r="K233" t="s">
        <v>83</v>
      </c>
      <c r="L233" t="s">
        <v>126</v>
      </c>
      <c r="M233" t="s">
        <v>127</v>
      </c>
      <c r="N233" t="s">
        <v>128</v>
      </c>
      <c r="O233">
        <v>34771</v>
      </c>
      <c r="P233" t="s">
        <v>129</v>
      </c>
      <c r="Q233" t="s">
        <v>130</v>
      </c>
      <c r="R233">
        <v>8</v>
      </c>
      <c r="S233">
        <v>8791.4</v>
      </c>
      <c r="T233">
        <v>9452.5</v>
      </c>
      <c r="U233" s="1">
        <v>1181.5625</v>
      </c>
      <c r="V233" t="s">
        <v>90</v>
      </c>
      <c r="W233" s="43">
        <v>5</v>
      </c>
      <c r="X233">
        <v>722</v>
      </c>
      <c r="Y233">
        <v>1.49</v>
      </c>
      <c r="Z233">
        <v>1741</v>
      </c>
      <c r="AA233">
        <v>2</v>
      </c>
      <c r="AB233">
        <v>9</v>
      </c>
      <c r="AC233">
        <v>0.03</v>
      </c>
      <c r="AD233">
        <v>137</v>
      </c>
      <c r="AE233">
        <v>0</v>
      </c>
      <c r="AF233">
        <v>0</v>
      </c>
      <c r="AG233">
        <v>0</v>
      </c>
      <c r="AH233">
        <v>94.5</v>
      </c>
      <c r="AI233" s="51">
        <v>3.8610000000000002</v>
      </c>
      <c r="AJ233" s="51">
        <v>2.9429999999999996</v>
      </c>
      <c r="AK233" s="51">
        <v>2.5289999999999999</v>
      </c>
      <c r="AL233" s="51">
        <v>2.2949999999999999</v>
      </c>
      <c r="AM233" s="51">
        <v>2.2589999999999999</v>
      </c>
      <c r="AN233" s="51">
        <v>2.1419999999999999</v>
      </c>
      <c r="AO233" s="51">
        <v>1.9890000000000001</v>
      </c>
      <c r="AP233" s="51">
        <v>1.9890000000000001</v>
      </c>
      <c r="AQ233">
        <v>1</v>
      </c>
      <c r="AR233" t="s">
        <v>272</v>
      </c>
      <c r="AS233">
        <v>0</v>
      </c>
      <c r="AT233">
        <v>7</v>
      </c>
      <c r="AU233">
        <v>326</v>
      </c>
      <c r="AV233">
        <v>0.35000000000000003</v>
      </c>
      <c r="AW233">
        <v>1432</v>
      </c>
      <c r="AX233">
        <v>2</v>
      </c>
      <c r="AY233">
        <v>217</v>
      </c>
      <c r="AZ233">
        <v>0.27</v>
      </c>
      <c r="BA233" s="43" t="str">
        <f t="shared" si="6"/>
        <v>Express</v>
      </c>
      <c r="BB233" s="46">
        <f>IFERROR((AD233+IF(Calculator_v2!$E$6*Y233&lt;X233,X233,IF(Calculator_v2!$E$6*Y233&gt;Z233,Z233,Calculator_v2!$E$6*Y233))+IF(Calculator_v2!$E$6*AC233&lt;AB233,AB233,Calculator_v2!$E$6*AC233)+IFERROR(_xlfn.LET(_xlpm.tarifa,IF(Calculator_v2!$E$6&lt;=$AI$1,AI233,IF(Calculator_v2!$E$6&lt;=$AK$1,AJ233,IF(Calculator_v2!$E$6&lt;=$AL$1,AK233,IF(Calculator_v2!$E$6&lt;=$AM$1,AL233,IF(Calculator_v2!$E$6&lt;=$AN$1,AM233,IF(Calculator_v2!$E$6&lt;=$AO$1,AN233,IF(Calculator_v2!$E$6&lt;=$AP$1,AO233,AP233))))))),_xlpm.resultado,_xlpm.tarifa*Calculator_v2!$E$6,IF(_xlpm.resultado&lt;AH233,AH233,_xlpm.resultado)),0)+IF(Calculator_v2!$E$6*AV233&lt;AU233,AU233,IF(Calculator_v2!$E$6*AV233&gt;AW233,AW233,Calculator_v2!$E$6*AV233))+IF(Calculator_v2!$E$6*AZ233&lt;=AY233,AY233,Calculator_v2!$E$6*AZ233)),0)</f>
        <v>2917.1680000000001</v>
      </c>
      <c r="BC233" s="47">
        <f>IFERROR(+BB233/Calculator_v2!$E$6,0)+IFERROR(VLOOKUP(A233,DHL_ADDER!$B$4:$E$26,4,0),0)</f>
        <v>4.927648648648649</v>
      </c>
      <c r="BD233" s="48">
        <f t="shared" si="7"/>
        <v>7</v>
      </c>
      <c r="BE233" s="48">
        <f>+T[[#This Row],[Airport to Destination Transit Time Days]]+T[[#This Row],[Airport to Airport Transit Time Days]]+T[[#This Row],[Origin to Airport Transit Time in days]]</f>
        <v>5</v>
      </c>
    </row>
    <row r="234" spans="1:57" customFormat="1" x14ac:dyDescent="0.35">
      <c r="A234" t="str">
        <f>+T[[#This Row],[Provider_Name]]&amp;"_"&amp;T[[#This Row],[AXIS]]</f>
        <v>Rohlig_H_BR&gt;TR</v>
      </c>
      <c r="B234" t="s">
        <v>260</v>
      </c>
      <c r="C234" t="s">
        <v>270</v>
      </c>
      <c r="D234" t="s">
        <v>271</v>
      </c>
      <c r="E234" t="s">
        <v>263</v>
      </c>
      <c r="F234" t="s">
        <v>75</v>
      </c>
      <c r="G234" t="s">
        <v>79</v>
      </c>
      <c r="H234" t="s">
        <v>80</v>
      </c>
      <c r="I234" t="s">
        <v>81</v>
      </c>
      <c r="J234" t="s">
        <v>82</v>
      </c>
      <c r="K234" t="s">
        <v>89</v>
      </c>
      <c r="L234" t="s">
        <v>126</v>
      </c>
      <c r="M234" t="s">
        <v>127</v>
      </c>
      <c r="N234" t="s">
        <v>128</v>
      </c>
      <c r="O234">
        <v>34771</v>
      </c>
      <c r="P234" t="s">
        <v>129</v>
      </c>
      <c r="Q234" t="s">
        <v>130</v>
      </c>
      <c r="R234">
        <v>8</v>
      </c>
      <c r="S234">
        <v>8791.4</v>
      </c>
      <c r="T234">
        <v>9452.5</v>
      </c>
      <c r="U234" s="1">
        <v>1181.5625</v>
      </c>
      <c r="V234" t="s">
        <v>91</v>
      </c>
      <c r="W234" s="43">
        <v>8</v>
      </c>
      <c r="X234">
        <v>85</v>
      </c>
      <c r="Y234">
        <v>0.21000000000000002</v>
      </c>
      <c r="Z234">
        <v>383</v>
      </c>
      <c r="AA234">
        <v>2</v>
      </c>
      <c r="AB234">
        <v>13</v>
      </c>
      <c r="AC234">
        <v>0.04</v>
      </c>
      <c r="AD234">
        <v>137</v>
      </c>
      <c r="AE234">
        <v>0</v>
      </c>
      <c r="AF234">
        <v>0</v>
      </c>
      <c r="AG234">
        <v>0</v>
      </c>
      <c r="AH234">
        <v>86.4</v>
      </c>
      <c r="AI234" s="51">
        <v>2.7539999999999996</v>
      </c>
      <c r="AJ234" s="51">
        <v>2.1419999999999999</v>
      </c>
      <c r="AK234" s="51">
        <v>1.863</v>
      </c>
      <c r="AL234" s="51">
        <v>1.728</v>
      </c>
      <c r="AM234" s="51">
        <v>1.6830000000000001</v>
      </c>
      <c r="AN234" s="51">
        <v>1.575</v>
      </c>
      <c r="AO234" s="51">
        <v>1.53</v>
      </c>
      <c r="AP234" s="51">
        <v>1.53</v>
      </c>
      <c r="AQ234">
        <v>4</v>
      </c>
      <c r="AR234" t="s">
        <v>272</v>
      </c>
      <c r="AS234">
        <v>1</v>
      </c>
      <c r="AT234">
        <v>5</v>
      </c>
      <c r="AU234">
        <v>326</v>
      </c>
      <c r="AV234">
        <v>0.35000000000000003</v>
      </c>
      <c r="AW234">
        <v>1432</v>
      </c>
      <c r="AX234">
        <v>2</v>
      </c>
      <c r="AY234">
        <v>217</v>
      </c>
      <c r="AZ234">
        <v>0.27</v>
      </c>
      <c r="BA234" s="43" t="str">
        <f t="shared" si="6"/>
        <v>Normal</v>
      </c>
      <c r="BB234" s="46">
        <f>IFERROR((AD234+IF(Calculator_v2!$E$6*Y234&lt;X234,X234,IF(Calculator_v2!$E$6*Y234&gt;Z234,Z234,Calculator_v2!$E$6*Y234))+IF(Calculator_v2!$E$6*AC234&lt;AB234,AB234,Calculator_v2!$E$6*AC234)+IFERROR(_xlfn.LET(_xlpm.tarifa,IF(Calculator_v2!$E$6&lt;=$AI$1,AI234,IF(Calculator_v2!$E$6&lt;=$AK$1,AJ234,IF(Calculator_v2!$E$6&lt;=$AL$1,AK234,IF(Calculator_v2!$E$6&lt;=$AM$1,AL234,IF(Calculator_v2!$E$6&lt;=$AN$1,AM234,IF(Calculator_v2!$E$6&lt;=$AO$1,AN234,IF(Calculator_v2!$E$6&lt;=$AP$1,AO234,AP234))))))),_xlpm.resultado,_xlpm.tarifa*Calculator_v2!$E$6,IF(_xlpm.resultado&lt;AH234,AH234,_xlpm.resultado)),0)+IF(Calculator_v2!$E$6*AV234&lt;AU234,AU234,IF(Calculator_v2!$E$6*AV234&gt;AW234,AW234,Calculator_v2!$E$6*AV234))+IF(Calculator_v2!$E$6*AZ234&lt;=AY234,AY234,Calculator_v2!$E$6*AZ234)),0)</f>
        <v>1824.336</v>
      </c>
      <c r="BC234" s="47">
        <f>IFERROR(+BB234/Calculator_v2!$E$6,0)+IFERROR(VLOOKUP(A234,DHL_ADDER!$B$4:$E$26,4,0),0)</f>
        <v>3.0816486486486485</v>
      </c>
      <c r="BD234" s="48">
        <f t="shared" si="7"/>
        <v>5</v>
      </c>
      <c r="BE234" s="48">
        <f>+T[[#This Row],[Airport to Destination Transit Time Days]]+T[[#This Row],[Airport to Airport Transit Time Days]]+T[[#This Row],[Origin to Airport Transit Time in days]]</f>
        <v>8</v>
      </c>
    </row>
    <row r="235" spans="1:57" customFormat="1" x14ac:dyDescent="0.35">
      <c r="A235" t="str">
        <f>+T[[#This Row],[Provider_Name]]&amp;"_"&amp;T[[#This Row],[AXIS]]</f>
        <v>Rohlig_H_BR&gt;TR</v>
      </c>
      <c r="B235" t="s">
        <v>260</v>
      </c>
      <c r="C235" t="s">
        <v>270</v>
      </c>
      <c r="D235" t="s">
        <v>271</v>
      </c>
      <c r="E235" t="s">
        <v>263</v>
      </c>
      <c r="F235" t="s">
        <v>75</v>
      </c>
      <c r="G235" t="s">
        <v>79</v>
      </c>
      <c r="H235" t="s">
        <v>80</v>
      </c>
      <c r="I235" t="s">
        <v>81</v>
      </c>
      <c r="J235" t="s">
        <v>82</v>
      </c>
      <c r="K235" t="s">
        <v>83</v>
      </c>
      <c r="L235" t="s">
        <v>126</v>
      </c>
      <c r="M235" t="s">
        <v>127</v>
      </c>
      <c r="N235" t="s">
        <v>128</v>
      </c>
      <c r="O235">
        <v>34771</v>
      </c>
      <c r="P235" t="s">
        <v>129</v>
      </c>
      <c r="Q235" t="s">
        <v>130</v>
      </c>
      <c r="R235">
        <v>8</v>
      </c>
      <c r="S235">
        <v>8791.4</v>
      </c>
      <c r="T235">
        <v>9452.5</v>
      </c>
      <c r="U235" s="1">
        <v>1181.5625</v>
      </c>
      <c r="V235" t="s">
        <v>91</v>
      </c>
      <c r="W235" s="43">
        <v>7</v>
      </c>
      <c r="X235">
        <v>85</v>
      </c>
      <c r="Y235">
        <v>0.21000000000000002</v>
      </c>
      <c r="Z235">
        <v>383</v>
      </c>
      <c r="AA235">
        <v>2</v>
      </c>
      <c r="AB235">
        <v>13</v>
      </c>
      <c r="AC235">
        <v>0.04</v>
      </c>
      <c r="AD235">
        <v>137</v>
      </c>
      <c r="AE235">
        <v>0</v>
      </c>
      <c r="AF235">
        <v>0</v>
      </c>
      <c r="AG235">
        <v>0</v>
      </c>
      <c r="AH235">
        <v>86.4</v>
      </c>
      <c r="AI235" s="51">
        <v>2.7539999999999996</v>
      </c>
      <c r="AJ235" s="51">
        <v>2.1419999999999999</v>
      </c>
      <c r="AK235" s="51">
        <v>1.9530000000000001</v>
      </c>
      <c r="AL235" s="51">
        <v>1.764</v>
      </c>
      <c r="AM235" s="51">
        <v>1.6830000000000001</v>
      </c>
      <c r="AN235" s="51">
        <v>1.575</v>
      </c>
      <c r="AO235" s="51">
        <v>1.53</v>
      </c>
      <c r="AP235" s="51">
        <v>1.53</v>
      </c>
      <c r="AQ235">
        <v>3</v>
      </c>
      <c r="AR235" t="s">
        <v>272</v>
      </c>
      <c r="AS235">
        <v>1</v>
      </c>
      <c r="AT235">
        <v>5</v>
      </c>
      <c r="AU235">
        <v>326</v>
      </c>
      <c r="AV235">
        <v>0.35000000000000003</v>
      </c>
      <c r="AW235">
        <v>1432</v>
      </c>
      <c r="AX235">
        <v>2</v>
      </c>
      <c r="AY235">
        <v>217</v>
      </c>
      <c r="AZ235">
        <v>0.27</v>
      </c>
      <c r="BA235" s="43" t="str">
        <f t="shared" si="6"/>
        <v>Normal</v>
      </c>
      <c r="BB235" s="46">
        <f>IFERROR((AD235+IF(Calculator_v2!$E$6*Y235&lt;X235,X235,IF(Calculator_v2!$E$6*Y235&gt;Z235,Z235,Calculator_v2!$E$6*Y235))+IF(Calculator_v2!$E$6*AC235&lt;AB235,AB235,Calculator_v2!$E$6*AC235)+IFERROR(_xlfn.LET(_xlpm.tarifa,IF(Calculator_v2!$E$6&lt;=$AI$1,AI235,IF(Calculator_v2!$E$6&lt;=$AK$1,AJ235,IF(Calculator_v2!$E$6&lt;=$AL$1,AK235,IF(Calculator_v2!$E$6&lt;=$AM$1,AL235,IF(Calculator_v2!$E$6&lt;=$AN$1,AM235,IF(Calculator_v2!$E$6&lt;=$AO$1,AN235,IF(Calculator_v2!$E$6&lt;=$AP$1,AO235,AP235))))))),_xlpm.resultado,_xlpm.tarifa*Calculator_v2!$E$6,IF(_xlpm.resultado&lt;AH235,AH235,_xlpm.resultado)),0)+IF(Calculator_v2!$E$6*AV235&lt;AU235,AU235,IF(Calculator_v2!$E$6*AV235&gt;AW235,AW235,Calculator_v2!$E$6*AV235))+IF(Calculator_v2!$E$6*AZ235&lt;=AY235,AY235,Calculator_v2!$E$6*AZ235)),0)</f>
        <v>1824.336</v>
      </c>
      <c r="BC235" s="47">
        <f>IFERROR(+BB235/Calculator_v2!$E$6,0)+IFERROR(VLOOKUP(A235,DHL_ADDER!$B$4:$E$26,4,0),0)</f>
        <v>3.0816486486486485</v>
      </c>
      <c r="BD235" s="48">
        <f t="shared" si="7"/>
        <v>5</v>
      </c>
      <c r="BE235" s="48">
        <f>+T[[#This Row],[Airport to Destination Transit Time Days]]+T[[#This Row],[Airport to Airport Transit Time Days]]+T[[#This Row],[Origin to Airport Transit Time in days]]</f>
        <v>7</v>
      </c>
    </row>
    <row r="236" spans="1:57" customFormat="1" x14ac:dyDescent="0.35">
      <c r="A236" t="str">
        <f>+T[[#This Row],[Provider_Name]]&amp;"_"&amp;T[[#This Row],[AXIS]]</f>
        <v>Rohlig_H_BR&gt;TR</v>
      </c>
      <c r="B236" t="s">
        <v>260</v>
      </c>
      <c r="C236" t="s">
        <v>270</v>
      </c>
      <c r="D236" t="s">
        <v>271</v>
      </c>
      <c r="E236" t="s">
        <v>263</v>
      </c>
      <c r="F236" t="s">
        <v>92</v>
      </c>
      <c r="G236" t="s">
        <v>79</v>
      </c>
      <c r="H236" t="s">
        <v>80</v>
      </c>
      <c r="I236" t="s">
        <v>81</v>
      </c>
      <c r="J236" t="s">
        <v>82</v>
      </c>
      <c r="K236" t="s">
        <v>93</v>
      </c>
      <c r="L236" t="s">
        <v>126</v>
      </c>
      <c r="M236" t="s">
        <v>127</v>
      </c>
      <c r="N236" t="s">
        <v>128</v>
      </c>
      <c r="O236">
        <v>34771</v>
      </c>
      <c r="P236" t="s">
        <v>129</v>
      </c>
      <c r="Q236" t="s">
        <v>130</v>
      </c>
      <c r="R236">
        <v>8</v>
      </c>
      <c r="S236">
        <v>8791.4</v>
      </c>
      <c r="T236">
        <v>9452.5</v>
      </c>
      <c r="U236" s="1">
        <v>1181.5625</v>
      </c>
      <c r="V236" t="s">
        <v>85</v>
      </c>
      <c r="W236" s="43">
        <v>8</v>
      </c>
      <c r="X236">
        <v>107</v>
      </c>
      <c r="Y236">
        <v>0.24000000000000002</v>
      </c>
      <c r="Z236">
        <v>467</v>
      </c>
      <c r="AA236">
        <v>2</v>
      </c>
      <c r="AB236">
        <v>13</v>
      </c>
      <c r="AC236">
        <v>0.04</v>
      </c>
      <c r="AD236">
        <v>137</v>
      </c>
      <c r="AE236">
        <v>0</v>
      </c>
      <c r="AF236">
        <v>0</v>
      </c>
      <c r="AG236">
        <v>0</v>
      </c>
      <c r="AH236">
        <v>78.3</v>
      </c>
      <c r="AI236" s="51">
        <v>2.7179999999999995</v>
      </c>
      <c r="AJ236" s="51">
        <v>2.1059999999999999</v>
      </c>
      <c r="AK236" s="51">
        <v>1.917</v>
      </c>
      <c r="AL236" s="51">
        <v>1.728</v>
      </c>
      <c r="AM236" s="51">
        <v>1.647</v>
      </c>
      <c r="AN236" s="51">
        <v>1.53</v>
      </c>
      <c r="AO236" s="51">
        <v>1.494</v>
      </c>
      <c r="AP236" s="51">
        <v>1.494</v>
      </c>
      <c r="AQ236">
        <v>4</v>
      </c>
      <c r="AR236" t="s">
        <v>272</v>
      </c>
      <c r="AS236">
        <v>1</v>
      </c>
      <c r="AT236">
        <v>5</v>
      </c>
      <c r="AU236">
        <v>326</v>
      </c>
      <c r="AV236">
        <v>0.35000000000000003</v>
      </c>
      <c r="AW236">
        <v>1432</v>
      </c>
      <c r="AX236">
        <v>2</v>
      </c>
      <c r="AY236">
        <v>217</v>
      </c>
      <c r="AZ236">
        <v>0.27</v>
      </c>
      <c r="BA236" s="43" t="str">
        <f t="shared" si="6"/>
        <v>Economy</v>
      </c>
      <c r="BB236" s="46">
        <f>IFERROR((AD236+IF(Calculator_v2!$E$6*Y236&lt;X236,X236,IF(Calculator_v2!$E$6*Y236&gt;Z236,Z236,Calculator_v2!$E$6*Y236))+IF(Calculator_v2!$E$6*AC236&lt;AB236,AB236,Calculator_v2!$E$6*AC236)+IFERROR(_xlfn.LET(_xlpm.tarifa,IF(Calculator_v2!$E$6&lt;=$AI$1,AI236,IF(Calculator_v2!$E$6&lt;=$AK$1,AJ236,IF(Calculator_v2!$E$6&lt;=$AL$1,AK236,IF(Calculator_v2!$E$6&lt;=$AM$1,AL236,IF(Calculator_v2!$E$6&lt;=$AN$1,AM236,IF(Calculator_v2!$E$6&lt;=$AO$1,AN236,IF(Calculator_v2!$E$6&lt;=$AP$1,AO236,AP236))))))),_xlpm.resultado,_xlpm.tarifa*Calculator_v2!$E$6,IF(_xlpm.resultado&lt;AH236,AH236,_xlpm.resultado)),0)+IF(Calculator_v2!$E$6*AV236&lt;AU236,AU236,IF(Calculator_v2!$E$6*AV236&gt;AW236,AW236,Calculator_v2!$E$6*AV236))+IF(Calculator_v2!$E$6*AZ236&lt;=AY236,AY236,Calculator_v2!$E$6*AZ236)),0)</f>
        <v>1820.7840000000001</v>
      </c>
      <c r="BC236" s="47">
        <f>IFERROR(+BB236/Calculator_v2!$E$6,0)+IFERROR(VLOOKUP(A236,DHL_ADDER!$B$4:$E$26,4,0),0)</f>
        <v>3.0756486486486487</v>
      </c>
      <c r="BD236" s="48">
        <f t="shared" si="7"/>
        <v>5</v>
      </c>
      <c r="BE236" s="48">
        <f>+T[[#This Row],[Airport to Destination Transit Time Days]]+T[[#This Row],[Airport to Airport Transit Time Days]]+T[[#This Row],[Origin to Airport Transit Time in days]]</f>
        <v>8</v>
      </c>
    </row>
    <row r="237" spans="1:57" customFormat="1" x14ac:dyDescent="0.35">
      <c r="A237" t="str">
        <f>+T[[#This Row],[Provider_Name]]&amp;"_"&amp;T[[#This Row],[AXIS]]</f>
        <v>Rohlig_H_BR&gt;TR</v>
      </c>
      <c r="B237" t="s">
        <v>260</v>
      </c>
      <c r="C237" t="s">
        <v>270</v>
      </c>
      <c r="D237" t="s">
        <v>271</v>
      </c>
      <c r="E237" t="s">
        <v>263</v>
      </c>
      <c r="F237" t="s">
        <v>92</v>
      </c>
      <c r="G237" t="s">
        <v>79</v>
      </c>
      <c r="H237" t="s">
        <v>80</v>
      </c>
      <c r="I237" t="s">
        <v>81</v>
      </c>
      <c r="J237" t="s">
        <v>82</v>
      </c>
      <c r="K237" t="s">
        <v>93</v>
      </c>
      <c r="L237" t="s">
        <v>126</v>
      </c>
      <c r="M237" t="s">
        <v>127</v>
      </c>
      <c r="N237" t="s">
        <v>128</v>
      </c>
      <c r="O237">
        <v>34771</v>
      </c>
      <c r="P237" t="s">
        <v>129</v>
      </c>
      <c r="Q237" t="s">
        <v>130</v>
      </c>
      <c r="R237">
        <v>8</v>
      </c>
      <c r="S237">
        <v>8791.4</v>
      </c>
      <c r="T237">
        <v>9452.5</v>
      </c>
      <c r="U237" s="1">
        <v>1181.5625</v>
      </c>
      <c r="V237" t="s">
        <v>90</v>
      </c>
      <c r="W237" s="43">
        <v>5</v>
      </c>
      <c r="X237">
        <v>722</v>
      </c>
      <c r="Y237">
        <v>1.49</v>
      </c>
      <c r="Z237">
        <v>1741</v>
      </c>
      <c r="AA237">
        <v>2</v>
      </c>
      <c r="AB237">
        <v>9</v>
      </c>
      <c r="AC237">
        <v>0.03</v>
      </c>
      <c r="AD237">
        <v>137</v>
      </c>
      <c r="AE237">
        <v>0</v>
      </c>
      <c r="AF237">
        <v>0</v>
      </c>
      <c r="AG237">
        <v>0</v>
      </c>
      <c r="AH237">
        <v>94.5</v>
      </c>
      <c r="AI237" s="51">
        <v>3.8610000000000002</v>
      </c>
      <c r="AJ237" s="51">
        <v>2.9429999999999996</v>
      </c>
      <c r="AK237" s="51">
        <v>2.5289999999999999</v>
      </c>
      <c r="AL237" s="51">
        <v>2.2949999999999999</v>
      </c>
      <c r="AM237" s="51">
        <v>2.2589999999999999</v>
      </c>
      <c r="AN237" s="51">
        <v>2.1419999999999999</v>
      </c>
      <c r="AO237" s="51">
        <v>1.9890000000000001</v>
      </c>
      <c r="AP237" s="51">
        <v>1.9890000000000001</v>
      </c>
      <c r="AQ237">
        <v>1</v>
      </c>
      <c r="AR237" t="s">
        <v>272</v>
      </c>
      <c r="AS237">
        <v>0</v>
      </c>
      <c r="AT237">
        <v>7</v>
      </c>
      <c r="AU237">
        <v>326</v>
      </c>
      <c r="AV237">
        <v>0.35000000000000003</v>
      </c>
      <c r="AW237">
        <v>1432</v>
      </c>
      <c r="AX237">
        <v>2</v>
      </c>
      <c r="AY237">
        <v>217</v>
      </c>
      <c r="AZ237">
        <v>0.27</v>
      </c>
      <c r="BA237" s="43" t="str">
        <f t="shared" si="6"/>
        <v>Express</v>
      </c>
      <c r="BB237" s="46">
        <f>IFERROR((AD237+IF(Calculator_v2!$E$6*Y237&lt;X237,X237,IF(Calculator_v2!$E$6*Y237&gt;Z237,Z237,Calculator_v2!$E$6*Y237))+IF(Calculator_v2!$E$6*AC237&lt;AB237,AB237,Calculator_v2!$E$6*AC237)+IFERROR(_xlfn.LET(_xlpm.tarifa,IF(Calculator_v2!$E$6&lt;=$AI$1,AI237,IF(Calculator_v2!$E$6&lt;=$AK$1,AJ237,IF(Calculator_v2!$E$6&lt;=$AL$1,AK237,IF(Calculator_v2!$E$6&lt;=$AM$1,AL237,IF(Calculator_v2!$E$6&lt;=$AN$1,AM237,IF(Calculator_v2!$E$6&lt;=$AO$1,AN237,IF(Calculator_v2!$E$6&lt;=$AP$1,AO237,AP237))))))),_xlpm.resultado,_xlpm.tarifa*Calculator_v2!$E$6,IF(_xlpm.resultado&lt;AH237,AH237,_xlpm.resultado)),0)+IF(Calculator_v2!$E$6*AV237&lt;AU237,AU237,IF(Calculator_v2!$E$6*AV237&gt;AW237,AW237,Calculator_v2!$E$6*AV237))+IF(Calculator_v2!$E$6*AZ237&lt;=AY237,AY237,Calculator_v2!$E$6*AZ237)),0)</f>
        <v>2917.1680000000001</v>
      </c>
      <c r="BC237" s="47">
        <f>IFERROR(+BB237/Calculator_v2!$E$6,0)+IFERROR(VLOOKUP(A237,DHL_ADDER!$B$4:$E$26,4,0),0)</f>
        <v>4.927648648648649</v>
      </c>
      <c r="BD237" s="48">
        <f t="shared" si="7"/>
        <v>7</v>
      </c>
      <c r="BE237" s="48">
        <f>+T[[#This Row],[Airport to Destination Transit Time Days]]+T[[#This Row],[Airport to Airport Transit Time Days]]+T[[#This Row],[Origin to Airport Transit Time in days]]</f>
        <v>5</v>
      </c>
    </row>
    <row r="238" spans="1:57" customFormat="1" x14ac:dyDescent="0.35">
      <c r="A238" t="str">
        <f>+T[[#This Row],[Provider_Name]]&amp;"_"&amp;T[[#This Row],[AXIS]]</f>
        <v>Rohlig_H_BR&gt;TR</v>
      </c>
      <c r="B238" t="s">
        <v>260</v>
      </c>
      <c r="C238" t="s">
        <v>270</v>
      </c>
      <c r="D238" t="s">
        <v>271</v>
      </c>
      <c r="E238" t="s">
        <v>263</v>
      </c>
      <c r="F238" t="s">
        <v>92</v>
      </c>
      <c r="G238" t="s">
        <v>79</v>
      </c>
      <c r="H238" t="s">
        <v>80</v>
      </c>
      <c r="I238" t="s">
        <v>81</v>
      </c>
      <c r="J238" t="s">
        <v>82</v>
      </c>
      <c r="K238" t="s">
        <v>93</v>
      </c>
      <c r="L238" t="s">
        <v>126</v>
      </c>
      <c r="M238" t="s">
        <v>127</v>
      </c>
      <c r="N238" t="s">
        <v>128</v>
      </c>
      <c r="O238">
        <v>34771</v>
      </c>
      <c r="P238" t="s">
        <v>129</v>
      </c>
      <c r="Q238" t="s">
        <v>130</v>
      </c>
      <c r="R238">
        <v>8</v>
      </c>
      <c r="S238">
        <v>8791.4</v>
      </c>
      <c r="T238">
        <v>9452.5</v>
      </c>
      <c r="U238" s="1">
        <v>1181.5625</v>
      </c>
      <c r="V238" t="s">
        <v>91</v>
      </c>
      <c r="W238" s="43">
        <v>7</v>
      </c>
      <c r="X238">
        <v>107</v>
      </c>
      <c r="Y238">
        <v>0.24000000000000002</v>
      </c>
      <c r="Z238">
        <v>467</v>
      </c>
      <c r="AA238">
        <v>2</v>
      </c>
      <c r="AB238">
        <v>13</v>
      </c>
      <c r="AC238">
        <v>0.04</v>
      </c>
      <c r="AD238">
        <v>137</v>
      </c>
      <c r="AE238">
        <v>0</v>
      </c>
      <c r="AF238">
        <v>0</v>
      </c>
      <c r="AG238">
        <v>0</v>
      </c>
      <c r="AH238">
        <v>86.4</v>
      </c>
      <c r="AI238" s="51">
        <v>2.7539999999999996</v>
      </c>
      <c r="AJ238" s="51">
        <v>2.1419999999999999</v>
      </c>
      <c r="AK238" s="51">
        <v>1.9530000000000001</v>
      </c>
      <c r="AL238" s="51">
        <v>1.764</v>
      </c>
      <c r="AM238" s="51">
        <v>1.6830000000000001</v>
      </c>
      <c r="AN238" s="51">
        <v>1.575</v>
      </c>
      <c r="AO238" s="51">
        <v>1.53</v>
      </c>
      <c r="AP238" s="51">
        <v>1.53</v>
      </c>
      <c r="AQ238">
        <v>3</v>
      </c>
      <c r="AR238" t="s">
        <v>272</v>
      </c>
      <c r="AS238">
        <v>1</v>
      </c>
      <c r="AT238">
        <v>5</v>
      </c>
      <c r="AU238">
        <v>326</v>
      </c>
      <c r="AV238">
        <v>0.35000000000000003</v>
      </c>
      <c r="AW238">
        <v>1432</v>
      </c>
      <c r="AX238">
        <v>2</v>
      </c>
      <c r="AY238">
        <v>217</v>
      </c>
      <c r="AZ238">
        <v>0.27</v>
      </c>
      <c r="BA238" s="43" t="str">
        <f t="shared" si="6"/>
        <v>Normal</v>
      </c>
      <c r="BB238" s="46">
        <f>IFERROR((AD238+IF(Calculator_v2!$E$6*Y238&lt;X238,X238,IF(Calculator_v2!$E$6*Y238&gt;Z238,Z238,Calculator_v2!$E$6*Y238))+IF(Calculator_v2!$E$6*AC238&lt;AB238,AB238,Calculator_v2!$E$6*AC238)+IFERROR(_xlfn.LET(_xlpm.tarifa,IF(Calculator_v2!$E$6&lt;=$AI$1,AI238,IF(Calculator_v2!$E$6&lt;=$AK$1,AJ238,IF(Calculator_v2!$E$6&lt;=$AL$1,AK238,IF(Calculator_v2!$E$6&lt;=$AM$1,AL238,IF(Calculator_v2!$E$6&lt;=$AN$1,AM238,IF(Calculator_v2!$E$6&lt;=$AO$1,AN238,IF(Calculator_v2!$E$6&lt;=$AP$1,AO238,AP238))))))),_xlpm.resultado,_xlpm.tarifa*Calculator_v2!$E$6,IF(_xlpm.resultado&lt;AH238,AH238,_xlpm.resultado)),0)+IF(Calculator_v2!$E$6*AV238&lt;AU238,AU238,IF(Calculator_v2!$E$6*AV238&gt;AW238,AW238,Calculator_v2!$E$6*AV238))+IF(Calculator_v2!$E$6*AZ238&lt;=AY238,AY238,Calculator_v2!$E$6*AZ238)),0)</f>
        <v>1842.096</v>
      </c>
      <c r="BC238" s="47">
        <f>IFERROR(+BB238/Calculator_v2!$E$6,0)+IFERROR(VLOOKUP(A238,DHL_ADDER!$B$4:$E$26,4,0),0)</f>
        <v>3.1116486486486488</v>
      </c>
      <c r="BD238" s="48">
        <f t="shared" si="7"/>
        <v>5</v>
      </c>
      <c r="BE238" s="48">
        <f>+T[[#This Row],[Airport to Destination Transit Time Days]]+T[[#This Row],[Airport to Airport Transit Time Days]]+T[[#This Row],[Origin to Airport Transit Time in days]]</f>
        <v>7</v>
      </c>
    </row>
    <row r="239" spans="1:57" customFormat="1" x14ac:dyDescent="0.35">
      <c r="A239" t="str">
        <f>+T[[#This Row],[Provider_Name]]&amp;"_"&amp;T[[#This Row],[AXIS]]</f>
        <v>Rohlig_H_CL&gt;TR</v>
      </c>
      <c r="B239" t="s">
        <v>260</v>
      </c>
      <c r="C239" t="s">
        <v>273</v>
      </c>
      <c r="D239" t="s">
        <v>274</v>
      </c>
      <c r="E239" t="s">
        <v>144</v>
      </c>
      <c r="F239" t="s">
        <v>92</v>
      </c>
      <c r="G239" t="s">
        <v>140</v>
      </c>
      <c r="H239" t="s">
        <v>141</v>
      </c>
      <c r="I239" t="s">
        <v>142</v>
      </c>
      <c r="J239">
        <v>2100837</v>
      </c>
      <c r="K239" t="s">
        <v>143</v>
      </c>
      <c r="L239" t="s">
        <v>126</v>
      </c>
      <c r="M239" t="s">
        <v>127</v>
      </c>
      <c r="N239" t="s">
        <v>275</v>
      </c>
      <c r="O239">
        <v>34771</v>
      </c>
      <c r="P239" t="s">
        <v>276</v>
      </c>
      <c r="Q239" t="s">
        <v>130</v>
      </c>
      <c r="R239">
        <v>50</v>
      </c>
      <c r="S239">
        <v>53000</v>
      </c>
      <c r="T239">
        <v>13200</v>
      </c>
      <c r="U239" s="1">
        <v>264</v>
      </c>
      <c r="V239" t="s">
        <v>85</v>
      </c>
      <c r="W239" s="43">
        <v>10</v>
      </c>
      <c r="X239">
        <v>300</v>
      </c>
      <c r="Y239">
        <v>0.92</v>
      </c>
      <c r="Z239">
        <v>504</v>
      </c>
      <c r="AA239">
        <v>2</v>
      </c>
      <c r="AB239">
        <v>74</v>
      </c>
      <c r="AC239">
        <v>0.14000000000000001</v>
      </c>
      <c r="AD239">
        <v>344</v>
      </c>
      <c r="AE239">
        <v>66</v>
      </c>
      <c r="AF239">
        <v>0.14000000000000001</v>
      </c>
      <c r="AG239">
        <v>0</v>
      </c>
      <c r="AH239">
        <v>217</v>
      </c>
      <c r="AI239" s="1">
        <v>7.26</v>
      </c>
      <c r="AJ239" s="1">
        <v>7.26</v>
      </c>
      <c r="AK239" s="1">
        <v>5</v>
      </c>
      <c r="AL239" s="1">
        <v>4.6599999999999993</v>
      </c>
      <c r="AM239" s="1">
        <v>4.4499999999999993</v>
      </c>
      <c r="AN239" s="1">
        <v>4.2699999999999996</v>
      </c>
      <c r="AO239" s="1">
        <v>4.2699999999999996</v>
      </c>
      <c r="AP239" s="1">
        <v>4.2699999999999996</v>
      </c>
      <c r="AQ239">
        <v>6</v>
      </c>
      <c r="AR239" t="s">
        <v>277</v>
      </c>
      <c r="AS239">
        <v>1</v>
      </c>
      <c r="AT239">
        <v>6</v>
      </c>
      <c r="AU239">
        <v>326</v>
      </c>
      <c r="AV239">
        <v>0.35000000000000003</v>
      </c>
      <c r="AW239">
        <v>1432</v>
      </c>
      <c r="AX239">
        <v>2</v>
      </c>
      <c r="AY239">
        <v>217</v>
      </c>
      <c r="AZ239">
        <v>0.29000000000000004</v>
      </c>
      <c r="BA239" s="43" t="str">
        <f t="shared" si="6"/>
        <v>Economy</v>
      </c>
      <c r="BB239" s="46">
        <f>IFERROR((AD239+IF(Calculator_v2!$E$6*Y239&lt;X239,X239,IF(Calculator_v2!$E$6*Y239&gt;Z239,Z239,Calculator_v2!$E$6*Y239))+IF(Calculator_v2!$E$6*AC239&lt;AB239,AB239,Calculator_v2!$E$6*AC239)+IFERROR(_xlfn.LET(_xlpm.tarifa,IF(Calculator_v2!$E$6&lt;=$AI$1,AI239,IF(Calculator_v2!$E$6&lt;=$AK$1,AJ239,IF(Calculator_v2!$E$6&lt;=$AL$1,AK239,IF(Calculator_v2!$E$6&lt;=$AM$1,AL239,IF(Calculator_v2!$E$6&lt;=$AN$1,AM239,IF(Calculator_v2!$E$6&lt;=$AO$1,AN239,IF(Calculator_v2!$E$6&lt;=$AP$1,AO239,AP239))))))),_xlpm.resultado,_xlpm.tarifa*Calculator_v2!$E$6,IF(_xlpm.resultado&lt;AH239,AH239,_xlpm.resultado)),0)+IF(Calculator_v2!$E$6*AV239&lt;AU239,AU239,IF(Calculator_v2!$E$6*AV239&gt;AW239,AW239,Calculator_v2!$E$6*AV239))+IF(Calculator_v2!$E$6*AZ239&lt;=AY239,AY239,Calculator_v2!$E$6*AZ239)),0)</f>
        <v>4108.28</v>
      </c>
      <c r="BC239" s="47">
        <f>IFERROR(+BB239/Calculator_v2!$E$6,0)+IFERROR(VLOOKUP(A239,DHL_ADDER!$B$4:$E$26,4,0),0)</f>
        <v>6.9396621621621621</v>
      </c>
      <c r="BD239" s="48">
        <f t="shared" si="7"/>
        <v>6</v>
      </c>
      <c r="BE239" s="48">
        <f>+T[[#This Row],[Airport to Destination Transit Time Days]]+T[[#This Row],[Airport to Airport Transit Time Days]]+T[[#This Row],[Origin to Airport Transit Time in days]]</f>
        <v>10</v>
      </c>
    </row>
    <row r="240" spans="1:57" customFormat="1" x14ac:dyDescent="0.35">
      <c r="A240" t="str">
        <f>+T[[#This Row],[Provider_Name]]&amp;"_"&amp;T[[#This Row],[AXIS]]</f>
        <v>Rohlig_H_CL&gt;TR</v>
      </c>
      <c r="B240" t="s">
        <v>260</v>
      </c>
      <c r="C240" t="s">
        <v>273</v>
      </c>
      <c r="D240" t="s">
        <v>274</v>
      </c>
      <c r="E240" t="s">
        <v>144</v>
      </c>
      <c r="F240" t="s">
        <v>92</v>
      </c>
      <c r="G240" t="s">
        <v>140</v>
      </c>
      <c r="H240" t="s">
        <v>141</v>
      </c>
      <c r="I240" t="s">
        <v>142</v>
      </c>
      <c r="J240">
        <v>2100837</v>
      </c>
      <c r="K240" t="s">
        <v>143</v>
      </c>
      <c r="L240" t="s">
        <v>126</v>
      </c>
      <c r="M240" t="s">
        <v>127</v>
      </c>
      <c r="N240" t="s">
        <v>275</v>
      </c>
      <c r="O240">
        <v>34771</v>
      </c>
      <c r="P240" t="s">
        <v>276</v>
      </c>
      <c r="Q240" t="s">
        <v>130</v>
      </c>
      <c r="R240">
        <v>50</v>
      </c>
      <c r="S240">
        <v>53000</v>
      </c>
      <c r="T240">
        <v>13200</v>
      </c>
      <c r="U240" s="1">
        <v>264</v>
      </c>
      <c r="V240" t="s">
        <v>90</v>
      </c>
      <c r="W240" s="43">
        <v>8</v>
      </c>
      <c r="X240">
        <v>300</v>
      </c>
      <c r="Y240">
        <v>0.92</v>
      </c>
      <c r="Z240">
        <v>504</v>
      </c>
      <c r="AA240">
        <v>2</v>
      </c>
      <c r="AB240">
        <v>74</v>
      </c>
      <c r="AC240">
        <v>0.14000000000000001</v>
      </c>
      <c r="AD240">
        <v>344</v>
      </c>
      <c r="AE240">
        <v>66</v>
      </c>
      <c r="AF240">
        <v>0.14000000000000001</v>
      </c>
      <c r="AG240">
        <v>0</v>
      </c>
      <c r="AH240">
        <v>217</v>
      </c>
      <c r="AI240" s="1">
        <v>7.2799999999999994</v>
      </c>
      <c r="AJ240" s="1">
        <v>7.2799999999999994</v>
      </c>
      <c r="AK240" s="1">
        <v>5.0199999999999996</v>
      </c>
      <c r="AL240" s="1">
        <v>4.68</v>
      </c>
      <c r="AM240" s="1">
        <v>4.47</v>
      </c>
      <c r="AN240" s="1">
        <v>4.2799999999999994</v>
      </c>
      <c r="AO240" s="1">
        <v>4.2799999999999994</v>
      </c>
      <c r="AP240" s="1">
        <v>4.2799999999999994</v>
      </c>
      <c r="AQ240">
        <v>4</v>
      </c>
      <c r="AR240" t="s">
        <v>277</v>
      </c>
      <c r="AS240">
        <v>1</v>
      </c>
      <c r="AT240">
        <v>6</v>
      </c>
      <c r="AU240">
        <v>326</v>
      </c>
      <c r="AV240">
        <v>0.35000000000000003</v>
      </c>
      <c r="AW240">
        <v>1432</v>
      </c>
      <c r="AX240">
        <v>2</v>
      </c>
      <c r="AY240">
        <v>217</v>
      </c>
      <c r="AZ240">
        <v>0.29000000000000004</v>
      </c>
      <c r="BA240" s="43" t="str">
        <f t="shared" si="6"/>
        <v>Express</v>
      </c>
      <c r="BB240" s="46">
        <f>IFERROR((AD240+IF(Calculator_v2!$E$6*Y240&lt;X240,X240,IF(Calculator_v2!$E$6*Y240&gt;Z240,Z240,Calculator_v2!$E$6*Y240))+IF(Calculator_v2!$E$6*AC240&lt;AB240,AB240,Calculator_v2!$E$6*AC240)+IFERROR(_xlfn.LET(_xlpm.tarifa,IF(Calculator_v2!$E$6&lt;=$AI$1,AI240,IF(Calculator_v2!$E$6&lt;=$AK$1,AJ240,IF(Calculator_v2!$E$6&lt;=$AL$1,AK240,IF(Calculator_v2!$E$6&lt;=$AM$1,AL240,IF(Calculator_v2!$E$6&lt;=$AN$1,AM240,IF(Calculator_v2!$E$6&lt;=$AO$1,AN240,IF(Calculator_v2!$E$6&lt;=$AP$1,AO240,AP240))))))),_xlpm.resultado,_xlpm.tarifa*Calculator_v2!$E$6,IF(_xlpm.resultado&lt;AH240,AH240,_xlpm.resultado)),0)+IF(Calculator_v2!$E$6*AV240&lt;AU240,AU240,IF(Calculator_v2!$E$6*AV240&gt;AW240,AW240,Calculator_v2!$E$6*AV240))+IF(Calculator_v2!$E$6*AZ240&lt;=AY240,AY240,Calculator_v2!$E$6*AZ240)),0)</f>
        <v>4120.12</v>
      </c>
      <c r="BC240" s="47">
        <f>IFERROR(+BB240/Calculator_v2!$E$6,0)+IFERROR(VLOOKUP(A240,DHL_ADDER!$B$4:$E$26,4,0),0)</f>
        <v>6.9596621621621617</v>
      </c>
      <c r="BD240" s="48">
        <f t="shared" si="7"/>
        <v>6</v>
      </c>
      <c r="BE240" s="48">
        <f>+T[[#This Row],[Airport to Destination Transit Time Days]]+T[[#This Row],[Airport to Airport Transit Time Days]]+T[[#This Row],[Origin to Airport Transit Time in days]]</f>
        <v>8</v>
      </c>
    </row>
    <row r="241" spans="1:57" customFormat="1" x14ac:dyDescent="0.35">
      <c r="A241" t="str">
        <f>+T[[#This Row],[Provider_Name]]&amp;"_"&amp;T[[#This Row],[AXIS]]</f>
        <v>Rohlig_H_CL&gt;TR</v>
      </c>
      <c r="B241" t="s">
        <v>260</v>
      </c>
      <c r="C241" t="s">
        <v>273</v>
      </c>
      <c r="D241" t="s">
        <v>274</v>
      </c>
      <c r="E241" t="s">
        <v>144</v>
      </c>
      <c r="F241" t="s">
        <v>92</v>
      </c>
      <c r="G241" t="s">
        <v>140</v>
      </c>
      <c r="H241" t="s">
        <v>141</v>
      </c>
      <c r="I241" t="s">
        <v>142</v>
      </c>
      <c r="J241">
        <v>2100837</v>
      </c>
      <c r="K241" t="s">
        <v>143</v>
      </c>
      <c r="L241" t="s">
        <v>126</v>
      </c>
      <c r="M241" t="s">
        <v>127</v>
      </c>
      <c r="N241" t="s">
        <v>275</v>
      </c>
      <c r="O241">
        <v>34771</v>
      </c>
      <c r="P241" t="s">
        <v>276</v>
      </c>
      <c r="Q241" t="s">
        <v>130</v>
      </c>
      <c r="R241">
        <v>50</v>
      </c>
      <c r="S241">
        <v>53000</v>
      </c>
      <c r="T241">
        <v>13200</v>
      </c>
      <c r="U241" s="1">
        <v>264</v>
      </c>
      <c r="V241" t="s">
        <v>91</v>
      </c>
      <c r="W241" s="43">
        <v>9</v>
      </c>
      <c r="X241">
        <v>300</v>
      </c>
      <c r="Y241">
        <v>0.92</v>
      </c>
      <c r="Z241">
        <v>504</v>
      </c>
      <c r="AA241">
        <v>2</v>
      </c>
      <c r="AB241">
        <v>74</v>
      </c>
      <c r="AC241">
        <v>0.14000000000000001</v>
      </c>
      <c r="AD241">
        <v>344</v>
      </c>
      <c r="AE241">
        <v>66</v>
      </c>
      <c r="AF241">
        <v>0.14000000000000001</v>
      </c>
      <c r="AG241">
        <v>0</v>
      </c>
      <c r="AH241">
        <v>217</v>
      </c>
      <c r="AI241" s="1">
        <v>7.27</v>
      </c>
      <c r="AJ241" s="1">
        <v>7.27</v>
      </c>
      <c r="AK241" s="1">
        <v>5.01</v>
      </c>
      <c r="AL241" s="1">
        <v>4.67</v>
      </c>
      <c r="AM241" s="1">
        <v>4.46</v>
      </c>
      <c r="AN241" s="1">
        <v>4.2699999999999996</v>
      </c>
      <c r="AO241" s="1">
        <v>4.2699999999999996</v>
      </c>
      <c r="AP241" s="1">
        <v>4.2699999999999996</v>
      </c>
      <c r="AQ241">
        <v>5</v>
      </c>
      <c r="AR241" t="s">
        <v>277</v>
      </c>
      <c r="AS241">
        <v>1</v>
      </c>
      <c r="AT241">
        <v>6</v>
      </c>
      <c r="AU241">
        <v>326</v>
      </c>
      <c r="AV241">
        <v>0.35000000000000003</v>
      </c>
      <c r="AW241">
        <v>1432</v>
      </c>
      <c r="AX241">
        <v>2</v>
      </c>
      <c r="AY241">
        <v>217</v>
      </c>
      <c r="AZ241">
        <v>0.29000000000000004</v>
      </c>
      <c r="BA241" s="43" t="str">
        <f t="shared" si="6"/>
        <v>Normal</v>
      </c>
      <c r="BB241" s="46">
        <f>IFERROR((AD241+IF(Calculator_v2!$E$6*Y241&lt;X241,X241,IF(Calculator_v2!$E$6*Y241&gt;Z241,Z241,Calculator_v2!$E$6*Y241))+IF(Calculator_v2!$E$6*AC241&lt;AB241,AB241,Calculator_v2!$E$6*AC241)+IFERROR(_xlfn.LET(_xlpm.tarifa,IF(Calculator_v2!$E$6&lt;=$AI$1,AI241,IF(Calculator_v2!$E$6&lt;=$AK$1,AJ241,IF(Calculator_v2!$E$6&lt;=$AL$1,AK241,IF(Calculator_v2!$E$6&lt;=$AM$1,AL241,IF(Calculator_v2!$E$6&lt;=$AN$1,AM241,IF(Calculator_v2!$E$6&lt;=$AO$1,AN241,IF(Calculator_v2!$E$6&lt;=$AP$1,AO241,AP241))))))),_xlpm.resultado,_xlpm.tarifa*Calculator_v2!$E$6,IF(_xlpm.resultado&lt;AH241,AH241,_xlpm.resultado)),0)+IF(Calculator_v2!$E$6*AV241&lt;AU241,AU241,IF(Calculator_v2!$E$6*AV241&gt;AW241,AW241,Calculator_v2!$E$6*AV241))+IF(Calculator_v2!$E$6*AZ241&lt;=AY241,AY241,Calculator_v2!$E$6*AZ241)),0)</f>
        <v>4114.2000000000007</v>
      </c>
      <c r="BC241" s="47">
        <f>IFERROR(+BB241/Calculator_v2!$E$6,0)+IFERROR(VLOOKUP(A241,DHL_ADDER!$B$4:$E$26,4,0),0)</f>
        <v>6.9496621621621637</v>
      </c>
      <c r="BD241" s="48">
        <f t="shared" si="7"/>
        <v>6</v>
      </c>
      <c r="BE241" s="48">
        <f>+T[[#This Row],[Airport to Destination Transit Time Days]]+T[[#This Row],[Airport to Airport Transit Time Days]]+T[[#This Row],[Origin to Airport Transit Time in days]]</f>
        <v>9</v>
      </c>
    </row>
    <row r="242" spans="1:57" customFormat="1" x14ac:dyDescent="0.35">
      <c r="A242" t="str">
        <f>+T[[#This Row],[Provider_Name]]&amp;"_"&amp;T[[#This Row],[AXIS]]</f>
        <v>Rohlig_H_MX&gt;BR</v>
      </c>
      <c r="B242" t="s">
        <v>260</v>
      </c>
      <c r="C242" t="s">
        <v>278</v>
      </c>
      <c r="D242" t="s">
        <v>279</v>
      </c>
      <c r="E242" t="s">
        <v>280</v>
      </c>
      <c r="F242" t="s">
        <v>75</v>
      </c>
      <c r="G242" t="s">
        <v>281</v>
      </c>
      <c r="H242" t="s">
        <v>282</v>
      </c>
      <c r="I242" t="s">
        <v>283</v>
      </c>
      <c r="J242">
        <v>52004</v>
      </c>
      <c r="K242" t="s">
        <v>284</v>
      </c>
      <c r="L242" t="s">
        <v>79</v>
      </c>
      <c r="M242" t="s">
        <v>80</v>
      </c>
      <c r="N242" t="s">
        <v>81</v>
      </c>
      <c r="O242" t="s">
        <v>82</v>
      </c>
      <c r="P242" t="s">
        <v>83</v>
      </c>
      <c r="Q242" t="s">
        <v>84</v>
      </c>
      <c r="R242">
        <v>6</v>
      </c>
      <c r="S242">
        <v>3000</v>
      </c>
      <c r="T242">
        <v>3000</v>
      </c>
      <c r="U242" s="1">
        <v>500</v>
      </c>
      <c r="V242" t="s">
        <v>85</v>
      </c>
      <c r="W242" s="43">
        <v>7</v>
      </c>
      <c r="X242">
        <v>456</v>
      </c>
      <c r="Y242">
        <v>0.18000000000000002</v>
      </c>
      <c r="Z242">
        <v>1235</v>
      </c>
      <c r="AA242">
        <v>1</v>
      </c>
      <c r="AB242">
        <v>96</v>
      </c>
      <c r="AC242">
        <v>0.14000000000000001</v>
      </c>
      <c r="AD242">
        <v>409</v>
      </c>
      <c r="AE242">
        <v>0</v>
      </c>
      <c r="AF242">
        <v>0</v>
      </c>
      <c r="AG242">
        <v>0</v>
      </c>
      <c r="AH242">
        <v>157</v>
      </c>
      <c r="AI242" s="1">
        <v>0.18000000000000002</v>
      </c>
      <c r="AJ242" s="1">
        <v>0.18000000000000002</v>
      </c>
      <c r="AK242" s="1">
        <v>1.81</v>
      </c>
      <c r="AL242" s="1">
        <v>1.81</v>
      </c>
      <c r="AM242" s="1">
        <v>1.78</v>
      </c>
      <c r="AN242" s="1">
        <v>1.78</v>
      </c>
      <c r="AO242" s="1">
        <v>1.78</v>
      </c>
      <c r="AP242" s="1">
        <v>1.78</v>
      </c>
      <c r="AQ242">
        <v>4</v>
      </c>
      <c r="AR242" t="s">
        <v>285</v>
      </c>
      <c r="AS242">
        <v>1</v>
      </c>
      <c r="AT242">
        <v>5</v>
      </c>
      <c r="AU242">
        <v>782</v>
      </c>
      <c r="AV242">
        <v>1.57</v>
      </c>
      <c r="AW242">
        <v>1953</v>
      </c>
      <c r="AX242">
        <v>2</v>
      </c>
      <c r="AY242">
        <v>70</v>
      </c>
      <c r="AZ242">
        <v>0.08</v>
      </c>
      <c r="BA242" s="43" t="str">
        <f t="shared" si="6"/>
        <v>Economy</v>
      </c>
      <c r="BB242" s="46">
        <f>IFERROR((AD242+IF(Calculator_v2!$E$6*Y242&lt;X242,X242,IF(Calculator_v2!$E$6*Y242&gt;Z242,Z242,Calculator_v2!$E$6*Y242))+IF(Calculator_v2!$E$6*AC242&lt;AB242,AB242,Calculator_v2!$E$6*AC242)+IFERROR(_xlfn.LET(_xlpm.tarifa,IF(Calculator_v2!$E$6&lt;=$AI$1,AI242,IF(Calculator_v2!$E$6&lt;=$AK$1,AJ242,IF(Calculator_v2!$E$6&lt;=$AL$1,AK242,IF(Calculator_v2!$E$6&lt;=$AM$1,AL242,IF(Calculator_v2!$E$6&lt;=$AN$1,AM242,IF(Calculator_v2!$E$6&lt;=$AO$1,AN242,IF(Calculator_v2!$E$6&lt;=$AP$1,AO242,AP242))))))),_xlpm.resultado,_xlpm.tarifa*Calculator_v2!$E$6,IF(_xlpm.resultado&lt;AH242,AH242,_xlpm.resultado)),0)+IF(Calculator_v2!$E$6*AV242&lt;AU242,AU242,IF(Calculator_v2!$E$6*AV242&gt;AW242,AW242,Calculator_v2!$E$6*AV242))+IF(Calculator_v2!$E$6*AZ242&lt;=AY242,AY242,Calculator_v2!$E$6*AZ242)),0)</f>
        <v>3014.2</v>
      </c>
      <c r="BC242" s="47">
        <f>IFERROR(+BB242/Calculator_v2!$E$6,0)+IFERROR(VLOOKUP(A242,DHL_ADDER!$B$4:$E$26,4,0),0)</f>
        <v>5.091554054054054</v>
      </c>
      <c r="BD242" s="48">
        <f t="shared" si="7"/>
        <v>5</v>
      </c>
      <c r="BE242" s="48">
        <f>+T[[#This Row],[Airport to Destination Transit Time Days]]+T[[#This Row],[Airport to Airport Transit Time Days]]+T[[#This Row],[Origin to Airport Transit Time in days]]</f>
        <v>7</v>
      </c>
    </row>
    <row r="243" spans="1:57" customFormat="1" x14ac:dyDescent="0.35">
      <c r="A243" t="str">
        <f>+T[[#This Row],[Provider_Name]]&amp;"_"&amp;T[[#This Row],[AXIS]]</f>
        <v>Rohlig_H_MX&gt;BR</v>
      </c>
      <c r="B243" t="s">
        <v>260</v>
      </c>
      <c r="C243" t="s">
        <v>278</v>
      </c>
      <c r="D243" t="s">
        <v>279</v>
      </c>
      <c r="E243" t="s">
        <v>280</v>
      </c>
      <c r="F243" t="s">
        <v>75</v>
      </c>
      <c r="G243" t="s">
        <v>281</v>
      </c>
      <c r="H243" t="s">
        <v>282</v>
      </c>
      <c r="I243" t="s">
        <v>283</v>
      </c>
      <c r="J243">
        <v>52004</v>
      </c>
      <c r="K243" t="s">
        <v>284</v>
      </c>
      <c r="L243" t="s">
        <v>79</v>
      </c>
      <c r="M243" t="s">
        <v>80</v>
      </c>
      <c r="N243" t="s">
        <v>81</v>
      </c>
      <c r="O243" t="s">
        <v>82</v>
      </c>
      <c r="P243" t="s">
        <v>89</v>
      </c>
      <c r="Q243" t="s">
        <v>84</v>
      </c>
      <c r="R243">
        <v>6</v>
      </c>
      <c r="S243">
        <v>3000</v>
      </c>
      <c r="T243">
        <v>3000</v>
      </c>
      <c r="U243" s="1">
        <v>500</v>
      </c>
      <c r="V243" t="s">
        <v>85</v>
      </c>
      <c r="W243" s="43">
        <v>9</v>
      </c>
      <c r="X243">
        <v>456</v>
      </c>
      <c r="Y243">
        <v>0.18000000000000002</v>
      </c>
      <c r="Z243">
        <v>1235</v>
      </c>
      <c r="AA243">
        <v>1</v>
      </c>
      <c r="AB243">
        <v>96</v>
      </c>
      <c r="AC243">
        <v>0.14000000000000001</v>
      </c>
      <c r="AD243">
        <v>409</v>
      </c>
      <c r="AE243">
        <v>0</v>
      </c>
      <c r="AF243">
        <v>0</v>
      </c>
      <c r="AG243">
        <v>0</v>
      </c>
      <c r="AH243">
        <v>235</v>
      </c>
      <c r="AI243" s="1">
        <v>4.1499999999999995</v>
      </c>
      <c r="AJ243" s="1">
        <v>4.1499999999999995</v>
      </c>
      <c r="AK243" s="1">
        <v>3.6799999999999997</v>
      </c>
      <c r="AL243" s="1">
        <v>3.5999999999999996</v>
      </c>
      <c r="AM243" s="1">
        <v>3.5199999999999996</v>
      </c>
      <c r="AN243" s="1">
        <v>3.4399999999999995</v>
      </c>
      <c r="AO243" s="1">
        <v>3.4399999999999995</v>
      </c>
      <c r="AP243" s="1">
        <v>3.4399999999999995</v>
      </c>
      <c r="AQ243">
        <v>6</v>
      </c>
      <c r="AR243" t="s">
        <v>286</v>
      </c>
      <c r="AS243">
        <v>1</v>
      </c>
      <c r="AT243">
        <v>1</v>
      </c>
      <c r="AU243">
        <v>109</v>
      </c>
      <c r="AV243">
        <v>0.25</v>
      </c>
      <c r="AW243">
        <v>478</v>
      </c>
      <c r="AX243">
        <v>2</v>
      </c>
      <c r="AY243">
        <v>70</v>
      </c>
      <c r="AZ243">
        <v>0.08</v>
      </c>
      <c r="BA243" s="43" t="str">
        <f t="shared" si="6"/>
        <v>Economy</v>
      </c>
      <c r="BB243" s="46">
        <f>IFERROR((AD243+IF(Calculator_v2!$E$6*Y243&lt;X243,X243,IF(Calculator_v2!$E$6*Y243&gt;Z243,Z243,Calculator_v2!$E$6*Y243))+IF(Calculator_v2!$E$6*AC243&lt;AB243,AB243,Calculator_v2!$E$6*AC243)+IFERROR(_xlfn.LET(_xlpm.tarifa,IF(Calculator_v2!$E$6&lt;=$AI$1,AI243,IF(Calculator_v2!$E$6&lt;=$AK$1,AJ243,IF(Calculator_v2!$E$6&lt;=$AL$1,AK243,IF(Calculator_v2!$E$6&lt;=$AM$1,AL243,IF(Calculator_v2!$E$6&lt;=$AN$1,AM243,IF(Calculator_v2!$E$6&lt;=$AO$1,AN243,IF(Calculator_v2!$E$6&lt;=$AP$1,AO243,AP243))))))),_xlpm.resultado,_xlpm.tarifa*Calculator_v2!$E$6,IF(_xlpm.resultado&lt;AH243,AH243,_xlpm.resultado)),0)+IF(Calculator_v2!$E$6*AV243&lt;AU243,AU243,IF(Calculator_v2!$E$6*AV243&gt;AW243,AW243,Calculator_v2!$E$6*AV243))+IF(Calculator_v2!$E$6*AZ243&lt;=AY243,AY243,Calculator_v2!$E$6*AZ243)),0)</f>
        <v>3262.8399999999997</v>
      </c>
      <c r="BC243" s="47">
        <f>IFERROR(+BB243/Calculator_v2!$E$6,0)+IFERROR(VLOOKUP(A243,DHL_ADDER!$B$4:$E$26,4,0),0)</f>
        <v>5.511554054054054</v>
      </c>
      <c r="BD243" s="48">
        <f t="shared" si="7"/>
        <v>1</v>
      </c>
      <c r="BE243" s="48">
        <f>+T[[#This Row],[Airport to Destination Transit Time Days]]+T[[#This Row],[Airport to Airport Transit Time Days]]+T[[#This Row],[Origin to Airport Transit Time in days]]</f>
        <v>9</v>
      </c>
    </row>
    <row r="244" spans="1:57" customFormat="1" x14ac:dyDescent="0.35">
      <c r="A244" t="str">
        <f>+T[[#This Row],[Provider_Name]]&amp;"_"&amp;T[[#This Row],[AXIS]]</f>
        <v>Rohlig_H_MX&gt;BR</v>
      </c>
      <c r="B244" t="s">
        <v>260</v>
      </c>
      <c r="C244" t="s">
        <v>278</v>
      </c>
      <c r="D244" t="s">
        <v>279</v>
      </c>
      <c r="E244" t="s">
        <v>280</v>
      </c>
      <c r="F244" t="s">
        <v>75</v>
      </c>
      <c r="G244" t="s">
        <v>281</v>
      </c>
      <c r="H244" t="s">
        <v>282</v>
      </c>
      <c r="I244" t="s">
        <v>283</v>
      </c>
      <c r="J244">
        <v>52004</v>
      </c>
      <c r="K244" t="s">
        <v>284</v>
      </c>
      <c r="L244" t="s">
        <v>79</v>
      </c>
      <c r="M244" t="s">
        <v>80</v>
      </c>
      <c r="N244" t="s">
        <v>81</v>
      </c>
      <c r="O244" t="s">
        <v>82</v>
      </c>
      <c r="P244" t="s">
        <v>83</v>
      </c>
      <c r="Q244" t="s">
        <v>84</v>
      </c>
      <c r="R244">
        <v>6</v>
      </c>
      <c r="S244">
        <v>3000</v>
      </c>
      <c r="T244">
        <v>3000</v>
      </c>
      <c r="U244" s="1">
        <v>500</v>
      </c>
      <c r="V244" t="s">
        <v>90</v>
      </c>
      <c r="W244" s="43">
        <v>4</v>
      </c>
      <c r="X244">
        <v>456</v>
      </c>
      <c r="Y244">
        <v>0.18000000000000002</v>
      </c>
      <c r="Z244">
        <v>1235</v>
      </c>
      <c r="AA244">
        <v>1</v>
      </c>
      <c r="AB244">
        <v>96</v>
      </c>
      <c r="AC244">
        <v>0.14000000000000001</v>
      </c>
      <c r="AD244">
        <v>409</v>
      </c>
      <c r="AE244">
        <v>0</v>
      </c>
      <c r="AF244">
        <v>0</v>
      </c>
      <c r="AG244">
        <v>0</v>
      </c>
      <c r="AH244">
        <v>278</v>
      </c>
      <c r="AI244" s="1">
        <v>4.9399999999999995</v>
      </c>
      <c r="AJ244" s="1">
        <v>4.7799999999999994</v>
      </c>
      <c r="AK244" s="1">
        <v>3.4499999999999997</v>
      </c>
      <c r="AL244" s="1">
        <v>3.2999999999999994</v>
      </c>
      <c r="AM244" s="1">
        <v>3.2999999999999994</v>
      </c>
      <c r="AN244" s="1">
        <v>3.2999999999999994</v>
      </c>
      <c r="AO244" s="1">
        <v>3.2999999999999994</v>
      </c>
      <c r="AP244" s="1">
        <v>3.2999999999999994</v>
      </c>
      <c r="AQ244">
        <v>1</v>
      </c>
      <c r="AR244" t="s">
        <v>287</v>
      </c>
      <c r="AS244">
        <v>0</v>
      </c>
      <c r="AT244">
        <v>2</v>
      </c>
      <c r="AU244">
        <v>782</v>
      </c>
      <c r="AV244">
        <v>1.57</v>
      </c>
      <c r="AW244">
        <v>1953</v>
      </c>
      <c r="AX244">
        <v>2</v>
      </c>
      <c r="AY244">
        <v>70</v>
      </c>
      <c r="AZ244">
        <v>0.08</v>
      </c>
      <c r="BA244" s="43" t="str">
        <f t="shared" si="6"/>
        <v>Express</v>
      </c>
      <c r="BB244" s="46">
        <f>IFERROR((AD244+IF(Calculator_v2!$E$6*Y244&lt;X244,X244,IF(Calculator_v2!$E$6*Y244&gt;Z244,Z244,Calculator_v2!$E$6*Y244))+IF(Calculator_v2!$E$6*AC244&lt;AB244,AB244,Calculator_v2!$E$6*AC244)+IFERROR(_xlfn.LET(_xlpm.tarifa,IF(Calculator_v2!$E$6&lt;=$AI$1,AI244,IF(Calculator_v2!$E$6&lt;=$AK$1,AJ244,IF(Calculator_v2!$E$6&lt;=$AL$1,AK244,IF(Calculator_v2!$E$6&lt;=$AM$1,AL244,IF(Calculator_v2!$E$6&lt;=$AN$1,AM244,IF(Calculator_v2!$E$6&lt;=$AO$1,AN244,IF(Calculator_v2!$E$6&lt;=$AP$1,AO244,AP244))))))),_xlpm.resultado,_xlpm.tarifa*Calculator_v2!$E$6,IF(_xlpm.resultado&lt;AH244,AH244,_xlpm.resultado)),0)+IF(Calculator_v2!$E$6*AV244&lt;AU244,AU244,IF(Calculator_v2!$E$6*AV244&gt;AW244,AW244,Calculator_v2!$E$6*AV244))+IF(Calculator_v2!$E$6*AZ244&lt;=AY244,AY244,Calculator_v2!$E$6*AZ244)),0)</f>
        <v>3914.0399999999995</v>
      </c>
      <c r="BC244" s="47">
        <f>IFERROR(+BB244/Calculator_v2!$E$6,0)+IFERROR(VLOOKUP(A244,DHL_ADDER!$B$4:$E$26,4,0),0)</f>
        <v>6.6115540540540536</v>
      </c>
      <c r="BD244" s="48">
        <f t="shared" si="7"/>
        <v>2</v>
      </c>
      <c r="BE244" s="48">
        <f>+T[[#This Row],[Airport to Destination Transit Time Days]]+T[[#This Row],[Airport to Airport Transit Time Days]]+T[[#This Row],[Origin to Airport Transit Time in days]]</f>
        <v>4</v>
      </c>
    </row>
    <row r="245" spans="1:57" customFormat="1" x14ac:dyDescent="0.35">
      <c r="A245" t="str">
        <f>+T[[#This Row],[Provider_Name]]&amp;"_"&amp;T[[#This Row],[AXIS]]</f>
        <v>Rohlig_H_MX&gt;BR</v>
      </c>
      <c r="B245" t="s">
        <v>260</v>
      </c>
      <c r="C245" t="s">
        <v>278</v>
      </c>
      <c r="D245" t="s">
        <v>279</v>
      </c>
      <c r="E245" t="s">
        <v>280</v>
      </c>
      <c r="F245" t="s">
        <v>75</v>
      </c>
      <c r="G245" t="s">
        <v>281</v>
      </c>
      <c r="H245" t="s">
        <v>282</v>
      </c>
      <c r="I245" t="s">
        <v>283</v>
      </c>
      <c r="J245">
        <v>52004</v>
      </c>
      <c r="K245" t="s">
        <v>284</v>
      </c>
      <c r="L245" t="s">
        <v>79</v>
      </c>
      <c r="M245" t="s">
        <v>80</v>
      </c>
      <c r="N245" t="s">
        <v>81</v>
      </c>
      <c r="O245" t="s">
        <v>82</v>
      </c>
      <c r="P245" t="s">
        <v>89</v>
      </c>
      <c r="Q245" t="s">
        <v>84</v>
      </c>
      <c r="R245">
        <v>6</v>
      </c>
      <c r="S245">
        <v>3000</v>
      </c>
      <c r="T245">
        <v>3000</v>
      </c>
      <c r="U245" s="1">
        <v>500</v>
      </c>
      <c r="V245" t="s">
        <v>90</v>
      </c>
      <c r="W245" s="43">
        <v>7</v>
      </c>
      <c r="X245">
        <v>456</v>
      </c>
      <c r="Y245">
        <v>0.18000000000000002</v>
      </c>
      <c r="Z245">
        <v>1235</v>
      </c>
      <c r="AA245">
        <v>1</v>
      </c>
      <c r="AB245">
        <v>96</v>
      </c>
      <c r="AC245">
        <v>0.14000000000000001</v>
      </c>
      <c r="AD245">
        <v>409</v>
      </c>
      <c r="AE245">
        <v>0</v>
      </c>
      <c r="AF245">
        <v>0</v>
      </c>
      <c r="AG245">
        <v>0</v>
      </c>
      <c r="AH245">
        <v>311</v>
      </c>
      <c r="AI245" s="1">
        <v>5.5699999999999994</v>
      </c>
      <c r="AJ245" s="1">
        <v>5.5699999999999994</v>
      </c>
      <c r="AK245" s="1">
        <v>4.92</v>
      </c>
      <c r="AL245" s="1">
        <v>4.8099999999999996</v>
      </c>
      <c r="AM245" s="1">
        <v>4.71</v>
      </c>
      <c r="AN245" s="1">
        <v>4.5999999999999996</v>
      </c>
      <c r="AO245" s="1">
        <v>4.5999999999999996</v>
      </c>
      <c r="AP245" s="1">
        <v>4.5999999999999996</v>
      </c>
      <c r="AQ245">
        <v>4</v>
      </c>
      <c r="AR245" t="s">
        <v>286</v>
      </c>
      <c r="AS245">
        <v>1</v>
      </c>
      <c r="AT245">
        <v>1</v>
      </c>
      <c r="AU245">
        <v>109</v>
      </c>
      <c r="AV245">
        <v>0.25</v>
      </c>
      <c r="AW245">
        <v>478</v>
      </c>
      <c r="AX245">
        <v>2</v>
      </c>
      <c r="AY245">
        <v>70</v>
      </c>
      <c r="AZ245">
        <v>0.08</v>
      </c>
      <c r="BA245" s="43" t="str">
        <f t="shared" si="6"/>
        <v>Express</v>
      </c>
      <c r="BB245" s="46">
        <f>IFERROR((AD245+IF(Calculator_v2!$E$6*Y245&lt;X245,X245,IF(Calculator_v2!$E$6*Y245&gt;Z245,Z245,Calculator_v2!$E$6*Y245))+IF(Calculator_v2!$E$6*AC245&lt;AB245,AB245,Calculator_v2!$E$6*AC245)+IFERROR(_xlfn.LET(_xlpm.tarifa,IF(Calculator_v2!$E$6&lt;=$AI$1,AI245,IF(Calculator_v2!$E$6&lt;=$AK$1,AJ245,IF(Calculator_v2!$E$6&lt;=$AL$1,AK245,IF(Calculator_v2!$E$6&lt;=$AM$1,AL245,IF(Calculator_v2!$E$6&lt;=$AN$1,AM245,IF(Calculator_v2!$E$6&lt;=$AO$1,AN245,IF(Calculator_v2!$E$6&lt;=$AP$1,AO245,AP245))))))),_xlpm.resultado,_xlpm.tarifa*Calculator_v2!$E$6,IF(_xlpm.resultado&lt;AH245,AH245,_xlpm.resultado)),0)+IF(Calculator_v2!$E$6*AV245&lt;AU245,AU245,IF(Calculator_v2!$E$6*AV245&gt;AW245,AW245,Calculator_v2!$E$6*AV245))+IF(Calculator_v2!$E$6*AZ245&lt;=AY245,AY245,Calculator_v2!$E$6*AZ245)),0)</f>
        <v>3967.32</v>
      </c>
      <c r="BC245" s="47">
        <f>IFERROR(+BB245/Calculator_v2!$E$6,0)+IFERROR(VLOOKUP(A245,DHL_ADDER!$B$4:$E$26,4,0),0)</f>
        <v>6.7015540540540544</v>
      </c>
      <c r="BD245" s="48">
        <f t="shared" si="7"/>
        <v>1</v>
      </c>
      <c r="BE245" s="48">
        <f>+T[[#This Row],[Airport to Destination Transit Time Days]]+T[[#This Row],[Airport to Airport Transit Time Days]]+T[[#This Row],[Origin to Airport Transit Time in days]]</f>
        <v>7</v>
      </c>
    </row>
    <row r="246" spans="1:57" customFormat="1" x14ac:dyDescent="0.35">
      <c r="A246" t="str">
        <f>+T[[#This Row],[Provider_Name]]&amp;"_"&amp;T[[#This Row],[AXIS]]</f>
        <v>Rohlig_H_MX&gt;BR</v>
      </c>
      <c r="B246" t="s">
        <v>260</v>
      </c>
      <c r="C246" t="s">
        <v>278</v>
      </c>
      <c r="D246" t="s">
        <v>279</v>
      </c>
      <c r="E246" t="s">
        <v>280</v>
      </c>
      <c r="F246" t="s">
        <v>75</v>
      </c>
      <c r="G246" t="s">
        <v>281</v>
      </c>
      <c r="H246" t="s">
        <v>282</v>
      </c>
      <c r="I246" t="s">
        <v>283</v>
      </c>
      <c r="J246">
        <v>52004</v>
      </c>
      <c r="K246" t="s">
        <v>284</v>
      </c>
      <c r="L246" t="s">
        <v>79</v>
      </c>
      <c r="M246" t="s">
        <v>80</v>
      </c>
      <c r="N246" t="s">
        <v>81</v>
      </c>
      <c r="O246" t="s">
        <v>82</v>
      </c>
      <c r="P246" t="s">
        <v>83</v>
      </c>
      <c r="Q246" t="s">
        <v>84</v>
      </c>
      <c r="R246">
        <v>6</v>
      </c>
      <c r="S246">
        <v>3000</v>
      </c>
      <c r="T246">
        <v>3000</v>
      </c>
      <c r="U246" s="1">
        <v>500</v>
      </c>
      <c r="V246" t="s">
        <v>91</v>
      </c>
      <c r="W246" s="43">
        <v>5</v>
      </c>
      <c r="X246">
        <v>456</v>
      </c>
      <c r="Y246">
        <v>0.18000000000000002</v>
      </c>
      <c r="Z246">
        <v>1235</v>
      </c>
      <c r="AA246">
        <v>1</v>
      </c>
      <c r="AB246">
        <v>96</v>
      </c>
      <c r="AC246">
        <v>0.14000000000000001</v>
      </c>
      <c r="AD246">
        <v>409</v>
      </c>
      <c r="AE246">
        <v>0</v>
      </c>
      <c r="AF246">
        <v>0</v>
      </c>
      <c r="AG246">
        <v>0</v>
      </c>
      <c r="AH246">
        <v>217</v>
      </c>
      <c r="AI246" s="1">
        <v>4.55</v>
      </c>
      <c r="AJ246" s="1">
        <v>4.3899999999999997</v>
      </c>
      <c r="AK246" s="1">
        <v>3.0699999999999994</v>
      </c>
      <c r="AL246" s="1">
        <v>2.5999999999999996</v>
      </c>
      <c r="AM246" s="1">
        <v>2.5999999999999996</v>
      </c>
      <c r="AN246" s="1">
        <v>2.44</v>
      </c>
      <c r="AO246" s="1">
        <v>2.44</v>
      </c>
      <c r="AP246" s="1">
        <v>2.44</v>
      </c>
      <c r="AQ246">
        <v>2</v>
      </c>
      <c r="AR246" t="s">
        <v>287</v>
      </c>
      <c r="AS246">
        <v>0</v>
      </c>
      <c r="AT246">
        <v>2</v>
      </c>
      <c r="AU246">
        <v>782</v>
      </c>
      <c r="AV246">
        <v>1.57</v>
      </c>
      <c r="AW246">
        <v>1953</v>
      </c>
      <c r="AX246">
        <v>2</v>
      </c>
      <c r="AY246">
        <v>70</v>
      </c>
      <c r="AZ246">
        <v>0.08</v>
      </c>
      <c r="BA246" s="43" t="str">
        <f t="shared" si="6"/>
        <v>Normal</v>
      </c>
      <c r="BB246" s="46">
        <f>IFERROR((AD246+IF(Calculator_v2!$E$6*Y246&lt;X246,X246,IF(Calculator_v2!$E$6*Y246&gt;Z246,Z246,Calculator_v2!$E$6*Y246))+IF(Calculator_v2!$E$6*AC246&lt;AB246,AB246,Calculator_v2!$E$6*AC246)+IFERROR(_xlfn.LET(_xlpm.tarifa,IF(Calculator_v2!$E$6&lt;=$AI$1,AI246,IF(Calculator_v2!$E$6&lt;=$AK$1,AJ246,IF(Calculator_v2!$E$6&lt;=$AL$1,AK246,IF(Calculator_v2!$E$6&lt;=$AM$1,AL246,IF(Calculator_v2!$E$6&lt;=$AN$1,AM246,IF(Calculator_v2!$E$6&lt;=$AO$1,AN246,IF(Calculator_v2!$E$6&lt;=$AP$1,AO246,AP246))))))),_xlpm.resultado,_xlpm.tarifa*Calculator_v2!$E$6,IF(_xlpm.resultado&lt;AH246,AH246,_xlpm.resultado)),0)+IF(Calculator_v2!$E$6*AV246&lt;AU246,AU246,IF(Calculator_v2!$E$6*AV246&gt;AW246,AW246,Calculator_v2!$E$6*AV246))+IF(Calculator_v2!$E$6*AZ246&lt;=AY246,AY246,Calculator_v2!$E$6*AZ246)),0)</f>
        <v>3499.64</v>
      </c>
      <c r="BC246" s="47">
        <f>IFERROR(+BB246/Calculator_v2!$E$6,0)+IFERROR(VLOOKUP(A246,DHL_ADDER!$B$4:$E$26,4,0),0)</f>
        <v>5.9115540540540534</v>
      </c>
      <c r="BD246" s="48">
        <f t="shared" si="7"/>
        <v>2</v>
      </c>
      <c r="BE246" s="48">
        <f>+T[[#This Row],[Airport to Destination Transit Time Days]]+T[[#This Row],[Airport to Airport Transit Time Days]]+T[[#This Row],[Origin to Airport Transit Time in days]]</f>
        <v>5</v>
      </c>
    </row>
    <row r="247" spans="1:57" customFormat="1" x14ac:dyDescent="0.35">
      <c r="A247" t="str">
        <f>+T[[#This Row],[Provider_Name]]&amp;"_"&amp;T[[#This Row],[AXIS]]</f>
        <v>Rohlig_H_MX&gt;BR</v>
      </c>
      <c r="B247" t="s">
        <v>260</v>
      </c>
      <c r="C247" t="s">
        <v>278</v>
      </c>
      <c r="D247" t="s">
        <v>279</v>
      </c>
      <c r="E247" t="s">
        <v>280</v>
      </c>
      <c r="F247" t="s">
        <v>75</v>
      </c>
      <c r="G247" t="s">
        <v>281</v>
      </c>
      <c r="H247" t="s">
        <v>282</v>
      </c>
      <c r="I247" t="s">
        <v>283</v>
      </c>
      <c r="J247">
        <v>52004</v>
      </c>
      <c r="K247" t="s">
        <v>284</v>
      </c>
      <c r="L247" t="s">
        <v>79</v>
      </c>
      <c r="M247" t="s">
        <v>80</v>
      </c>
      <c r="N247" t="s">
        <v>81</v>
      </c>
      <c r="O247" t="s">
        <v>82</v>
      </c>
      <c r="P247" t="s">
        <v>89</v>
      </c>
      <c r="Q247" t="s">
        <v>84</v>
      </c>
      <c r="R247">
        <v>6</v>
      </c>
      <c r="S247">
        <v>3000</v>
      </c>
      <c r="T247">
        <v>3000</v>
      </c>
      <c r="U247" s="1">
        <v>500</v>
      </c>
      <c r="V247" t="s">
        <v>91</v>
      </c>
      <c r="W247" s="43">
        <v>8</v>
      </c>
      <c r="X247">
        <v>456</v>
      </c>
      <c r="Y247">
        <v>0.18000000000000002</v>
      </c>
      <c r="Z247">
        <v>1235</v>
      </c>
      <c r="AA247">
        <v>1</v>
      </c>
      <c r="AB247">
        <v>96</v>
      </c>
      <c r="AC247">
        <v>0.14000000000000001</v>
      </c>
      <c r="AD247">
        <v>409</v>
      </c>
      <c r="AE247">
        <v>0</v>
      </c>
      <c r="AF247">
        <v>0</v>
      </c>
      <c r="AG247">
        <v>0</v>
      </c>
      <c r="AH247">
        <v>235</v>
      </c>
      <c r="AI247" s="1">
        <v>4.1599999999999993</v>
      </c>
      <c r="AJ247" s="1">
        <v>4.1599999999999993</v>
      </c>
      <c r="AK247" s="1">
        <v>3.6899999999999995</v>
      </c>
      <c r="AL247" s="1">
        <v>3.61</v>
      </c>
      <c r="AM247" s="1">
        <v>3.5299999999999994</v>
      </c>
      <c r="AN247" s="1">
        <v>3.4499999999999997</v>
      </c>
      <c r="AO247" s="1">
        <v>3.4499999999999997</v>
      </c>
      <c r="AP247" s="1">
        <v>3.4499999999999997</v>
      </c>
      <c r="AQ247">
        <v>5</v>
      </c>
      <c r="AR247" t="s">
        <v>286</v>
      </c>
      <c r="AS247">
        <v>1</v>
      </c>
      <c r="AT247">
        <v>1</v>
      </c>
      <c r="AU247">
        <v>109</v>
      </c>
      <c r="AV247">
        <v>0.25</v>
      </c>
      <c r="AW247">
        <v>478</v>
      </c>
      <c r="AX247">
        <v>2</v>
      </c>
      <c r="AY247">
        <v>70</v>
      </c>
      <c r="AZ247">
        <v>0.08</v>
      </c>
      <c r="BA247" s="43" t="str">
        <f t="shared" si="6"/>
        <v>Normal</v>
      </c>
      <c r="BB247" s="46">
        <f>IFERROR((AD247+IF(Calculator_v2!$E$6*Y247&lt;X247,X247,IF(Calculator_v2!$E$6*Y247&gt;Z247,Z247,Calculator_v2!$E$6*Y247))+IF(Calculator_v2!$E$6*AC247&lt;AB247,AB247,Calculator_v2!$E$6*AC247)+IFERROR(_xlfn.LET(_xlpm.tarifa,IF(Calculator_v2!$E$6&lt;=$AI$1,AI247,IF(Calculator_v2!$E$6&lt;=$AK$1,AJ247,IF(Calculator_v2!$E$6&lt;=$AL$1,AK247,IF(Calculator_v2!$E$6&lt;=$AM$1,AL247,IF(Calculator_v2!$E$6&lt;=$AN$1,AM247,IF(Calculator_v2!$E$6&lt;=$AO$1,AN247,IF(Calculator_v2!$E$6&lt;=$AP$1,AO247,AP247))))))),_xlpm.resultado,_xlpm.tarifa*Calculator_v2!$E$6,IF(_xlpm.resultado&lt;AH247,AH247,_xlpm.resultado)),0)+IF(Calculator_v2!$E$6*AV247&lt;AU247,AU247,IF(Calculator_v2!$E$6*AV247&gt;AW247,AW247,Calculator_v2!$E$6*AV247))+IF(Calculator_v2!$E$6*AZ247&lt;=AY247,AY247,Calculator_v2!$E$6*AZ247)),0)</f>
        <v>3268.7599999999998</v>
      </c>
      <c r="BC247" s="47">
        <f>IFERROR(+BB247/Calculator_v2!$E$6,0)+IFERROR(VLOOKUP(A247,DHL_ADDER!$B$4:$E$26,4,0),0)</f>
        <v>5.5215540540540538</v>
      </c>
      <c r="BD247" s="48">
        <f t="shared" si="7"/>
        <v>1</v>
      </c>
      <c r="BE247" s="48">
        <f>+T[[#This Row],[Airport to Destination Transit Time Days]]+T[[#This Row],[Airport to Airport Transit Time Days]]+T[[#This Row],[Origin to Airport Transit Time in days]]</f>
        <v>8</v>
      </c>
    </row>
    <row r="248" spans="1:57" customFormat="1" x14ac:dyDescent="0.35">
      <c r="A248" t="str">
        <f>+T[[#This Row],[Provider_Name]]&amp;"_"&amp;T[[#This Row],[AXIS]]</f>
        <v>Rohlig_H_MX&gt;BR</v>
      </c>
      <c r="B248" t="s">
        <v>260</v>
      </c>
      <c r="C248" t="s">
        <v>278</v>
      </c>
      <c r="D248" t="s">
        <v>279</v>
      </c>
      <c r="E248" t="s">
        <v>280</v>
      </c>
      <c r="F248" t="s">
        <v>92</v>
      </c>
      <c r="G248" t="s">
        <v>281</v>
      </c>
      <c r="H248" t="s">
        <v>282</v>
      </c>
      <c r="I248" t="s">
        <v>283</v>
      </c>
      <c r="J248">
        <v>52004</v>
      </c>
      <c r="K248" t="s">
        <v>284</v>
      </c>
      <c r="L248" t="s">
        <v>79</v>
      </c>
      <c r="M248" t="s">
        <v>80</v>
      </c>
      <c r="N248" t="s">
        <v>81</v>
      </c>
      <c r="O248" t="s">
        <v>82</v>
      </c>
      <c r="P248" t="s">
        <v>93</v>
      </c>
      <c r="Q248" t="s">
        <v>84</v>
      </c>
      <c r="R248">
        <v>6</v>
      </c>
      <c r="S248">
        <v>3000</v>
      </c>
      <c r="T248">
        <v>3000</v>
      </c>
      <c r="U248" s="1">
        <v>500</v>
      </c>
      <c r="V248" t="s">
        <v>85</v>
      </c>
      <c r="W248" s="43">
        <v>7</v>
      </c>
      <c r="X248">
        <v>456</v>
      </c>
      <c r="Y248">
        <v>0.14000000000000001</v>
      </c>
      <c r="Z248">
        <v>1150</v>
      </c>
      <c r="AA248">
        <v>1</v>
      </c>
      <c r="AB248">
        <v>96</v>
      </c>
      <c r="AC248">
        <v>0.14000000000000001</v>
      </c>
      <c r="AD248">
        <v>409</v>
      </c>
      <c r="AE248">
        <v>0</v>
      </c>
      <c r="AF248">
        <v>0</v>
      </c>
      <c r="AG248">
        <v>0</v>
      </c>
      <c r="AH248">
        <v>235</v>
      </c>
      <c r="AI248" s="1">
        <v>2.76</v>
      </c>
      <c r="AJ248" s="1">
        <v>2.76</v>
      </c>
      <c r="AK248" s="1">
        <v>1.73</v>
      </c>
      <c r="AL248" s="1">
        <v>1.5</v>
      </c>
      <c r="AM248" s="1">
        <v>1.43</v>
      </c>
      <c r="AN248" s="1">
        <v>1.35</v>
      </c>
      <c r="AO248" s="1">
        <v>1.35</v>
      </c>
      <c r="AP248" s="1">
        <v>1.35</v>
      </c>
      <c r="AQ248">
        <v>4</v>
      </c>
      <c r="AR248" t="s">
        <v>286</v>
      </c>
      <c r="AS248">
        <v>1</v>
      </c>
      <c r="AT248">
        <v>7</v>
      </c>
      <c r="AU248">
        <v>782</v>
      </c>
      <c r="AV248">
        <v>1.57</v>
      </c>
      <c r="AW248">
        <v>1953</v>
      </c>
      <c r="AX248">
        <v>2</v>
      </c>
      <c r="AY248">
        <v>70</v>
      </c>
      <c r="AZ248">
        <v>0.08</v>
      </c>
      <c r="BA248" s="43" t="str">
        <f t="shared" si="6"/>
        <v>Economy</v>
      </c>
      <c r="BB248" s="46">
        <f>IFERROR((AD248+IF(Calculator_v2!$E$6*Y248&lt;X248,X248,IF(Calculator_v2!$E$6*Y248&gt;Z248,Z248,Calculator_v2!$E$6*Y248))+IF(Calculator_v2!$E$6*AC248&lt;AB248,AB248,Calculator_v2!$E$6*AC248)+IFERROR(_xlfn.LET(_xlpm.tarifa,IF(Calculator_v2!$E$6&lt;=$AI$1,AI248,IF(Calculator_v2!$E$6&lt;=$AK$1,AJ248,IF(Calculator_v2!$E$6&lt;=$AL$1,AK248,IF(Calculator_v2!$E$6&lt;=$AM$1,AL248,IF(Calculator_v2!$E$6&lt;=$AN$1,AM248,IF(Calculator_v2!$E$6&lt;=$AO$1,AN248,IF(Calculator_v2!$E$6&lt;=$AP$1,AO248,AP248))))))),_xlpm.resultado,_xlpm.tarifa*Calculator_v2!$E$6,IF(_xlpm.resultado&lt;AH248,AH248,_xlpm.resultado)),0)+IF(Calculator_v2!$E$6*AV248&lt;AU248,AU248,IF(Calculator_v2!$E$6*AV248&gt;AW248,AW248,Calculator_v2!$E$6*AV248))+IF(Calculator_v2!$E$6*AZ248&lt;=AY248,AY248,Calculator_v2!$E$6*AZ248)),0)</f>
        <v>2807</v>
      </c>
      <c r="BC248" s="47">
        <f>IFERROR(+BB248/Calculator_v2!$E$6,0)+IFERROR(VLOOKUP(A248,DHL_ADDER!$B$4:$E$26,4,0),0)</f>
        <v>4.7415540540540544</v>
      </c>
      <c r="BD248" s="48">
        <f t="shared" si="7"/>
        <v>7</v>
      </c>
      <c r="BE248" s="48">
        <f>+T[[#This Row],[Airport to Destination Transit Time Days]]+T[[#This Row],[Airport to Airport Transit Time Days]]+T[[#This Row],[Origin to Airport Transit Time in days]]</f>
        <v>7</v>
      </c>
    </row>
    <row r="249" spans="1:57" customFormat="1" x14ac:dyDescent="0.35">
      <c r="A249" t="str">
        <f>+T[[#This Row],[Provider_Name]]&amp;"_"&amp;T[[#This Row],[AXIS]]</f>
        <v>Rohlig_H_MX&gt;BR</v>
      </c>
      <c r="B249" t="s">
        <v>260</v>
      </c>
      <c r="C249" t="s">
        <v>278</v>
      </c>
      <c r="D249" t="s">
        <v>279</v>
      </c>
      <c r="E249" t="s">
        <v>280</v>
      </c>
      <c r="F249" t="s">
        <v>92</v>
      </c>
      <c r="G249" t="s">
        <v>281</v>
      </c>
      <c r="H249" t="s">
        <v>282</v>
      </c>
      <c r="I249" t="s">
        <v>283</v>
      </c>
      <c r="J249">
        <v>52004</v>
      </c>
      <c r="K249" t="s">
        <v>284</v>
      </c>
      <c r="L249" t="s">
        <v>79</v>
      </c>
      <c r="M249" t="s">
        <v>80</v>
      </c>
      <c r="N249" t="s">
        <v>81</v>
      </c>
      <c r="O249" t="s">
        <v>82</v>
      </c>
      <c r="P249" t="s">
        <v>93</v>
      </c>
      <c r="Q249" t="s">
        <v>84</v>
      </c>
      <c r="R249">
        <v>6</v>
      </c>
      <c r="S249">
        <v>3000</v>
      </c>
      <c r="T249">
        <v>3000</v>
      </c>
      <c r="U249" s="1">
        <v>500</v>
      </c>
      <c r="V249" t="s">
        <v>90</v>
      </c>
      <c r="W249" s="43">
        <v>4</v>
      </c>
      <c r="X249">
        <v>456</v>
      </c>
      <c r="Y249">
        <v>0.14000000000000001</v>
      </c>
      <c r="Z249">
        <v>1150</v>
      </c>
      <c r="AA249">
        <v>1</v>
      </c>
      <c r="AB249">
        <v>96</v>
      </c>
      <c r="AC249">
        <v>0.14000000000000001</v>
      </c>
      <c r="AD249">
        <v>409</v>
      </c>
      <c r="AE249">
        <v>0</v>
      </c>
      <c r="AF249">
        <v>0</v>
      </c>
      <c r="AG249">
        <v>0</v>
      </c>
      <c r="AH249">
        <v>165</v>
      </c>
      <c r="AI249" s="1">
        <v>5.0999999999999996</v>
      </c>
      <c r="AJ249" s="1">
        <v>5.0999999999999996</v>
      </c>
      <c r="AK249" s="1">
        <v>5.0999999999999996</v>
      </c>
      <c r="AL249" s="1">
        <v>5.0999999999999996</v>
      </c>
      <c r="AM249" s="1">
        <v>5.0999999999999996</v>
      </c>
      <c r="AN249" s="1">
        <v>5.0999999999999996</v>
      </c>
      <c r="AO249" s="1">
        <v>5.0999999999999996</v>
      </c>
      <c r="AP249" s="1">
        <v>5.0999999999999996</v>
      </c>
      <c r="AQ249">
        <v>1</v>
      </c>
      <c r="AR249" t="s">
        <v>288</v>
      </c>
      <c r="AS249">
        <v>0</v>
      </c>
      <c r="AT249">
        <v>7</v>
      </c>
      <c r="AU249">
        <v>782</v>
      </c>
      <c r="AV249">
        <v>1.57</v>
      </c>
      <c r="AW249">
        <v>1953</v>
      </c>
      <c r="AX249">
        <v>2</v>
      </c>
      <c r="AY249">
        <v>70</v>
      </c>
      <c r="AZ249">
        <v>0.08</v>
      </c>
      <c r="BA249" s="43" t="str">
        <f t="shared" si="6"/>
        <v>Express</v>
      </c>
      <c r="BB249" s="46">
        <f>IFERROR((AD249+IF(Calculator_v2!$E$6*Y249&lt;X249,X249,IF(Calculator_v2!$E$6*Y249&gt;Z249,Z249,Calculator_v2!$E$6*Y249))+IF(Calculator_v2!$E$6*AC249&lt;AB249,AB249,Calculator_v2!$E$6*AC249)+IFERROR(_xlfn.LET(_xlpm.tarifa,IF(Calculator_v2!$E$6&lt;=$AI$1,AI249,IF(Calculator_v2!$E$6&lt;=$AK$1,AJ249,IF(Calculator_v2!$E$6&lt;=$AL$1,AK249,IF(Calculator_v2!$E$6&lt;=$AM$1,AL249,IF(Calculator_v2!$E$6&lt;=$AN$1,AM249,IF(Calculator_v2!$E$6&lt;=$AO$1,AN249,IF(Calculator_v2!$E$6&lt;=$AP$1,AO249,AP249))))))),_xlpm.resultado,_xlpm.tarifa*Calculator_v2!$E$6,IF(_xlpm.resultado&lt;AH249,AH249,_xlpm.resultado)),0)+IF(Calculator_v2!$E$6*AV249&lt;AU249,AU249,IF(Calculator_v2!$E$6*AV249&gt;AW249,AW249,Calculator_v2!$E$6*AV249))+IF(Calculator_v2!$E$6*AZ249&lt;=AY249,AY249,Calculator_v2!$E$6*AZ249)),0)</f>
        <v>4979.6399999999994</v>
      </c>
      <c r="BC249" s="47">
        <f>IFERROR(+BB249/Calculator_v2!$E$6,0)+IFERROR(VLOOKUP(A249,DHL_ADDER!$B$4:$E$26,4,0),0)</f>
        <v>8.4115540540540525</v>
      </c>
      <c r="BD249" s="48">
        <f t="shared" si="7"/>
        <v>7</v>
      </c>
      <c r="BE249" s="48">
        <f>+T[[#This Row],[Airport to Destination Transit Time Days]]+T[[#This Row],[Airport to Airport Transit Time Days]]+T[[#This Row],[Origin to Airport Transit Time in days]]</f>
        <v>4</v>
      </c>
    </row>
    <row r="250" spans="1:57" customFormat="1" x14ac:dyDescent="0.35">
      <c r="A250" t="str">
        <f>+T[[#This Row],[Provider_Name]]&amp;"_"&amp;T[[#This Row],[AXIS]]</f>
        <v>Rohlig_H_MX&gt;BR</v>
      </c>
      <c r="B250" t="s">
        <v>260</v>
      </c>
      <c r="C250" t="s">
        <v>278</v>
      </c>
      <c r="D250" t="s">
        <v>279</v>
      </c>
      <c r="E250" t="s">
        <v>280</v>
      </c>
      <c r="F250" t="s">
        <v>92</v>
      </c>
      <c r="G250" t="s">
        <v>281</v>
      </c>
      <c r="H250" t="s">
        <v>282</v>
      </c>
      <c r="I250" t="s">
        <v>283</v>
      </c>
      <c r="J250">
        <v>52004</v>
      </c>
      <c r="K250" t="s">
        <v>284</v>
      </c>
      <c r="L250" t="s">
        <v>79</v>
      </c>
      <c r="M250" t="s">
        <v>80</v>
      </c>
      <c r="N250" t="s">
        <v>81</v>
      </c>
      <c r="O250" t="s">
        <v>82</v>
      </c>
      <c r="P250" t="s">
        <v>93</v>
      </c>
      <c r="Q250" t="s">
        <v>84</v>
      </c>
      <c r="R250">
        <v>6</v>
      </c>
      <c r="S250">
        <v>3000</v>
      </c>
      <c r="T250">
        <v>3000</v>
      </c>
      <c r="U250" s="1">
        <v>500</v>
      </c>
      <c r="V250" t="s">
        <v>91</v>
      </c>
      <c r="W250" s="43">
        <v>5</v>
      </c>
      <c r="X250">
        <v>456</v>
      </c>
      <c r="Y250">
        <v>0.14000000000000001</v>
      </c>
      <c r="Z250">
        <v>1150</v>
      </c>
      <c r="AA250">
        <v>1</v>
      </c>
      <c r="AB250">
        <v>96</v>
      </c>
      <c r="AC250">
        <v>0.14000000000000001</v>
      </c>
      <c r="AD250">
        <v>409</v>
      </c>
      <c r="AE250">
        <v>0</v>
      </c>
      <c r="AF250">
        <v>0</v>
      </c>
      <c r="AG250">
        <v>0</v>
      </c>
      <c r="AH250">
        <v>165</v>
      </c>
      <c r="AI250" s="1">
        <v>2.7499999999999996</v>
      </c>
      <c r="AJ250" s="1">
        <v>2.7499999999999996</v>
      </c>
      <c r="AK250" s="1">
        <v>2.2799999999999994</v>
      </c>
      <c r="AL250" s="1">
        <v>2.2799999999999994</v>
      </c>
      <c r="AM250" s="1">
        <v>2.2799999999999994</v>
      </c>
      <c r="AN250" s="1">
        <v>1.9</v>
      </c>
      <c r="AO250" s="1">
        <v>1.9</v>
      </c>
      <c r="AP250" s="1">
        <v>1.9</v>
      </c>
      <c r="AQ250">
        <v>2</v>
      </c>
      <c r="AR250" t="s">
        <v>288</v>
      </c>
      <c r="AS250">
        <v>0</v>
      </c>
      <c r="AT250">
        <v>7</v>
      </c>
      <c r="AU250">
        <v>782</v>
      </c>
      <c r="AV250">
        <v>1.57</v>
      </c>
      <c r="AW250">
        <v>1953</v>
      </c>
      <c r="AX250">
        <v>2</v>
      </c>
      <c r="AY250">
        <v>70</v>
      </c>
      <c r="AZ250">
        <v>0.08</v>
      </c>
      <c r="BA250" s="43" t="str">
        <f t="shared" si="6"/>
        <v>Normal</v>
      </c>
      <c r="BB250" s="46">
        <f>IFERROR((AD250+IF(Calculator_v2!$E$6*Y250&lt;X250,X250,IF(Calculator_v2!$E$6*Y250&gt;Z250,Z250,Calculator_v2!$E$6*Y250))+IF(Calculator_v2!$E$6*AC250&lt;AB250,AB250,Calculator_v2!$E$6*AC250)+IFERROR(_xlfn.LET(_xlpm.tarifa,IF(Calculator_v2!$E$6&lt;=$AI$1,AI250,IF(Calculator_v2!$E$6&lt;=$AK$1,AJ250,IF(Calculator_v2!$E$6&lt;=$AL$1,AK250,IF(Calculator_v2!$E$6&lt;=$AM$1,AL250,IF(Calculator_v2!$E$6&lt;=$AN$1,AM250,IF(Calculator_v2!$E$6&lt;=$AO$1,AN250,IF(Calculator_v2!$E$6&lt;=$AP$1,AO250,AP250))))))),_xlpm.resultado,_xlpm.tarifa*Calculator_v2!$E$6,IF(_xlpm.resultado&lt;AH250,AH250,_xlpm.resultado)),0)+IF(Calculator_v2!$E$6*AV250&lt;AU250,AU250,IF(Calculator_v2!$E$6*AV250&gt;AW250,AW250,Calculator_v2!$E$6*AV250))+IF(Calculator_v2!$E$6*AZ250&lt;=AY250,AY250,Calculator_v2!$E$6*AZ250)),0)</f>
        <v>3310.1999999999994</v>
      </c>
      <c r="BC250" s="47">
        <f>IFERROR(+BB250/Calculator_v2!$E$6,0)+IFERROR(VLOOKUP(A250,DHL_ADDER!$B$4:$E$26,4,0),0)</f>
        <v>5.5915540540540531</v>
      </c>
      <c r="BD250" s="48">
        <f t="shared" si="7"/>
        <v>7</v>
      </c>
      <c r="BE250" s="48">
        <f>+T[[#This Row],[Airport to Destination Transit Time Days]]+T[[#This Row],[Airport to Airport Transit Time Days]]+T[[#This Row],[Origin to Airport Transit Time in days]]</f>
        <v>5</v>
      </c>
    </row>
  </sheetData>
  <sheetProtection algorithmName="SHA-512" hashValue="Yj3A0P8/4Le3sL6RkWr61+fauJZGFDBSVA3FNwFfOa1o7aKnOP+jg3X0fyAlvAbfxdr6SHviXVPK89baNQCu1w==" saltValue="sk1aKs3oPinToIZpRrs3Yg==" spinCount="100000" sheet="1" objects="1" scenarios="1"/>
  <mergeCells count="8">
    <mergeCell ref="X2:AG2"/>
    <mergeCell ref="AH2:AQ2"/>
    <mergeCell ref="AU2:AZ2"/>
    <mergeCell ref="L3:P3"/>
    <mergeCell ref="R3:W3"/>
    <mergeCell ref="X3:AA3"/>
    <mergeCell ref="AH3:AT3"/>
    <mergeCell ref="AU3:AX3"/>
  </mergeCells>
  <phoneticPr fontId="10" type="noConversion"/>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6743C-A2D6-4238-92A2-207583636159}">
  <sheetPr codeName="Hoja2">
    <tabColor rgb="FFFF0000"/>
  </sheetPr>
  <dimension ref="A3:D45"/>
  <sheetViews>
    <sheetView workbookViewId="0">
      <selection activeCell="A4" sqref="A4"/>
    </sheetView>
  </sheetViews>
  <sheetFormatPr baseColWidth="10" defaultColWidth="11.453125" defaultRowHeight="14.5" x14ac:dyDescent="0.35"/>
  <cols>
    <col min="2" max="2" width="20.26953125" customWidth="1"/>
    <col min="3" max="3" width="15.81640625" bestFit="1" customWidth="1"/>
    <col min="4" max="4" width="37.7265625" bestFit="1" customWidth="1"/>
    <col min="5" max="5" width="39.54296875" bestFit="1" customWidth="1"/>
  </cols>
  <sheetData>
    <row r="3" spans="1:4" x14ac:dyDescent="0.35">
      <c r="B3" s="3" t="s">
        <v>17</v>
      </c>
      <c r="C3" s="3" t="s">
        <v>19</v>
      </c>
      <c r="D3" t="s">
        <v>289</v>
      </c>
    </row>
    <row r="4" spans="1:4" x14ac:dyDescent="0.35">
      <c r="A4" t="str">
        <f>+B4&amp;C4</f>
        <v>BR&gt;ESILN Brasil</v>
      </c>
      <c r="B4" t="s">
        <v>266</v>
      </c>
      <c r="C4" t="s">
        <v>263</v>
      </c>
      <c r="D4" s="1">
        <v>5605</v>
      </c>
    </row>
    <row r="5" spans="1:4" x14ac:dyDescent="0.35">
      <c r="A5" t="str">
        <f t="shared" ref="A5:A45" si="0">+B5&amp;C5</f>
        <v>BR&gt;ESRenault Brazil-AS</v>
      </c>
      <c r="B5" t="s">
        <v>266</v>
      </c>
      <c r="C5" t="s">
        <v>268</v>
      </c>
      <c r="D5" s="1">
        <v>45430.68</v>
      </c>
    </row>
    <row r="6" spans="1:4" x14ac:dyDescent="0.35">
      <c r="A6" t="str">
        <f t="shared" si="0"/>
        <v>BR&gt;ROILN Brasil</v>
      </c>
      <c r="B6" t="s">
        <v>261</v>
      </c>
      <c r="C6" t="s">
        <v>263</v>
      </c>
      <c r="D6" s="1">
        <v>145321</v>
      </c>
    </row>
    <row r="7" spans="1:4" x14ac:dyDescent="0.35">
      <c r="A7" t="str">
        <f t="shared" si="0"/>
        <v>BR&gt;TRILN Brasil</v>
      </c>
      <c r="B7" t="s">
        <v>270</v>
      </c>
      <c r="C7" t="s">
        <v>263</v>
      </c>
      <c r="D7" s="1">
        <v>9452.5</v>
      </c>
    </row>
    <row r="8" spans="1:4" x14ac:dyDescent="0.35">
      <c r="A8" t="str">
        <f t="shared" si="0"/>
        <v>CL&gt;TRHorse Chile</v>
      </c>
      <c r="B8" t="s">
        <v>273</v>
      </c>
      <c r="C8" t="s">
        <v>144</v>
      </c>
      <c r="D8" s="1">
        <v>13200</v>
      </c>
    </row>
    <row r="9" spans="1:4" x14ac:dyDescent="0.35">
      <c r="A9" t="str">
        <f t="shared" si="0"/>
        <v>CN&gt;BRILN China</v>
      </c>
      <c r="B9" t="s">
        <v>72</v>
      </c>
      <c r="C9" t="s">
        <v>74</v>
      </c>
      <c r="D9" s="1">
        <v>209</v>
      </c>
    </row>
    <row r="10" spans="1:4" x14ac:dyDescent="0.35">
      <c r="A10" t="str">
        <f t="shared" si="0"/>
        <v>CN&gt;BRKWE China</v>
      </c>
      <c r="B10" t="s">
        <v>72</v>
      </c>
      <c r="C10" t="s">
        <v>88</v>
      </c>
      <c r="D10" s="1">
        <v>24401</v>
      </c>
    </row>
    <row r="11" spans="1:4" x14ac:dyDescent="0.35">
      <c r="A11" t="str">
        <f t="shared" si="0"/>
        <v>CN&gt;ESInfimotion</v>
      </c>
      <c r="B11" t="s">
        <v>95</v>
      </c>
      <c r="C11" t="s">
        <v>97</v>
      </c>
      <c r="D11" s="1">
        <v>3000</v>
      </c>
    </row>
    <row r="12" spans="1:4" x14ac:dyDescent="0.35">
      <c r="A12" t="str">
        <f t="shared" si="0"/>
        <v>CN&gt;ESKWE China</v>
      </c>
      <c r="B12" t="s">
        <v>95</v>
      </c>
      <c r="C12" t="s">
        <v>88</v>
      </c>
      <c r="D12" s="1">
        <v>1471</v>
      </c>
    </row>
    <row r="13" spans="1:4" x14ac:dyDescent="0.35">
      <c r="A13" t="str">
        <f t="shared" si="0"/>
        <v>CN&gt;ESILN China-AS</v>
      </c>
      <c r="B13" t="s">
        <v>95</v>
      </c>
      <c r="C13" t="s">
        <v>105</v>
      </c>
      <c r="D13" s="1">
        <v>1043.75</v>
      </c>
    </row>
    <row r="14" spans="1:4" x14ac:dyDescent="0.35">
      <c r="A14" t="str">
        <f t="shared" si="0"/>
        <v>CN&gt;PTInfimotion</v>
      </c>
      <c r="B14" t="s">
        <v>109</v>
      </c>
      <c r="C14" t="s">
        <v>97</v>
      </c>
      <c r="D14" s="1">
        <v>3000</v>
      </c>
    </row>
    <row r="15" spans="1:4" x14ac:dyDescent="0.35">
      <c r="A15" t="str">
        <f t="shared" si="0"/>
        <v>CN&gt;ROKWE China</v>
      </c>
      <c r="B15" t="s">
        <v>117</v>
      </c>
      <c r="C15" t="s">
        <v>88</v>
      </c>
      <c r="D15" s="1">
        <v>492</v>
      </c>
    </row>
    <row r="16" spans="1:4" x14ac:dyDescent="0.35">
      <c r="A16" t="str">
        <f t="shared" si="0"/>
        <v>CN&gt;TRILN China</v>
      </c>
      <c r="B16" t="s">
        <v>124</v>
      </c>
      <c r="C16" t="s">
        <v>74</v>
      </c>
      <c r="D16" s="1">
        <v>6954</v>
      </c>
    </row>
    <row r="17" spans="1:4" x14ac:dyDescent="0.35">
      <c r="A17" t="str">
        <f t="shared" si="0"/>
        <v>CN&gt;TRKWE China</v>
      </c>
      <c r="B17" t="s">
        <v>124</v>
      </c>
      <c r="C17" t="s">
        <v>88</v>
      </c>
      <c r="D17" s="1">
        <v>2441.5</v>
      </c>
    </row>
    <row r="18" spans="1:4" x14ac:dyDescent="0.35">
      <c r="A18" t="str">
        <f t="shared" si="0"/>
        <v>ES&gt;BRHorse Valladolid</v>
      </c>
      <c r="B18" t="s">
        <v>132</v>
      </c>
      <c r="C18" t="s">
        <v>107</v>
      </c>
      <c r="D18" s="1">
        <v>21283.199999999997</v>
      </c>
    </row>
    <row r="19" spans="1:4" x14ac:dyDescent="0.35">
      <c r="A19" t="str">
        <f t="shared" si="0"/>
        <v>ES&gt;BRILN Valladolid</v>
      </c>
      <c r="B19" t="s">
        <v>132</v>
      </c>
      <c r="C19" t="s">
        <v>134</v>
      </c>
      <c r="D19" s="1">
        <v>43089</v>
      </c>
    </row>
    <row r="20" spans="1:4" x14ac:dyDescent="0.35">
      <c r="A20" t="str">
        <f t="shared" si="0"/>
        <v>ES&gt;BRSFK VALLADOLID</v>
      </c>
      <c r="B20" t="s">
        <v>132</v>
      </c>
      <c r="C20" t="s">
        <v>136</v>
      </c>
      <c r="D20" s="1">
        <v>3000</v>
      </c>
    </row>
    <row r="21" spans="1:4" x14ac:dyDescent="0.35">
      <c r="A21" t="str">
        <f t="shared" si="0"/>
        <v>ES&gt;CLILN Valladolid</v>
      </c>
      <c r="B21" t="s">
        <v>137</v>
      </c>
      <c r="C21" t="s">
        <v>134</v>
      </c>
      <c r="D21" s="1">
        <v>2265</v>
      </c>
    </row>
    <row r="22" spans="1:4" x14ac:dyDescent="0.35">
      <c r="A22" t="str">
        <f t="shared" si="0"/>
        <v>ES&gt;CLSFK VALLADOLID</v>
      </c>
      <c r="B22" t="s">
        <v>137</v>
      </c>
      <c r="C22" t="s">
        <v>136</v>
      </c>
      <c r="D22" s="1">
        <v>3000</v>
      </c>
    </row>
    <row r="23" spans="1:4" x14ac:dyDescent="0.35">
      <c r="A23" t="str">
        <f t="shared" si="0"/>
        <v>FR&gt;ARSteep</v>
      </c>
      <c r="B23" t="s">
        <v>242</v>
      </c>
      <c r="C23" t="s">
        <v>244</v>
      </c>
      <c r="D23" s="1">
        <v>1200</v>
      </c>
    </row>
    <row r="24" spans="1:4" x14ac:dyDescent="0.35">
      <c r="A24" t="str">
        <f t="shared" si="0"/>
        <v>FR&gt;BRILN CLEON</v>
      </c>
      <c r="B24" t="s">
        <v>148</v>
      </c>
      <c r="C24" t="s">
        <v>150</v>
      </c>
      <c r="D24" s="1">
        <v>3000</v>
      </c>
    </row>
    <row r="25" spans="1:4" x14ac:dyDescent="0.35">
      <c r="A25" t="str">
        <f t="shared" si="0"/>
        <v>FR&gt;BRSFK FRANCE</v>
      </c>
      <c r="B25" t="s">
        <v>148</v>
      </c>
      <c r="C25" t="s">
        <v>155</v>
      </c>
      <c r="D25" s="1">
        <v>3000</v>
      </c>
    </row>
    <row r="26" spans="1:4" x14ac:dyDescent="0.35">
      <c r="A26" t="str">
        <f t="shared" si="0"/>
        <v>FR&gt;CLILN CLEON</v>
      </c>
      <c r="B26" t="s">
        <v>162</v>
      </c>
      <c r="C26" t="s">
        <v>150</v>
      </c>
      <c r="D26" s="1">
        <v>3000</v>
      </c>
    </row>
    <row r="27" spans="1:4" x14ac:dyDescent="0.35">
      <c r="A27" t="str">
        <f t="shared" si="0"/>
        <v>FR&gt;CLSFK FRANCE</v>
      </c>
      <c r="B27" t="s">
        <v>162</v>
      </c>
      <c r="C27" t="s">
        <v>155</v>
      </c>
      <c r="D27" s="1">
        <v>3000</v>
      </c>
    </row>
    <row r="28" spans="1:4" x14ac:dyDescent="0.35">
      <c r="A28" t="str">
        <f t="shared" si="0"/>
        <v>IN&gt;BRILN India</v>
      </c>
      <c r="B28" t="s">
        <v>164</v>
      </c>
      <c r="C28" t="s">
        <v>166</v>
      </c>
      <c r="D28" s="1">
        <v>17969.447499999998</v>
      </c>
    </row>
    <row r="29" spans="1:4" x14ac:dyDescent="0.35">
      <c r="A29" t="str">
        <f t="shared" si="0"/>
        <v>IN&gt;CLILN India</v>
      </c>
      <c r="B29" t="s">
        <v>176</v>
      </c>
      <c r="C29" t="s">
        <v>166</v>
      </c>
      <c r="D29" s="1">
        <v>31399.5</v>
      </c>
    </row>
    <row r="30" spans="1:4" x14ac:dyDescent="0.35">
      <c r="A30" t="str">
        <f t="shared" si="0"/>
        <v>IN&gt;ESILN India</v>
      </c>
      <c r="B30" t="s">
        <v>178</v>
      </c>
      <c r="C30" t="s">
        <v>166</v>
      </c>
      <c r="D30" s="1">
        <v>15796</v>
      </c>
    </row>
    <row r="31" spans="1:4" x14ac:dyDescent="0.35">
      <c r="A31" t="str">
        <f t="shared" si="0"/>
        <v>IN&gt;ESRenault Pune-AS</v>
      </c>
      <c r="B31" t="s">
        <v>178</v>
      </c>
      <c r="C31" t="s">
        <v>180</v>
      </c>
      <c r="D31" s="1">
        <v>54958.03</v>
      </c>
    </row>
    <row r="32" spans="1:4" x14ac:dyDescent="0.35">
      <c r="A32" t="str">
        <f t="shared" si="0"/>
        <v>IN&gt;ROILN India</v>
      </c>
      <c r="B32" t="s">
        <v>181</v>
      </c>
      <c r="C32" t="s">
        <v>166</v>
      </c>
      <c r="D32" s="1">
        <v>3000</v>
      </c>
    </row>
    <row r="33" spans="1:4" x14ac:dyDescent="0.35">
      <c r="A33" t="str">
        <f t="shared" si="0"/>
        <v>IN&gt;TRILN India</v>
      </c>
      <c r="B33" t="s">
        <v>184</v>
      </c>
      <c r="C33" t="s">
        <v>166</v>
      </c>
      <c r="D33" s="1">
        <v>44879</v>
      </c>
    </row>
    <row r="34" spans="1:4" x14ac:dyDescent="0.35">
      <c r="A34" t="str">
        <f t="shared" si="0"/>
        <v>JP&gt;BRAichi Japan</v>
      </c>
      <c r="B34" t="s">
        <v>186</v>
      </c>
      <c r="C34" t="s">
        <v>188</v>
      </c>
      <c r="D34" s="1">
        <v>8005.5200000000023</v>
      </c>
    </row>
    <row r="35" spans="1:4" x14ac:dyDescent="0.35">
      <c r="A35" t="str">
        <f t="shared" si="0"/>
        <v>JP&gt;ESNML</v>
      </c>
      <c r="B35" t="s">
        <v>197</v>
      </c>
      <c r="C35" t="s">
        <v>199</v>
      </c>
      <c r="D35" s="1">
        <v>1500</v>
      </c>
    </row>
    <row r="36" spans="1:4" x14ac:dyDescent="0.35">
      <c r="A36" t="str">
        <f t="shared" si="0"/>
        <v>JP&gt;RONML</v>
      </c>
      <c r="B36" t="s">
        <v>239</v>
      </c>
      <c r="C36" t="s">
        <v>199</v>
      </c>
      <c r="D36" s="1">
        <v>1500</v>
      </c>
    </row>
    <row r="37" spans="1:4" x14ac:dyDescent="0.35">
      <c r="A37" t="str">
        <f t="shared" si="0"/>
        <v>JP&gt;TRAichi Japan</v>
      </c>
      <c r="B37" t="s">
        <v>207</v>
      </c>
      <c r="C37" t="s">
        <v>188</v>
      </c>
      <c r="D37" s="1">
        <v>129364.2</v>
      </c>
    </row>
    <row r="38" spans="1:4" x14ac:dyDescent="0.35">
      <c r="A38" t="str">
        <f t="shared" si="0"/>
        <v>KR&gt;BRILN Busan</v>
      </c>
      <c r="B38" t="s">
        <v>212</v>
      </c>
      <c r="C38" t="s">
        <v>214</v>
      </c>
      <c r="D38" s="1">
        <v>1688</v>
      </c>
    </row>
    <row r="39" spans="1:4" x14ac:dyDescent="0.35">
      <c r="A39" t="str">
        <f t="shared" si="0"/>
        <v>KR&gt;TRILN Busan</v>
      </c>
      <c r="B39" t="s">
        <v>222</v>
      </c>
      <c r="C39" t="s">
        <v>214</v>
      </c>
      <c r="D39" s="1">
        <v>312</v>
      </c>
    </row>
    <row r="40" spans="1:4" x14ac:dyDescent="0.35">
      <c r="A40" t="str">
        <f t="shared" si="0"/>
        <v>MX&gt;BRILN MEXICO</v>
      </c>
      <c r="B40" t="s">
        <v>278</v>
      </c>
      <c r="C40" t="s">
        <v>280</v>
      </c>
      <c r="D40" s="1">
        <v>3000</v>
      </c>
    </row>
    <row r="41" spans="1:4" x14ac:dyDescent="0.35">
      <c r="A41" t="str">
        <f t="shared" si="0"/>
        <v>RO&gt;BRILN Mioveni</v>
      </c>
      <c r="B41" t="s">
        <v>227</v>
      </c>
      <c r="C41" t="s">
        <v>229</v>
      </c>
      <c r="D41" s="1">
        <v>11347.660000000002</v>
      </c>
    </row>
    <row r="42" spans="1:4" x14ac:dyDescent="0.35">
      <c r="A42" t="str">
        <f t="shared" si="0"/>
        <v>TR&gt;BRILN Bursa</v>
      </c>
      <c r="B42" t="s">
        <v>231</v>
      </c>
      <c r="C42" t="s">
        <v>233</v>
      </c>
      <c r="D42" s="1">
        <v>3882.6699999999992</v>
      </c>
    </row>
    <row r="43" spans="1:4" x14ac:dyDescent="0.35">
      <c r="A43" t="str">
        <f t="shared" si="0"/>
        <v>TR&gt;ESRenault Korea-AS</v>
      </c>
      <c r="B43" t="s">
        <v>235</v>
      </c>
      <c r="C43" t="s">
        <v>237</v>
      </c>
      <c r="D43" s="1">
        <v>76604.569999999992</v>
      </c>
    </row>
    <row r="44" spans="1:4" x14ac:dyDescent="0.35">
      <c r="A44" t="str">
        <f t="shared" si="0"/>
        <v/>
      </c>
    </row>
    <row r="45" spans="1:4" x14ac:dyDescent="0.35">
      <c r="A45" t="str">
        <f t="shared" si="0"/>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C2AF1-34BF-4284-B5D5-E83A82B51D1E}">
  <sheetPr codeName="Hoja3"/>
  <dimension ref="A1:E26"/>
  <sheetViews>
    <sheetView zoomScale="115" zoomScaleNormal="115" workbookViewId="0">
      <selection activeCell="E13" sqref="E13"/>
    </sheetView>
  </sheetViews>
  <sheetFormatPr baseColWidth="10" defaultColWidth="11.453125" defaultRowHeight="14.5" x14ac:dyDescent="0.35"/>
  <cols>
    <col min="1" max="1" width="12.7265625" bestFit="1" customWidth="1"/>
    <col min="2" max="2" width="20" bestFit="1" customWidth="1"/>
    <col min="5" max="5" width="12.453125" customWidth="1"/>
  </cols>
  <sheetData>
    <row r="1" spans="1:5" x14ac:dyDescent="0.35">
      <c r="E1">
        <v>1</v>
      </c>
    </row>
    <row r="2" spans="1:5" x14ac:dyDescent="0.35">
      <c r="E2" s="85" t="s">
        <v>290</v>
      </c>
    </row>
    <row r="3" spans="1:5" x14ac:dyDescent="0.35">
      <c r="C3" t="s">
        <v>291</v>
      </c>
      <c r="D3" t="s">
        <v>292</v>
      </c>
      <c r="E3" t="s">
        <v>293</v>
      </c>
    </row>
    <row r="4" spans="1:5" x14ac:dyDescent="0.35">
      <c r="A4" s="60" t="s">
        <v>71</v>
      </c>
      <c r="B4" s="61" t="str">
        <f>+A4&amp;"_"&amp;C4&amp;"&gt;"&amp;D4</f>
        <v>DHL_B_CN&gt;BR</v>
      </c>
      <c r="C4" t="s">
        <v>76</v>
      </c>
      <c r="D4" t="s">
        <v>79</v>
      </c>
      <c r="E4" s="51">
        <v>5.3500000000000005</v>
      </c>
    </row>
    <row r="5" spans="1:5" x14ac:dyDescent="0.35">
      <c r="A5" s="60" t="s">
        <v>71</v>
      </c>
      <c r="B5" s="61" t="str">
        <f t="shared" ref="B5:B26" si="0">+A5&amp;"_"&amp;C5&amp;"&gt;"&amp;D5</f>
        <v>DHL_B_CN&gt;ES</v>
      </c>
      <c r="C5" t="s">
        <v>76</v>
      </c>
      <c r="D5" t="s">
        <v>100</v>
      </c>
      <c r="E5" s="51">
        <v>4.12</v>
      </c>
    </row>
    <row r="6" spans="1:5" x14ac:dyDescent="0.35">
      <c r="A6" s="60" t="s">
        <v>71</v>
      </c>
      <c r="B6" s="61" t="str">
        <f t="shared" si="0"/>
        <v>DHL_B_CN&gt;PT</v>
      </c>
      <c r="C6" t="s">
        <v>76</v>
      </c>
      <c r="D6" t="s">
        <v>111</v>
      </c>
      <c r="E6" s="51">
        <v>4.12</v>
      </c>
    </row>
    <row r="7" spans="1:5" x14ac:dyDescent="0.35">
      <c r="A7" s="60" t="s">
        <v>71</v>
      </c>
      <c r="B7" s="61" t="str">
        <f t="shared" si="0"/>
        <v>DHL_B_CN&gt;RO</v>
      </c>
      <c r="C7" t="s">
        <v>76</v>
      </c>
      <c r="D7" t="s">
        <v>119</v>
      </c>
      <c r="E7" s="51">
        <v>4.12</v>
      </c>
    </row>
    <row r="8" spans="1:5" x14ac:dyDescent="0.35">
      <c r="A8" s="60" t="s">
        <v>71</v>
      </c>
      <c r="B8" s="61" t="str">
        <f t="shared" si="0"/>
        <v>DHL_B_CN&gt;TR</v>
      </c>
      <c r="C8" t="s">
        <v>76</v>
      </c>
      <c r="D8" t="s">
        <v>126</v>
      </c>
      <c r="E8" s="51">
        <v>4.82</v>
      </c>
    </row>
    <row r="9" spans="1:5" x14ac:dyDescent="0.35">
      <c r="A9" s="60" t="s">
        <v>71</v>
      </c>
      <c r="B9" s="61" t="str">
        <f t="shared" si="0"/>
        <v>DHL_B_ES&gt;BR</v>
      </c>
      <c r="C9" t="s">
        <v>100</v>
      </c>
      <c r="D9" t="s">
        <v>79</v>
      </c>
      <c r="E9" s="51">
        <v>0.72</v>
      </c>
    </row>
    <row r="10" spans="1:5" x14ac:dyDescent="0.35">
      <c r="A10" s="60" t="s">
        <v>71</v>
      </c>
      <c r="B10" s="61" t="str">
        <f t="shared" si="0"/>
        <v>DHL_B_FR&gt;CL</v>
      </c>
      <c r="C10" t="s">
        <v>151</v>
      </c>
      <c r="D10" t="s">
        <v>140</v>
      </c>
      <c r="E10" s="51">
        <v>1.4</v>
      </c>
    </row>
    <row r="11" spans="1:5" x14ac:dyDescent="0.35">
      <c r="A11" s="60" t="s">
        <v>71</v>
      </c>
      <c r="B11" s="61" t="str">
        <f t="shared" si="0"/>
        <v>DHL_B_ES&gt;CL</v>
      </c>
      <c r="C11" t="s">
        <v>100</v>
      </c>
      <c r="D11" t="s">
        <v>140</v>
      </c>
      <c r="E11" s="51">
        <v>0.6</v>
      </c>
    </row>
    <row r="12" spans="1:5" x14ac:dyDescent="0.35">
      <c r="A12" s="60" t="s">
        <v>71</v>
      </c>
      <c r="B12" s="61" t="str">
        <f t="shared" si="0"/>
        <v>DHL_B_FR&gt;BR</v>
      </c>
      <c r="C12" t="s">
        <v>151</v>
      </c>
      <c r="D12" t="s">
        <v>79</v>
      </c>
      <c r="E12" s="51">
        <v>0.87999999999999989</v>
      </c>
    </row>
    <row r="13" spans="1:5" x14ac:dyDescent="0.35">
      <c r="A13" s="60" t="s">
        <v>71</v>
      </c>
      <c r="B13" s="61" t="str">
        <f t="shared" si="0"/>
        <v>DHL_B_IN&gt;BR</v>
      </c>
      <c r="C13" t="s">
        <v>167</v>
      </c>
      <c r="D13" t="s">
        <v>79</v>
      </c>
      <c r="E13" s="51">
        <v>5.89</v>
      </c>
    </row>
    <row r="14" spans="1:5" x14ac:dyDescent="0.35">
      <c r="A14" s="60" t="s">
        <v>71</v>
      </c>
      <c r="B14" s="61" t="str">
        <f t="shared" si="0"/>
        <v>DHL_B_IN&gt;CL</v>
      </c>
      <c r="C14" t="s">
        <v>167</v>
      </c>
      <c r="D14" t="s">
        <v>140</v>
      </c>
      <c r="E14" s="51">
        <v>5.89</v>
      </c>
    </row>
    <row r="15" spans="1:5" x14ac:dyDescent="0.35">
      <c r="A15" s="60" t="s">
        <v>71</v>
      </c>
      <c r="B15" s="61" t="str">
        <f t="shared" si="0"/>
        <v>DHL_B_IN&gt;ES</v>
      </c>
      <c r="C15" t="s">
        <v>167</v>
      </c>
      <c r="D15" t="s">
        <v>100</v>
      </c>
      <c r="E15" s="51">
        <v>2.35</v>
      </c>
    </row>
    <row r="16" spans="1:5" x14ac:dyDescent="0.35">
      <c r="A16" s="62" t="s">
        <v>71</v>
      </c>
      <c r="B16" s="61" t="str">
        <f t="shared" si="0"/>
        <v>DHL_B_IN&gt;RO</v>
      </c>
      <c r="C16" s="62" t="s">
        <v>167</v>
      </c>
      <c r="D16" s="62" t="s">
        <v>119</v>
      </c>
      <c r="E16" s="63">
        <v>2.35</v>
      </c>
    </row>
    <row r="17" spans="1:5" x14ac:dyDescent="0.35">
      <c r="A17" s="62" t="s">
        <v>71</v>
      </c>
      <c r="B17" s="61" t="str">
        <f t="shared" si="0"/>
        <v>DHL_B_IN&gt;TR</v>
      </c>
      <c r="C17" s="62" t="s">
        <v>167</v>
      </c>
      <c r="D17" s="62" t="s">
        <v>126</v>
      </c>
      <c r="E17" s="63">
        <v>2.35</v>
      </c>
    </row>
    <row r="18" spans="1:5" x14ac:dyDescent="0.35">
      <c r="A18" s="62" t="s">
        <v>71</v>
      </c>
      <c r="B18" s="61" t="str">
        <f t="shared" si="0"/>
        <v>DHL_B_JP&gt;BR</v>
      </c>
      <c r="C18" s="62" t="s">
        <v>189</v>
      </c>
      <c r="D18" s="62" t="s">
        <v>79</v>
      </c>
      <c r="E18" s="63">
        <v>1.67</v>
      </c>
    </row>
    <row r="19" spans="1:5" x14ac:dyDescent="0.35">
      <c r="A19" s="62" t="s">
        <v>71</v>
      </c>
      <c r="B19" s="61" t="str">
        <f t="shared" si="0"/>
        <v>DHL_B_JP&gt;ES</v>
      </c>
      <c r="C19" s="62" t="s">
        <v>189</v>
      </c>
      <c r="D19" s="62" t="s">
        <v>100</v>
      </c>
      <c r="E19" s="63">
        <v>1.67</v>
      </c>
    </row>
    <row r="20" spans="1:5" x14ac:dyDescent="0.35">
      <c r="A20" s="62" t="s">
        <v>71</v>
      </c>
      <c r="B20" s="61" t="str">
        <f t="shared" si="0"/>
        <v>DHL_B_JP&gt;TR</v>
      </c>
      <c r="C20" t="s">
        <v>189</v>
      </c>
      <c r="D20" t="s">
        <v>126</v>
      </c>
      <c r="E20" s="51">
        <v>1.67</v>
      </c>
    </row>
    <row r="21" spans="1:5" x14ac:dyDescent="0.35">
      <c r="A21" s="62" t="s">
        <v>71</v>
      </c>
      <c r="B21" s="61" t="str">
        <f t="shared" si="0"/>
        <v>DHL_B_KR&gt;BR</v>
      </c>
      <c r="C21" t="s">
        <v>215</v>
      </c>
      <c r="D21" t="s">
        <v>79</v>
      </c>
      <c r="E21" s="51">
        <v>1.38</v>
      </c>
    </row>
    <row r="22" spans="1:5" x14ac:dyDescent="0.35">
      <c r="A22" s="62" t="s">
        <v>71</v>
      </c>
      <c r="B22" s="61" t="str">
        <f t="shared" si="0"/>
        <v>DHL_B_KR&gt;TR</v>
      </c>
      <c r="C22" t="s">
        <v>215</v>
      </c>
      <c r="D22" t="s">
        <v>126</v>
      </c>
      <c r="E22" s="51">
        <v>2.37</v>
      </c>
    </row>
    <row r="23" spans="1:5" x14ac:dyDescent="0.35">
      <c r="A23" s="62" t="s">
        <v>71</v>
      </c>
      <c r="B23" s="61" t="str">
        <f t="shared" si="0"/>
        <v>DHL_B_RO&gt;BR</v>
      </c>
      <c r="C23" t="s">
        <v>119</v>
      </c>
      <c r="D23" t="s">
        <v>79</v>
      </c>
      <c r="E23" s="51">
        <v>1.58</v>
      </c>
    </row>
    <row r="24" spans="1:5" x14ac:dyDescent="0.35">
      <c r="A24" s="62" t="s">
        <v>71</v>
      </c>
      <c r="B24" s="61" t="str">
        <f t="shared" si="0"/>
        <v>DHL_B_TR&gt;BR</v>
      </c>
      <c r="C24" t="s">
        <v>126</v>
      </c>
      <c r="D24" t="s">
        <v>79</v>
      </c>
      <c r="E24" s="51">
        <v>1.05</v>
      </c>
    </row>
    <row r="25" spans="1:5" x14ac:dyDescent="0.35">
      <c r="A25" s="62" t="s">
        <v>71</v>
      </c>
      <c r="B25" s="61" t="str">
        <f t="shared" si="0"/>
        <v>DHL_B_JP&gt;RO</v>
      </c>
      <c r="C25" t="s">
        <v>189</v>
      </c>
      <c r="D25" t="s">
        <v>119</v>
      </c>
      <c r="E25" s="51">
        <v>1.67</v>
      </c>
    </row>
    <row r="26" spans="1:5" x14ac:dyDescent="0.35">
      <c r="A26" s="62" t="s">
        <v>71</v>
      </c>
      <c r="B26" s="61" t="str">
        <f t="shared" si="0"/>
        <v>DHL_B_FR&gt;AR</v>
      </c>
      <c r="C26" t="s">
        <v>151</v>
      </c>
      <c r="D26" t="s">
        <v>250</v>
      </c>
      <c r="E26" s="51">
        <v>0.87999999999999989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B9801-770E-4717-A0E5-ABDE62508F6C}">
  <sheetPr codeName="Hoja4"/>
  <dimension ref="A1:R54"/>
  <sheetViews>
    <sheetView showGridLines="0" tabSelected="1" zoomScaleNormal="100" workbookViewId="0">
      <pane xSplit="1" ySplit="8" topLeftCell="B9" activePane="bottomRight" state="frozen"/>
      <selection pane="topRight" activeCell="B1" sqref="B1"/>
      <selection pane="bottomLeft" activeCell="A9" sqref="A9"/>
      <selection pane="bottomRight" activeCell="L13" sqref="L13"/>
    </sheetView>
  </sheetViews>
  <sheetFormatPr baseColWidth="10" defaultColWidth="11.453125" defaultRowHeight="14.5" x14ac:dyDescent="0.35"/>
  <cols>
    <col min="1" max="1" width="5.81640625" style="7" customWidth="1"/>
    <col min="2" max="2" width="5.7265625" style="7" customWidth="1"/>
    <col min="3" max="3" width="16.7265625" style="7" bestFit="1" customWidth="1"/>
    <col min="4" max="4" width="13.26953125" style="7" customWidth="1"/>
    <col min="5" max="6" width="12.1796875" style="7" customWidth="1"/>
    <col min="7" max="7" width="11.7265625" style="7" customWidth="1"/>
    <col min="8" max="8" width="13.26953125" style="7" customWidth="1"/>
    <col min="9" max="9" width="12" style="7" customWidth="1"/>
    <col min="10" max="10" width="13.26953125" style="7" customWidth="1"/>
    <col min="11" max="11" width="11.81640625" style="7" customWidth="1"/>
    <col min="12" max="12" width="13.1796875" style="7" customWidth="1"/>
    <col min="13" max="13" width="5.54296875" style="7" customWidth="1"/>
    <col min="14" max="14" width="4.1796875" style="7" customWidth="1"/>
    <col min="15" max="15" width="20" style="7" customWidth="1"/>
    <col min="16" max="17" width="11.453125" style="7"/>
    <col min="18" max="18" width="4.1796875" style="7" customWidth="1"/>
    <col min="19" max="16384" width="11.453125" style="7"/>
  </cols>
  <sheetData>
    <row r="1" spans="1:18" ht="21" customHeight="1" x14ac:dyDescent="0.35">
      <c r="A1" s="66"/>
      <c r="B1" s="67"/>
      <c r="C1" s="67"/>
      <c r="D1" s="67"/>
      <c r="E1" s="68" t="s">
        <v>294</v>
      </c>
      <c r="F1" s="67"/>
      <c r="G1" s="67"/>
      <c r="H1" s="67"/>
      <c r="I1" s="67"/>
      <c r="J1" s="67"/>
      <c r="K1" s="67"/>
      <c r="L1" s="67"/>
      <c r="M1" s="69"/>
      <c r="O1" s="65" t="s">
        <v>295</v>
      </c>
    </row>
    <row r="2" spans="1:18" ht="41.25" customHeight="1" x14ac:dyDescent="0.35">
      <c r="A2" s="70"/>
      <c r="B2" s="71"/>
      <c r="C2" s="71"/>
      <c r="D2" s="101" t="s">
        <v>296</v>
      </c>
      <c r="E2" s="101"/>
      <c r="F2" s="101"/>
      <c r="G2" s="101"/>
      <c r="H2" s="101"/>
      <c r="I2" s="101"/>
      <c r="J2" s="101"/>
      <c r="K2" s="101"/>
      <c r="L2" s="101"/>
      <c r="M2" s="102"/>
      <c r="O2" s="72" t="s">
        <v>297</v>
      </c>
      <c r="P2" s="73"/>
      <c r="Q2" s="73"/>
      <c r="R2" s="74"/>
    </row>
    <row r="3" spans="1:18" x14ac:dyDescent="0.35">
      <c r="O3" s="75" t="s">
        <v>298</v>
      </c>
      <c r="P3" s="76"/>
      <c r="Q3" s="76"/>
      <c r="R3" s="77"/>
    </row>
    <row r="4" spans="1:18" x14ac:dyDescent="0.35">
      <c r="D4" s="5" t="s">
        <v>291</v>
      </c>
      <c r="E4" s="54" t="s">
        <v>189</v>
      </c>
      <c r="H4" s="99" t="s">
        <v>299</v>
      </c>
      <c r="I4" s="99"/>
      <c r="J4" s="55" t="s">
        <v>126</v>
      </c>
      <c r="O4" s="78" t="s">
        <v>300</v>
      </c>
      <c r="P4" s="76"/>
      <c r="Q4" s="79"/>
      <c r="R4" s="80"/>
    </row>
    <row r="5" spans="1:18" x14ac:dyDescent="0.35">
      <c r="O5" s="75" t="s">
        <v>301</v>
      </c>
      <c r="P5" s="76"/>
      <c r="Q5" s="76"/>
      <c r="R5" s="77"/>
    </row>
    <row r="6" spans="1:18" x14ac:dyDescent="0.35">
      <c r="D6" s="5" t="s">
        <v>302</v>
      </c>
      <c r="E6" s="52">
        <f>+MAX(IF(J6=0,L6,J6*167),L6)</f>
        <v>592</v>
      </c>
      <c r="H6" s="100" t="s">
        <v>303</v>
      </c>
      <c r="I6" s="100"/>
      <c r="J6" s="53">
        <v>1.0529999999999999</v>
      </c>
      <c r="K6" s="6" t="s">
        <v>304</v>
      </c>
      <c r="L6" s="53">
        <v>592</v>
      </c>
      <c r="O6" s="81" t="s">
        <v>305</v>
      </c>
      <c r="P6" s="76"/>
      <c r="Q6" s="76"/>
      <c r="R6" s="77"/>
    </row>
    <row r="7" spans="1:18" x14ac:dyDescent="0.35">
      <c r="O7" s="81" t="s">
        <v>306</v>
      </c>
      <c r="P7" s="76"/>
      <c r="Q7" s="76"/>
      <c r="R7" s="77"/>
    </row>
    <row r="8" spans="1:18" s="37" customFormat="1" ht="30" customHeight="1" x14ac:dyDescent="0.35">
      <c r="C8" s="38" t="s">
        <v>307</v>
      </c>
      <c r="D8" s="38" t="s">
        <v>308</v>
      </c>
      <c r="E8" s="38" t="s">
        <v>66</v>
      </c>
      <c r="F8" s="38" t="s">
        <v>309</v>
      </c>
      <c r="G8" s="38" t="s">
        <v>310</v>
      </c>
      <c r="H8" s="38" t="s">
        <v>311</v>
      </c>
      <c r="I8" s="39" t="s">
        <v>312</v>
      </c>
      <c r="J8" s="38" t="s">
        <v>313</v>
      </c>
      <c r="K8" s="38" t="s">
        <v>314</v>
      </c>
      <c r="L8" s="38" t="s">
        <v>315</v>
      </c>
      <c r="O8" s="78" t="s">
        <v>316</v>
      </c>
      <c r="P8" s="76"/>
      <c r="Q8" s="76"/>
      <c r="R8" s="77"/>
    </row>
    <row r="9" spans="1:18" x14ac:dyDescent="0.35">
      <c r="C9" s="40" t="str" cm="1">
        <f t="array" ref="C9:C14">+_xlfn._xlws.FILTER(T[Shipper/ILN],(T[Country Code]=$E$4)*(T[Country Code Destin]=$J$4),"no found")</f>
        <v>Aichi Japan</v>
      </c>
      <c r="D9" s="40" t="str" cm="1">
        <f t="array" ref="D9:D14">+_xlfn._xlws.FILTER(T[Type of Flow],(T[Country Code]=$E$4)*(T[Country Code Destin]=$J$4),"no found")</f>
        <v>Backup</v>
      </c>
      <c r="E9" s="40" t="str" cm="1">
        <f t="array" ref="E9:E14">+_xlfn._xlws.FILTER(T[Service Level (Normal, Economy and Express)],(T[Country Code]=$E$4)*(T[Country Code Destin]=$J$4),"no found")</f>
        <v>Economy</v>
      </c>
      <c r="F9" s="40" t="str" cm="1">
        <f t="array" ref="F9:F14">+_xlfn._xlws.FILTER(T[Origin Airport],(T[Country Code]=$E$4)*(T[Country Code Destin]=$J$4),"no found")</f>
        <v>KIX</v>
      </c>
      <c r="G9" s="40" t="str" cm="1">
        <f t="array" ref="G9:G14">+_xlfn._xlws.FILTER(T[Destination Airport],(T[Country Code]=$E$4)*(T[Country Code Destin]=$J$4),"no found")</f>
        <v>IST</v>
      </c>
      <c r="H9" s="40" t="str" cm="1">
        <f t="array" ref="H9:H14">+_xlfn._xlws.FILTER(T[Provider_Name],(T[Country Code]=$E$4)*(T[Country Code Destin]=$J$4),"no found")</f>
        <v>DHL_B</v>
      </c>
      <c r="I9" s="41" cm="1">
        <f t="array" ref="I9:I14">+IFERROR(_xlfn._xlws.FILTER(T[€/Kg],(T[Country Code]=$E$4)*(T[Country Code Destin]=$J$4),"no found")*E6,"no found")</f>
        <v>4269.32</v>
      </c>
      <c r="J9" s="58" cm="1">
        <f t="array" ref="J9:J14">+_xlfn._xlws.FILTER(T[€/Kg],(T[Country Code]=$E$4)*(T[Country Code Destin]=$J$4),"no found")</f>
        <v>7.2116891891891894</v>
      </c>
      <c r="K9" s="2" cm="1">
        <f t="array" ref="K9:K14">+_xlfn._xlws.FILTER(T[Nº Transshipment],(T[Country Code]=$E$4)*(T[Country Code Destin]=$J$4),"no found")</f>
        <v>2</v>
      </c>
      <c r="L9" s="42" cm="1">
        <f t="array" ref="L9:L14">+_xlfn._xlws.FILTER(T[Total TT (days)],(T[Country Code]=$E$4)*(T[Country Code Destin]=$J$4),"no found")</f>
        <v>9</v>
      </c>
      <c r="O9" s="75" t="s">
        <v>317</v>
      </c>
      <c r="P9" s="76"/>
      <c r="Q9" s="76"/>
      <c r="R9" s="77"/>
    </row>
    <row r="10" spans="1:18" x14ac:dyDescent="0.35">
      <c r="C10" s="40" t="str">
        <v>Aichi Japan</v>
      </c>
      <c r="D10" s="40" t="str">
        <v>Backup</v>
      </c>
      <c r="E10" s="40" t="str">
        <v>Express</v>
      </c>
      <c r="F10" s="40" t="str">
        <v>KIX</v>
      </c>
      <c r="G10" s="40" t="str">
        <v>IST</v>
      </c>
      <c r="H10" s="40" t="str">
        <v>DHL_B</v>
      </c>
      <c r="I10" s="41">
        <v>5186.9199999999992</v>
      </c>
      <c r="J10" s="58">
        <v>8.7616891891891875</v>
      </c>
      <c r="K10" s="2">
        <v>1</v>
      </c>
      <c r="L10" s="42">
        <v>5</v>
      </c>
      <c r="O10" s="81" t="s">
        <v>318</v>
      </c>
      <c r="P10" s="76"/>
      <c r="Q10" s="76"/>
      <c r="R10" s="77"/>
    </row>
    <row r="11" spans="1:18" x14ac:dyDescent="0.35">
      <c r="C11" s="40" t="str">
        <v>Aichi Japan</v>
      </c>
      <c r="D11" s="40" t="str">
        <v>Backup</v>
      </c>
      <c r="E11" s="40" t="str">
        <v>Normal</v>
      </c>
      <c r="F11" s="40" t="str">
        <v>KIX</v>
      </c>
      <c r="G11" s="40" t="str">
        <v>IST</v>
      </c>
      <c r="H11" s="40" t="str">
        <v>DHL_B</v>
      </c>
      <c r="I11" s="41">
        <v>4476.5199999999995</v>
      </c>
      <c r="J11" s="58">
        <v>7.5616891891891891</v>
      </c>
      <c r="K11" s="2">
        <v>1</v>
      </c>
      <c r="L11" s="42">
        <v>7</v>
      </c>
      <c r="O11" s="81" t="s">
        <v>319</v>
      </c>
      <c r="P11" s="76"/>
      <c r="Q11" s="76"/>
      <c r="R11" s="77"/>
    </row>
    <row r="12" spans="1:18" x14ac:dyDescent="0.35">
      <c r="C12" s="2" t="str">
        <v>Aichi Japan</v>
      </c>
      <c r="D12" s="2" t="str">
        <v>Main</v>
      </c>
      <c r="E12" s="2" t="str">
        <v>Economy</v>
      </c>
      <c r="F12" s="2" t="str">
        <v>NGO</v>
      </c>
      <c r="G12" s="2" t="str">
        <v>IST</v>
      </c>
      <c r="H12" s="2" t="str">
        <v>DHL_B</v>
      </c>
      <c r="I12" s="41">
        <v>4162.76</v>
      </c>
      <c r="J12" s="58">
        <v>7.0316891891891888</v>
      </c>
      <c r="K12" s="2">
        <v>2</v>
      </c>
      <c r="L12" s="42">
        <v>9</v>
      </c>
      <c r="O12" s="81" t="s">
        <v>320</v>
      </c>
      <c r="P12" s="76"/>
      <c r="Q12" s="76"/>
      <c r="R12" s="77"/>
    </row>
    <row r="13" spans="1:18" x14ac:dyDescent="0.35">
      <c r="C13" s="2" t="str">
        <v>Aichi Japan</v>
      </c>
      <c r="D13" s="2" t="str">
        <v>Main</v>
      </c>
      <c r="E13" s="2" t="str">
        <v>Express</v>
      </c>
      <c r="F13" s="2" t="str">
        <v>NGO</v>
      </c>
      <c r="G13" s="2" t="str">
        <v>IST</v>
      </c>
      <c r="H13" s="2" t="str">
        <v>DHL_B</v>
      </c>
      <c r="I13" s="41">
        <v>5080.3599999999988</v>
      </c>
      <c r="J13" s="58">
        <v>8.5816891891891878</v>
      </c>
      <c r="K13" s="2">
        <v>1</v>
      </c>
      <c r="L13" s="42">
        <v>5</v>
      </c>
      <c r="O13" s="81" t="s">
        <v>66</v>
      </c>
      <c r="P13" s="76"/>
      <c r="Q13" s="76"/>
      <c r="R13" s="77"/>
    </row>
    <row r="14" spans="1:18" x14ac:dyDescent="0.35">
      <c r="C14" s="2" t="str">
        <v>Aichi Japan</v>
      </c>
      <c r="D14" s="2" t="str">
        <v>Main</v>
      </c>
      <c r="E14" s="2" t="str">
        <v>Normal</v>
      </c>
      <c r="F14" s="2" t="str">
        <v>NGO</v>
      </c>
      <c r="G14" s="2" t="str">
        <v>IST</v>
      </c>
      <c r="H14" s="2" t="str">
        <v>DHL_B</v>
      </c>
      <c r="I14" s="41">
        <v>4369.96</v>
      </c>
      <c r="J14" s="58">
        <v>7.3816891891891894</v>
      </c>
      <c r="K14" s="2">
        <v>1</v>
      </c>
      <c r="L14" s="42">
        <v>7</v>
      </c>
      <c r="O14" s="81" t="s">
        <v>321</v>
      </c>
      <c r="P14" s="76"/>
      <c r="Q14" s="76"/>
      <c r="R14" s="77"/>
    </row>
    <row r="15" spans="1:18" x14ac:dyDescent="0.35">
      <c r="C15" s="2"/>
      <c r="D15" s="2"/>
      <c r="E15" s="2"/>
      <c r="F15" s="2"/>
      <c r="G15" s="2"/>
      <c r="H15" s="2"/>
      <c r="I15" s="41"/>
      <c r="J15" s="58"/>
      <c r="K15" s="2"/>
      <c r="L15" s="42"/>
      <c r="O15" s="81" t="s">
        <v>311</v>
      </c>
      <c r="P15" s="76"/>
      <c r="Q15" s="76"/>
      <c r="R15" s="77"/>
    </row>
    <row r="16" spans="1:18" x14ac:dyDescent="0.35">
      <c r="C16" s="2"/>
      <c r="D16" s="2"/>
      <c r="E16" s="2"/>
      <c r="F16" s="2"/>
      <c r="G16" s="2"/>
      <c r="H16" s="2"/>
      <c r="I16" s="41"/>
      <c r="J16" s="58"/>
      <c r="K16" s="2"/>
      <c r="L16" s="42"/>
      <c r="O16" s="81" t="s">
        <v>322</v>
      </c>
      <c r="P16" s="76"/>
      <c r="Q16" s="76"/>
      <c r="R16" s="77"/>
    </row>
    <row r="17" spans="3:18" x14ac:dyDescent="0.35">
      <c r="C17" s="2"/>
      <c r="D17" s="2"/>
      <c r="E17" s="2"/>
      <c r="F17" s="2"/>
      <c r="G17" s="2"/>
      <c r="H17" s="2"/>
      <c r="I17" s="41"/>
      <c r="J17" s="58"/>
      <c r="K17" s="2"/>
      <c r="L17" s="42"/>
      <c r="O17" s="81" t="s">
        <v>313</v>
      </c>
      <c r="P17" s="76"/>
      <c r="Q17" s="76"/>
      <c r="R17" s="77"/>
    </row>
    <row r="18" spans="3:18" x14ac:dyDescent="0.35">
      <c r="C18" s="2"/>
      <c r="D18" s="2"/>
      <c r="E18" s="2"/>
      <c r="F18" s="2"/>
      <c r="G18" s="2"/>
      <c r="H18" s="2"/>
      <c r="I18" s="41"/>
      <c r="J18" s="58"/>
      <c r="K18" s="2"/>
      <c r="L18" s="42"/>
      <c r="O18" s="81" t="s">
        <v>323</v>
      </c>
      <c r="P18" s="76"/>
      <c r="Q18" s="76"/>
      <c r="R18" s="77"/>
    </row>
    <row r="19" spans="3:18" x14ac:dyDescent="0.35">
      <c r="C19" s="2"/>
      <c r="D19" s="2"/>
      <c r="E19" s="2"/>
      <c r="F19" s="2"/>
      <c r="G19" s="2"/>
      <c r="H19" s="2"/>
      <c r="I19" s="41"/>
      <c r="J19" s="58"/>
      <c r="K19" s="2"/>
      <c r="L19" s="42"/>
      <c r="O19" s="82" t="s">
        <v>324</v>
      </c>
      <c r="P19" s="83"/>
      <c r="Q19" s="83"/>
      <c r="R19" s="84"/>
    </row>
    <row r="20" spans="3:18" x14ac:dyDescent="0.35">
      <c r="C20" s="2"/>
      <c r="D20" s="2"/>
      <c r="E20" s="2"/>
      <c r="F20" s="2"/>
      <c r="G20" s="2"/>
      <c r="H20" s="2"/>
      <c r="I20" s="41"/>
      <c r="J20" s="58"/>
      <c r="K20" s="2"/>
      <c r="L20" s="42"/>
    </row>
    <row r="21" spans="3:18" x14ac:dyDescent="0.35">
      <c r="C21" s="2"/>
      <c r="D21" s="2"/>
      <c r="E21" s="2"/>
      <c r="F21" s="2"/>
      <c r="G21" s="2"/>
      <c r="H21" s="2"/>
      <c r="I21" s="41"/>
      <c r="J21" s="58"/>
      <c r="K21" s="2"/>
      <c r="L21" s="42"/>
      <c r="P21" s="64"/>
    </row>
    <row r="22" spans="3:18" x14ac:dyDescent="0.35">
      <c r="C22" s="2"/>
      <c r="D22" s="2"/>
      <c r="E22" s="2"/>
      <c r="F22" s="2"/>
      <c r="G22" s="2"/>
      <c r="H22" s="2"/>
      <c r="I22" s="41"/>
      <c r="J22" s="58"/>
      <c r="K22" s="2"/>
      <c r="L22" s="42"/>
    </row>
    <row r="23" spans="3:18" x14ac:dyDescent="0.35">
      <c r="C23" s="2"/>
      <c r="D23" s="2"/>
      <c r="E23" s="2"/>
      <c r="F23" s="2"/>
      <c r="G23" s="2"/>
      <c r="H23" s="2"/>
      <c r="I23" s="41"/>
      <c r="J23" s="58"/>
      <c r="K23" s="2"/>
      <c r="L23" s="42"/>
    </row>
    <row r="24" spans="3:18" x14ac:dyDescent="0.35">
      <c r="C24" s="2"/>
      <c r="D24" s="2"/>
      <c r="E24" s="2"/>
      <c r="F24" s="2"/>
      <c r="G24" s="2"/>
      <c r="H24" s="2"/>
      <c r="I24" s="41"/>
      <c r="J24" s="58"/>
      <c r="K24" s="2"/>
      <c r="L24" s="42"/>
    </row>
    <row r="25" spans="3:18" x14ac:dyDescent="0.35">
      <c r="C25" s="2"/>
      <c r="D25" s="2"/>
      <c r="E25" s="2"/>
      <c r="F25" s="2"/>
      <c r="G25" s="2"/>
      <c r="H25" s="2"/>
      <c r="I25" s="41"/>
      <c r="J25" s="58"/>
      <c r="K25" s="2"/>
      <c r="L25" s="42"/>
    </row>
    <row r="26" spans="3:18" x14ac:dyDescent="0.35">
      <c r="C26" s="2"/>
      <c r="D26" s="2"/>
      <c r="E26" s="2"/>
      <c r="F26" s="2"/>
      <c r="G26" s="2"/>
      <c r="H26" s="2"/>
      <c r="I26" s="41"/>
      <c r="J26" s="58"/>
      <c r="K26" s="2"/>
      <c r="L26" s="42"/>
    </row>
    <row r="27" spans="3:18" x14ac:dyDescent="0.35">
      <c r="C27" s="36"/>
      <c r="D27" s="36"/>
      <c r="E27" s="36"/>
      <c r="F27" s="36"/>
      <c r="G27" s="36"/>
      <c r="H27" s="36"/>
      <c r="I27" s="59"/>
      <c r="J27" s="56"/>
      <c r="K27" s="36"/>
      <c r="L27" s="57"/>
    </row>
    <row r="28" spans="3:18" x14ac:dyDescent="0.35">
      <c r="C28" s="36"/>
      <c r="D28" s="36"/>
      <c r="E28" s="36"/>
      <c r="F28" s="36"/>
      <c r="G28" s="36"/>
      <c r="H28" s="36"/>
      <c r="I28" s="59"/>
      <c r="J28" s="56"/>
      <c r="K28" s="36"/>
      <c r="L28" s="57"/>
    </row>
    <row r="29" spans="3:18" x14ac:dyDescent="0.35">
      <c r="C29" s="36"/>
      <c r="D29" s="36"/>
      <c r="E29" s="36"/>
      <c r="F29" s="36"/>
      <c r="G29" s="36"/>
      <c r="H29" s="36"/>
      <c r="I29" s="59"/>
      <c r="J29" s="56"/>
      <c r="K29" s="36"/>
      <c r="L29" s="57"/>
    </row>
    <row r="30" spans="3:18" x14ac:dyDescent="0.35">
      <c r="C30" s="36"/>
      <c r="D30" s="36"/>
      <c r="E30" s="36"/>
      <c r="F30" s="36"/>
      <c r="G30" s="36"/>
      <c r="H30" s="36"/>
      <c r="I30" s="59"/>
      <c r="J30" s="56"/>
      <c r="K30" s="36"/>
      <c r="L30" s="57"/>
    </row>
    <row r="31" spans="3:18" x14ac:dyDescent="0.35">
      <c r="C31" s="36"/>
      <c r="D31" s="36"/>
      <c r="E31" s="36"/>
      <c r="F31" s="36"/>
      <c r="G31" s="36"/>
      <c r="H31" s="36"/>
      <c r="I31" s="59"/>
      <c r="J31" s="56"/>
      <c r="K31" s="36"/>
      <c r="L31" s="57"/>
    </row>
    <row r="32" spans="3:18" x14ac:dyDescent="0.35">
      <c r="C32" s="36"/>
      <c r="D32" s="36"/>
      <c r="E32" s="36"/>
      <c r="F32" s="36"/>
      <c r="G32" s="36"/>
      <c r="H32" s="36"/>
      <c r="I32" s="59"/>
      <c r="J32" s="56"/>
      <c r="K32" s="36"/>
      <c r="L32" s="57"/>
    </row>
    <row r="33" spans="3:12" x14ac:dyDescent="0.35">
      <c r="C33" s="36"/>
      <c r="D33" s="36"/>
      <c r="E33" s="36"/>
      <c r="F33" s="36"/>
      <c r="G33" s="36"/>
      <c r="H33" s="36"/>
      <c r="I33" s="59"/>
      <c r="J33" s="56"/>
      <c r="K33" s="36"/>
      <c r="L33" s="57"/>
    </row>
    <row r="34" spans="3:12" x14ac:dyDescent="0.35">
      <c r="C34" s="36"/>
      <c r="D34" s="36"/>
      <c r="E34" s="36"/>
      <c r="F34" s="36"/>
      <c r="G34" s="36"/>
      <c r="H34" s="36"/>
      <c r="I34" s="59"/>
      <c r="J34" s="56"/>
      <c r="K34" s="36"/>
      <c r="L34" s="57"/>
    </row>
    <row r="35" spans="3:12" x14ac:dyDescent="0.35">
      <c r="C35" s="36"/>
      <c r="D35" s="36"/>
      <c r="E35" s="36"/>
      <c r="F35" s="36"/>
      <c r="G35" s="36"/>
      <c r="H35" s="36"/>
      <c r="I35" s="59"/>
      <c r="J35" s="56"/>
      <c r="K35" s="36"/>
      <c r="L35" s="57"/>
    </row>
    <row r="36" spans="3:12" x14ac:dyDescent="0.35">
      <c r="C36" s="36"/>
      <c r="D36" s="36"/>
      <c r="E36" s="36"/>
      <c r="F36" s="36"/>
      <c r="G36" s="36"/>
      <c r="H36" s="36"/>
      <c r="I36" s="59"/>
      <c r="J36" s="56"/>
      <c r="K36" s="36"/>
      <c r="L36" s="57"/>
    </row>
    <row r="37" spans="3:12" x14ac:dyDescent="0.35">
      <c r="C37" s="36"/>
      <c r="D37" s="36"/>
      <c r="E37" s="36"/>
      <c r="F37" s="36"/>
      <c r="G37" s="36"/>
      <c r="H37" s="36"/>
      <c r="I37" s="59"/>
      <c r="J37" s="56"/>
      <c r="K37" s="36"/>
      <c r="L37" s="57"/>
    </row>
    <row r="38" spans="3:12" x14ac:dyDescent="0.35">
      <c r="C38" s="36"/>
      <c r="D38" s="36"/>
      <c r="E38" s="36"/>
      <c r="F38" s="36"/>
      <c r="G38" s="36"/>
      <c r="H38" s="36"/>
      <c r="I38" s="59"/>
      <c r="J38" s="56"/>
      <c r="K38" s="36"/>
      <c r="L38" s="57"/>
    </row>
    <row r="39" spans="3:12" x14ac:dyDescent="0.35">
      <c r="C39" s="36"/>
      <c r="D39" s="36"/>
      <c r="E39" s="36"/>
      <c r="F39" s="36"/>
      <c r="G39" s="36"/>
      <c r="H39" s="36"/>
      <c r="I39" s="59"/>
      <c r="J39" s="56"/>
      <c r="K39" s="36"/>
      <c r="L39" s="57"/>
    </row>
    <row r="40" spans="3:12" x14ac:dyDescent="0.35">
      <c r="C40" s="36"/>
      <c r="D40" s="36"/>
      <c r="E40" s="36"/>
      <c r="F40" s="36"/>
      <c r="G40" s="36"/>
      <c r="H40" s="36"/>
      <c r="I40" s="59"/>
      <c r="J40" s="56"/>
      <c r="K40" s="36"/>
      <c r="L40" s="57"/>
    </row>
    <row r="41" spans="3:12" x14ac:dyDescent="0.35">
      <c r="C41" s="36"/>
      <c r="D41" s="36"/>
      <c r="E41" s="36"/>
      <c r="F41" s="36"/>
      <c r="G41" s="36"/>
      <c r="H41" s="36"/>
      <c r="I41" s="59"/>
      <c r="J41" s="56"/>
      <c r="K41" s="36"/>
      <c r="L41" s="57"/>
    </row>
    <row r="42" spans="3:12" x14ac:dyDescent="0.35">
      <c r="C42" s="36"/>
      <c r="D42" s="36"/>
      <c r="E42" s="36"/>
      <c r="F42" s="36"/>
      <c r="G42" s="36"/>
      <c r="H42" s="36"/>
      <c r="I42" s="59"/>
      <c r="J42" s="56"/>
      <c r="K42" s="36"/>
      <c r="L42" s="57"/>
    </row>
    <row r="43" spans="3:12" x14ac:dyDescent="0.35">
      <c r="C43" s="36"/>
      <c r="D43" s="36"/>
      <c r="E43" s="36"/>
      <c r="F43" s="36"/>
      <c r="G43" s="36"/>
      <c r="H43" s="36"/>
      <c r="I43" s="59"/>
      <c r="J43" s="56"/>
      <c r="K43" s="36"/>
      <c r="L43" s="57"/>
    </row>
    <row r="44" spans="3:12" x14ac:dyDescent="0.35">
      <c r="C44" s="36"/>
      <c r="D44" s="36"/>
      <c r="E44" s="36"/>
      <c r="F44" s="36"/>
      <c r="G44" s="36"/>
      <c r="H44" s="36"/>
      <c r="I44" s="59"/>
      <c r="J44" s="56"/>
      <c r="K44" s="36"/>
      <c r="L44" s="57"/>
    </row>
    <row r="45" spans="3:12" x14ac:dyDescent="0.35">
      <c r="C45" s="36"/>
      <c r="D45" s="36"/>
      <c r="E45" s="36"/>
      <c r="F45" s="36"/>
      <c r="G45" s="36"/>
      <c r="H45" s="36"/>
      <c r="I45" s="59"/>
      <c r="J45" s="56"/>
      <c r="K45" s="36"/>
      <c r="L45" s="57"/>
    </row>
    <row r="46" spans="3:12" x14ac:dyDescent="0.35">
      <c r="C46" s="36"/>
      <c r="D46" s="36"/>
      <c r="E46" s="36"/>
      <c r="F46" s="36"/>
      <c r="G46" s="36"/>
      <c r="H46" s="36"/>
      <c r="I46" s="59"/>
      <c r="J46" s="56"/>
      <c r="K46" s="36"/>
      <c r="L46" s="57"/>
    </row>
    <row r="47" spans="3:12" x14ac:dyDescent="0.35">
      <c r="C47" s="36"/>
      <c r="D47" s="36"/>
      <c r="E47" s="36"/>
      <c r="F47" s="36"/>
      <c r="G47" s="36"/>
      <c r="H47" s="36"/>
      <c r="I47" s="59"/>
      <c r="J47" s="56"/>
      <c r="K47" s="36"/>
      <c r="L47" s="57"/>
    </row>
    <row r="48" spans="3:12" x14ac:dyDescent="0.35">
      <c r="C48" s="36"/>
      <c r="D48" s="36"/>
      <c r="E48" s="36"/>
      <c r="F48" s="36"/>
      <c r="G48" s="36"/>
      <c r="H48" s="36"/>
      <c r="I48" s="59"/>
      <c r="J48" s="56"/>
      <c r="K48" s="36"/>
      <c r="L48" s="57"/>
    </row>
    <row r="49" spans="3:12" x14ac:dyDescent="0.35">
      <c r="C49" s="36"/>
      <c r="D49" s="36"/>
      <c r="E49" s="36"/>
      <c r="F49" s="36"/>
      <c r="G49" s="36"/>
      <c r="H49" s="36"/>
      <c r="I49" s="59"/>
      <c r="J49" s="56"/>
      <c r="K49" s="36"/>
      <c r="L49" s="57"/>
    </row>
    <row r="50" spans="3:12" x14ac:dyDescent="0.35">
      <c r="C50" s="36"/>
      <c r="D50" s="36"/>
      <c r="E50" s="36"/>
      <c r="F50" s="36"/>
      <c r="G50" s="36"/>
      <c r="H50" s="36"/>
      <c r="I50" s="59"/>
      <c r="J50" s="56"/>
      <c r="K50" s="36"/>
      <c r="L50" s="57"/>
    </row>
    <row r="51" spans="3:12" x14ac:dyDescent="0.35">
      <c r="C51" s="36"/>
      <c r="D51" s="36"/>
      <c r="E51" s="36"/>
      <c r="F51" s="36"/>
      <c r="G51" s="36"/>
      <c r="H51" s="36"/>
      <c r="I51" s="59"/>
      <c r="J51" s="56"/>
      <c r="K51" s="36"/>
      <c r="L51" s="57"/>
    </row>
    <row r="52" spans="3:12" x14ac:dyDescent="0.35">
      <c r="C52" s="36"/>
      <c r="D52" s="36"/>
      <c r="E52" s="36"/>
      <c r="F52" s="36"/>
      <c r="G52" s="36"/>
      <c r="H52" s="36"/>
      <c r="I52" s="59"/>
      <c r="J52" s="56"/>
      <c r="K52" s="36"/>
      <c r="L52" s="57"/>
    </row>
    <row r="53" spans="3:12" x14ac:dyDescent="0.35">
      <c r="C53" s="36"/>
      <c r="D53" s="36"/>
      <c r="E53" s="36"/>
      <c r="F53" s="36"/>
      <c r="G53" s="36"/>
      <c r="H53" s="36"/>
      <c r="I53" s="59"/>
      <c r="J53" s="56"/>
      <c r="K53" s="36"/>
      <c r="L53" s="57"/>
    </row>
    <row r="54" spans="3:12" x14ac:dyDescent="0.35">
      <c r="I54" s="9"/>
      <c r="J54" s="9"/>
    </row>
  </sheetData>
  <sheetProtection algorithmName="SHA-512" hashValue="LUBm7sh0wE6isDM0fwS9fZh6AvJtk1eHtDUBKB1ZIocYEttxyNpm9RHsCvYYwmgK+XPmWIqllATbOfOfZm2sCA==" saltValue="4GAkNXsgLJ6YfyHOyM9EnA==" spinCount="100000" sheet="1" objects="1" scenarios="1"/>
  <mergeCells count="3">
    <mergeCell ref="H4:I4"/>
    <mergeCell ref="H6:I6"/>
    <mergeCell ref="D2:M2"/>
  </mergeCells>
  <pageMargins left="0.7" right="0.7" top="0.75" bottom="0.75" header="0.3" footer="0.3"/>
  <ignoredErrors>
    <ignoredError sqref="C9 E6 C37:H53 I36:J54 E9:H9 J9:L9 D36:H36" unlockedFormula="1"/>
  </ignoredErrors>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AEB6363-8373-4495-80BC-087B9B57984A}">
          <x14:formula1>
            <xm:f>Hoja2!$B$3:$B$13</xm:f>
          </x14:formula1>
          <xm:sqref>E4</xm:sqref>
        </x14:dataValidation>
        <x14:dataValidation type="list" allowBlank="1" showInputMessage="1" showErrorMessage="1" xr:uid="{DE151E20-814C-4DDF-AB8C-DD43401D12AC}">
          <x14:formula1>
            <xm:f>Hoja2!$E$3:$E$9</xm:f>
          </x14:formula1>
          <xm:sqref>J4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F68DE-0749-4E99-B0C1-90BEA217AAA9}">
  <sheetPr codeName="Hoja5"/>
  <dimension ref="B2:F13"/>
  <sheetViews>
    <sheetView workbookViewId="0">
      <selection activeCell="E26" sqref="E26"/>
    </sheetView>
  </sheetViews>
  <sheetFormatPr baseColWidth="10" defaultColWidth="11.453125" defaultRowHeight="14.5" x14ac:dyDescent="0.35"/>
  <cols>
    <col min="3" max="3" width="14.453125" bestFit="1" customWidth="1"/>
    <col min="6" max="6" width="14.7265625" bestFit="1" customWidth="1"/>
  </cols>
  <sheetData>
    <row r="2" spans="2:6" x14ac:dyDescent="0.35">
      <c r="B2" s="4" t="s">
        <v>325</v>
      </c>
      <c r="C2" s="4" t="s">
        <v>326</v>
      </c>
      <c r="E2" s="4" t="s">
        <v>325</v>
      </c>
      <c r="F2" s="4" t="s">
        <v>327</v>
      </c>
    </row>
    <row r="3" spans="2:6" x14ac:dyDescent="0.35">
      <c r="B3" s="2" t="s">
        <v>100</v>
      </c>
      <c r="C3" s="2" t="s">
        <v>328</v>
      </c>
      <c r="E3" s="2" t="s">
        <v>79</v>
      </c>
      <c r="F3" s="2" t="s">
        <v>329</v>
      </c>
    </row>
    <row r="4" spans="2:6" x14ac:dyDescent="0.35">
      <c r="B4" s="2" t="s">
        <v>151</v>
      </c>
      <c r="C4" s="2" t="s">
        <v>330</v>
      </c>
      <c r="E4" s="2" t="s">
        <v>140</v>
      </c>
      <c r="F4" s="2" t="s">
        <v>331</v>
      </c>
    </row>
    <row r="5" spans="2:6" x14ac:dyDescent="0.35">
      <c r="B5" s="2" t="s">
        <v>167</v>
      </c>
      <c r="C5" s="2" t="s">
        <v>332</v>
      </c>
      <c r="E5" s="2" t="s">
        <v>100</v>
      </c>
      <c r="F5" s="2" t="s">
        <v>328</v>
      </c>
    </row>
    <row r="6" spans="2:6" x14ac:dyDescent="0.35">
      <c r="B6" s="2" t="s">
        <v>189</v>
      </c>
      <c r="C6" s="2" t="s">
        <v>333</v>
      </c>
      <c r="E6" s="2" t="s">
        <v>119</v>
      </c>
      <c r="F6" s="2" t="s">
        <v>334</v>
      </c>
    </row>
    <row r="7" spans="2:6" x14ac:dyDescent="0.35">
      <c r="B7" s="2" t="s">
        <v>215</v>
      </c>
      <c r="C7" s="2" t="s">
        <v>335</v>
      </c>
      <c r="E7" s="2" t="s">
        <v>126</v>
      </c>
      <c r="F7" s="2" t="s">
        <v>336</v>
      </c>
    </row>
    <row r="8" spans="2:6" x14ac:dyDescent="0.35">
      <c r="B8" s="2" t="s">
        <v>281</v>
      </c>
      <c r="C8" s="2" t="s">
        <v>337</v>
      </c>
      <c r="E8" s="2" t="s">
        <v>250</v>
      </c>
      <c r="F8" s="2" t="s">
        <v>338</v>
      </c>
    </row>
    <row r="9" spans="2:6" x14ac:dyDescent="0.35">
      <c r="B9" s="2" t="s">
        <v>119</v>
      </c>
      <c r="C9" s="2" t="s">
        <v>334</v>
      </c>
      <c r="E9" s="2" t="s">
        <v>111</v>
      </c>
      <c r="F9" s="2" t="s">
        <v>339</v>
      </c>
    </row>
    <row r="10" spans="2:6" x14ac:dyDescent="0.35">
      <c r="B10" s="2" t="s">
        <v>126</v>
      </c>
      <c r="C10" s="2" t="s">
        <v>336</v>
      </c>
    </row>
    <row r="11" spans="2:6" x14ac:dyDescent="0.35">
      <c r="B11" s="2" t="s">
        <v>79</v>
      </c>
      <c r="C11" s="2" t="s">
        <v>340</v>
      </c>
    </row>
    <row r="12" spans="2:6" x14ac:dyDescent="0.35">
      <c r="B12" s="2" t="s">
        <v>140</v>
      </c>
      <c r="C12" s="2" t="s">
        <v>331</v>
      </c>
    </row>
    <row r="13" spans="2:6" x14ac:dyDescent="0.35">
      <c r="B13" s="2" t="s">
        <v>76</v>
      </c>
      <c r="C13" s="2" t="s">
        <v>341</v>
      </c>
    </row>
  </sheetData>
  <sheetProtection algorithmName="SHA-512" hashValue="x5YP3pT7+rgAGEV4lsy5AMWlE8eWipDCwwePFM8K/toxyNXS/V4k8BzC7ERcWwWgiY1bz6z7dOHFJc2BmCZWCA==" saltValue="pT02Q/DAGbd+ezCBei4x8g==" spinCount="100000"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041ff12a-b387-4716-b263-0812f78104fd">
      <Terms xmlns="http://schemas.microsoft.com/office/infopath/2007/PartnerControls"/>
    </lcf76f155ced4ddcb4097134ff3c332f>
    <TaxCatchAll xmlns="6d875127-b46f-4ee7-a204-0445f47e3021"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957A31EBEE70043962D3DB0517C9D70" ma:contentTypeVersion="5" ma:contentTypeDescription="Create a new document." ma:contentTypeScope="" ma:versionID="ae876ba0dab53db9aae76fef74f63ab5">
  <xsd:schema xmlns:xsd="http://www.w3.org/2001/XMLSchema" xmlns:xs="http://www.w3.org/2001/XMLSchema" xmlns:p="http://schemas.microsoft.com/office/2006/metadata/properties" xmlns:ns2="fe28bef6-6d4d-4369-a0c6-dc7cb6d17773" xmlns:ns3="a32c8755-3235-4e10-8e30-5bdf75606736" xmlns:ns4="041ff12a-b387-4716-b263-0812f78104fd" xmlns:ns5="6d875127-b46f-4ee7-a204-0445f47e3021" targetNamespace="http://schemas.microsoft.com/office/2006/metadata/properties" ma:root="true" ma:fieldsID="a755c7beca8349dfad3780b1bc8dfd00" ns2:_="" ns3:_="" ns4:_="" ns5:_="">
    <xsd:import namespace="fe28bef6-6d4d-4369-a0c6-dc7cb6d17773"/>
    <xsd:import namespace="a32c8755-3235-4e10-8e30-5bdf75606736"/>
    <xsd:import namespace="041ff12a-b387-4716-b263-0812f78104fd"/>
    <xsd:import namespace="6d875127-b46f-4ee7-a204-0445f47e3021"/>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DateTaken" minOccurs="0"/>
                <xsd:element ref="ns2:MediaServiceOCR" minOccurs="0"/>
                <xsd:element ref="ns2:MediaServiceGenerationTime" minOccurs="0"/>
                <xsd:element ref="ns2:MediaServiceEventHashCode" minOccurs="0"/>
                <xsd:element ref="ns2:MediaServiceLocation" minOccurs="0"/>
                <xsd:element ref="ns2:MediaLengthInSeconds" minOccurs="0"/>
                <xsd:element ref="ns2:MediaServiceSearchProperties" minOccurs="0"/>
                <xsd:element ref="ns4:lcf76f155ced4ddcb4097134ff3c332f" minOccurs="0"/>
                <xsd:element ref="ns5:TaxCatchAll" minOccurs="0"/>
                <xsd:element ref="ns4: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e28bef6-6d4d-4369-a0c6-dc7cb6d1777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dexed="true"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32c8755-3235-4e10-8e30-5bdf75606736"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41ff12a-b387-4716-b263-0812f78104fd" elementFormDefault="qualified">
    <xsd:import namespace="http://schemas.microsoft.com/office/2006/documentManagement/types"/>
    <xsd:import namespace="http://schemas.microsoft.com/office/infopath/2007/PartnerControls"/>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034f0b9c-80b6-475a-92e4-f6ec89afdeaf" ma:termSetId="09814cd3-568e-fe90-9814-8d621ff8fb84" ma:anchorId="fba54fb3-c3e1-fe81-a776-ca4b69148c4d" ma:open="true" ma:isKeyword="false">
      <xsd:complexType>
        <xsd:sequence>
          <xsd:element ref="pc:Terms" minOccurs="0" maxOccurs="1"/>
        </xsd:sequence>
      </xsd:complex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d875127-b46f-4ee7-a204-0445f47e3021"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8162ab3c-b52e-4835-91d7-b31917d073c1}" ma:internalName="TaxCatchAll" ma:showField="CatchAllData" ma:web="6d875127-b46f-4ee7-a204-0445f47e302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1AE057F-B829-4672-8822-6E8DDD3154EA}">
  <ds:schemaRefs>
    <ds:schemaRef ds:uri="http://schemas.microsoft.com/sharepoint/v3/contenttype/forms"/>
  </ds:schemaRefs>
</ds:datastoreItem>
</file>

<file path=customXml/itemProps2.xml><?xml version="1.0" encoding="utf-8"?>
<ds:datastoreItem xmlns:ds="http://schemas.openxmlformats.org/officeDocument/2006/customXml" ds:itemID="{3CE9C88F-3CC3-4F7A-9FF8-33B11F52E139}">
  <ds:schemaRefs>
    <ds:schemaRef ds:uri="http://schemas.openxmlformats.org/package/2006/metadata/core-properties"/>
    <ds:schemaRef ds:uri="http://purl.org/dc/dcmitype/"/>
    <ds:schemaRef ds:uri="http://purl.org/dc/terms/"/>
    <ds:schemaRef ds:uri="041ff12a-b387-4716-b263-0812f78104fd"/>
    <ds:schemaRef ds:uri="fe28bef6-6d4d-4369-a0c6-dc7cb6d17773"/>
    <ds:schemaRef ds:uri="6d875127-b46f-4ee7-a204-0445f47e3021"/>
    <ds:schemaRef ds:uri="http://schemas.microsoft.com/office/2006/metadata/properties"/>
    <ds:schemaRef ds:uri="http://purl.org/dc/elements/1.1/"/>
    <ds:schemaRef ds:uri="http://schemas.microsoft.com/office/2006/documentManagement/types"/>
    <ds:schemaRef ds:uri="http://schemas.microsoft.com/office/infopath/2007/PartnerControls"/>
    <ds:schemaRef ds:uri="a32c8755-3235-4e10-8e30-5bdf75606736"/>
    <ds:schemaRef ds:uri="http://www.w3.org/XML/1998/namespace"/>
  </ds:schemaRefs>
</ds:datastoreItem>
</file>

<file path=customXml/itemProps3.xml><?xml version="1.0" encoding="utf-8"?>
<ds:datastoreItem xmlns:ds="http://schemas.openxmlformats.org/officeDocument/2006/customXml" ds:itemID="{7E3B3815-3E7F-43FA-91C6-D4B67EABF05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e28bef6-6d4d-4369-a0c6-dc7cb6d17773"/>
    <ds:schemaRef ds:uri="a32c8755-3235-4e10-8e30-5bdf75606736"/>
    <ds:schemaRef ds:uri="041ff12a-b387-4716-b263-0812f78104fd"/>
    <ds:schemaRef ds:uri="6d875127-b46f-4ee7-a204-0445f47e302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d1b9df46-7cce-43f5-ad33-d165923f84fa}" enabled="1" method="Privileged" siteId="{de415ce7-227e-480f-88c9-c7dab50e161a}"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1_Consolidated_AIR</vt:lpstr>
      <vt:lpstr>Volumes</vt:lpstr>
      <vt:lpstr>DHL_ADDER</vt:lpstr>
      <vt:lpstr>Calculator_v2</vt:lpstr>
      <vt:lpstr>Hoja2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SANCHEZ TELLO Diego</cp:lastModifiedBy>
  <cp:revision/>
  <dcterms:created xsi:type="dcterms:W3CDTF">2026-02-10T12:29:58Z</dcterms:created>
  <dcterms:modified xsi:type="dcterms:W3CDTF">2026-09-16T14:21:32Z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0x010100F957A31EBEE70043962D3DB0517C9D70</vt:lpwstr>
  </property>
</Properties>
</file>